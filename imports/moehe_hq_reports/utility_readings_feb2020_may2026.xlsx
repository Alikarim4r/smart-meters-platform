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975E52B5-A973-44AF-9D21-2BBC02155CA7}" xr6:coauthVersionLast="47" xr6:coauthVersionMax="47" xr10:uidLastSave="{00000000-0000-0000-0000-000000000000}"/>
  <bookViews>
    <workbookView xWindow="-120" yWindow="-120" windowWidth="29040" windowHeight="15720" firstSheet="63" activeTab="71" xr2:uid="{00000000-000D-0000-FFFF-FFFF00000000}"/>
  </bookViews>
  <sheets>
    <sheet name="Feb 20" sheetId="1" r:id="rId1"/>
    <sheet name="Mar 20" sheetId="2" r:id="rId2"/>
    <sheet name="Apr 20" sheetId="3" r:id="rId3"/>
    <sheet name="May 20" sheetId="4" r:id="rId4"/>
    <sheet name="Jun 20" sheetId="5" r:id="rId5"/>
    <sheet name="Jul 20" sheetId="6" r:id="rId6"/>
    <sheet name="Aug 20" sheetId="7" r:id="rId7"/>
    <sheet name="Sep 20" sheetId="8" r:id="rId8"/>
    <sheet name="Oct 20" sheetId="9" r:id="rId9"/>
    <sheet name="Nov 20" sheetId="10" r:id="rId10"/>
    <sheet name="Dec 20" sheetId="11" r:id="rId11"/>
    <sheet name="Jan 21" sheetId="12" r:id="rId12"/>
    <sheet name="Feb 21" sheetId="13" r:id="rId13"/>
    <sheet name="Mar 21" sheetId="14" r:id="rId14"/>
    <sheet name="Apr 21" sheetId="15" r:id="rId15"/>
    <sheet name="May 21" sheetId="16" r:id="rId16"/>
    <sheet name="Jun 21" sheetId="17" r:id="rId17"/>
    <sheet name="Jul 21" sheetId="18" r:id="rId18"/>
    <sheet name="Aug 21" sheetId="19" r:id="rId19"/>
    <sheet name="Sep 21" sheetId="20" r:id="rId20"/>
    <sheet name="Oct 21" sheetId="21" r:id="rId21"/>
    <sheet name="Nov 21" sheetId="22" r:id="rId22"/>
    <sheet name="Dec 21" sheetId="23" r:id="rId23"/>
    <sheet name="Jan 22" sheetId="24" r:id="rId24"/>
    <sheet name="Feb 22" sheetId="25" r:id="rId25"/>
    <sheet name="Mar 22" sheetId="26" r:id="rId26"/>
    <sheet name="Apr 22" sheetId="27" r:id="rId27"/>
    <sheet name="May 22" sheetId="28" r:id="rId28"/>
    <sheet name="Jun 22" sheetId="29" r:id="rId29"/>
    <sheet name="Jul 22" sheetId="30" r:id="rId30"/>
    <sheet name="Aug 22" sheetId="31" r:id="rId31"/>
    <sheet name="Sep 22" sheetId="32" r:id="rId32"/>
    <sheet name="Oct 22" sheetId="33" r:id="rId33"/>
    <sheet name="Nov 22" sheetId="34" r:id="rId34"/>
    <sheet name="Dec 22" sheetId="35" r:id="rId35"/>
    <sheet name="Jan 23" sheetId="36" r:id="rId36"/>
    <sheet name="Feb 23" sheetId="37" r:id="rId37"/>
    <sheet name="Mar 23" sheetId="38" r:id="rId38"/>
    <sheet name="Apr 23" sheetId="39" r:id="rId39"/>
    <sheet name="May 23" sheetId="40" r:id="rId40"/>
    <sheet name="Jun 23" sheetId="41" r:id="rId41"/>
    <sheet name="Jul 23" sheetId="42" r:id="rId42"/>
    <sheet name="Aug 23" sheetId="43" r:id="rId43"/>
    <sheet name="Sep 23" sheetId="44" r:id="rId44"/>
    <sheet name="Oct 23" sheetId="45" r:id="rId45"/>
    <sheet name="Nov 23" sheetId="46" r:id="rId46"/>
    <sheet name="Dec 23" sheetId="47" r:id="rId47"/>
    <sheet name="Jan 24" sheetId="48" r:id="rId48"/>
    <sheet name="Feb 24" sheetId="49" r:id="rId49"/>
    <sheet name="Mar 24" sheetId="50" r:id="rId50"/>
    <sheet name="Apr 24" sheetId="51" r:id="rId51"/>
    <sheet name="May 24" sheetId="52" r:id="rId52"/>
    <sheet name="Jun 24" sheetId="53" r:id="rId53"/>
    <sheet name="Jul 24" sheetId="54" r:id="rId54"/>
    <sheet name="Aug 24" sheetId="55" r:id="rId55"/>
    <sheet name="Sep 24" sheetId="56" r:id="rId56"/>
    <sheet name="Oct 24" sheetId="57" r:id="rId57"/>
    <sheet name="Nov 24" sheetId="58" r:id="rId58"/>
    <sheet name="Dec 24" sheetId="59" r:id="rId59"/>
    <sheet name="Jan 25" sheetId="60" r:id="rId60"/>
    <sheet name="Feb 25" sheetId="61" r:id="rId61"/>
    <sheet name="Mar 25" sheetId="62" r:id="rId62"/>
    <sheet name="Apr 25" sheetId="63" r:id="rId63"/>
    <sheet name="May 25" sheetId="64" r:id="rId64"/>
    <sheet name="Jun 25" sheetId="65" r:id="rId65"/>
    <sheet name="Jul 25" sheetId="66" r:id="rId66"/>
    <sheet name="Aug 25" sheetId="67" r:id="rId67"/>
    <sheet name="Sep 25" sheetId="68" r:id="rId68"/>
    <sheet name="Oct 25" sheetId="69" r:id="rId69"/>
    <sheet name="Nov 25" sheetId="70" r:id="rId70"/>
    <sheet name="Dec 25" sheetId="71" r:id="rId71"/>
    <sheet name="Jan 26" sheetId="72" r:id="rId72"/>
    <sheet name="Feb 26" sheetId="73" r:id="rId73"/>
    <sheet name="Mar 26" sheetId="74" r:id="rId74"/>
    <sheet name="Apr 26" sheetId="75" r:id="rId75"/>
    <sheet name="May 26" sheetId="79" r:id="rId76"/>
    <sheet name="Sheet14" sheetId="76" r:id="rId77"/>
    <sheet name="Sheet15" sheetId="77" r:id="rId78"/>
    <sheet name="Sheet16" sheetId="78"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G43" i="72" l="1"/>
  <c r="AG42" i="72"/>
  <c r="AG41" i="72"/>
  <c r="AG40" i="72"/>
  <c r="AG39" i="72"/>
  <c r="AG38" i="72"/>
  <c r="AG37" i="72"/>
  <c r="AG34" i="72"/>
  <c r="AG33" i="72"/>
  <c r="AG32" i="72"/>
  <c r="AG31" i="72"/>
  <c r="AG30" i="72"/>
  <c r="AG29" i="72"/>
  <c r="AG28" i="72"/>
  <c r="AG27" i="72"/>
  <c r="AG26" i="72"/>
  <c r="AG25" i="72"/>
  <c r="AG24" i="72"/>
  <c r="AG23" i="72"/>
  <c r="AG22" i="72"/>
  <c r="AG21" i="72"/>
  <c r="AG20" i="72"/>
  <c r="AG19" i="72"/>
  <c r="AG18" i="72"/>
  <c r="AG17" i="72"/>
  <c r="AG16" i="72"/>
  <c r="AG15" i="72"/>
  <c r="AG14" i="72"/>
  <c r="AD43" i="73" l="1"/>
  <c r="AD42" i="73"/>
  <c r="AD41" i="73"/>
  <c r="AD40" i="73"/>
  <c r="AD39" i="73"/>
  <c r="AD38" i="73"/>
  <c r="AD37" i="73"/>
  <c r="AD35" i="73"/>
  <c r="AD34" i="73"/>
  <c r="AD33" i="73"/>
  <c r="AD32" i="73"/>
  <c r="AD29" i="73"/>
  <c r="AD28" i="73"/>
  <c r="AD27" i="73"/>
  <c r="AD26" i="73"/>
  <c r="AD25" i="73"/>
  <c r="AD24" i="73"/>
  <c r="AD23" i="73"/>
  <c r="AD22" i="73"/>
  <c r="AD21" i="73"/>
  <c r="AD20" i="73"/>
  <c r="AD19" i="73"/>
  <c r="AD17" i="73"/>
  <c r="AD16" i="73"/>
  <c r="AD15" i="73"/>
  <c r="AD14" i="73"/>
  <c r="AG43" i="74" l="1"/>
  <c r="AG42" i="74"/>
  <c r="AG41" i="74"/>
  <c r="AG40" i="74"/>
  <c r="AG39" i="74"/>
  <c r="AG38" i="74"/>
  <c r="AG37" i="74"/>
  <c r="AG35" i="74"/>
  <c r="AG34" i="74"/>
  <c r="AG33" i="74"/>
  <c r="AG32" i="74"/>
  <c r="AG29" i="74"/>
  <c r="AG28" i="74"/>
  <c r="AG27" i="74"/>
  <c r="AG26" i="74"/>
  <c r="AG25" i="74"/>
  <c r="AG24" i="74"/>
  <c r="AG23" i="74"/>
  <c r="AG22" i="74"/>
  <c r="AG21" i="74"/>
  <c r="AG20" i="74"/>
  <c r="AG19" i="74"/>
  <c r="AG17" i="74"/>
  <c r="AG16" i="74"/>
  <c r="AG15" i="74"/>
  <c r="AG14" i="74"/>
  <c r="AG12" i="74"/>
  <c r="AG11" i="74"/>
  <c r="AG10" i="74"/>
  <c r="AG9" i="74"/>
  <c r="AG8" i="74"/>
  <c r="AG7" i="74"/>
  <c r="AG6" i="74"/>
  <c r="AG5" i="74"/>
  <c r="AG4" i="74"/>
  <c r="AF43" i="75" l="1"/>
  <c r="AF42" i="75"/>
  <c r="AF41" i="75"/>
  <c r="AF40" i="75"/>
  <c r="AF39" i="75"/>
  <c r="AF38" i="75"/>
  <c r="AF37" i="75"/>
  <c r="AF35" i="75"/>
  <c r="AF34" i="75"/>
  <c r="AF33" i="75"/>
  <c r="AF32" i="75"/>
  <c r="AF30" i="75"/>
  <c r="AF29" i="75"/>
  <c r="AF28" i="75"/>
  <c r="AF27" i="75"/>
  <c r="AF26" i="75"/>
  <c r="AF25" i="75"/>
  <c r="AF24" i="75"/>
  <c r="AF23" i="75"/>
  <c r="AF22" i="75"/>
  <c r="AF21" i="75"/>
  <c r="AF20" i="75"/>
  <c r="AF19" i="75"/>
  <c r="AF17" i="75"/>
  <c r="AF16" i="75"/>
  <c r="AF15" i="75"/>
  <c r="AF14" i="75"/>
  <c r="AF12" i="75"/>
  <c r="AF11" i="75"/>
  <c r="AF10" i="75"/>
  <c r="AF9" i="75"/>
  <c r="AF8" i="75"/>
  <c r="AF7" i="75"/>
  <c r="AF6" i="75"/>
  <c r="AF5" i="75"/>
  <c r="AF4" i="75"/>
  <c r="AG43" i="79" l="1"/>
  <c r="AG42" i="79"/>
  <c r="AG41" i="79"/>
  <c r="AG40" i="79"/>
  <c r="AG39" i="79"/>
  <c r="AG38" i="79"/>
  <c r="AG37" i="79"/>
  <c r="AG35" i="79"/>
  <c r="AG34" i="79"/>
  <c r="AG33" i="79"/>
  <c r="AG32" i="79"/>
  <c r="AG30" i="79"/>
  <c r="AG29" i="79"/>
  <c r="AG28" i="79"/>
  <c r="T28" i="79"/>
  <c r="AG27" i="79"/>
  <c r="AG26" i="79"/>
  <c r="AG25" i="79"/>
  <c r="AG24" i="79"/>
  <c r="AG23" i="79"/>
  <c r="AG22" i="79"/>
  <c r="AG21" i="79"/>
  <c r="AG20" i="79"/>
  <c r="AG19" i="79"/>
  <c r="AG17" i="79"/>
  <c r="AG16" i="79"/>
  <c r="AG15" i="79"/>
  <c r="AG14" i="79"/>
  <c r="AG12" i="79"/>
  <c r="AG11" i="79"/>
  <c r="AG10" i="79"/>
  <c r="AG9" i="79"/>
  <c r="AG8" i="79"/>
  <c r="AG7" i="79"/>
  <c r="AG6" i="79"/>
  <c r="AG5" i="79"/>
  <c r="AG4" i="79"/>
  <c r="AF34" i="70" l="1"/>
  <c r="AF33" i="70"/>
  <c r="AF32" i="70"/>
  <c r="AF31" i="70"/>
  <c r="AF30" i="70"/>
  <c r="AF29" i="70"/>
  <c r="AF28" i="70"/>
  <c r="AF27" i="70"/>
  <c r="AF26" i="70"/>
  <c r="AF25" i="70"/>
  <c r="AF24" i="70"/>
  <c r="AF23" i="70"/>
  <c r="AF22" i="70"/>
  <c r="AF21" i="70"/>
  <c r="AF20" i="70"/>
  <c r="AF19" i="70"/>
  <c r="AF18" i="70"/>
  <c r="AF17" i="70"/>
  <c r="AF16" i="70"/>
  <c r="AF15" i="70"/>
  <c r="AF14" i="70"/>
  <c r="AG29" i="69" l="1"/>
  <c r="AG28" i="69"/>
  <c r="AG27" i="69"/>
  <c r="AF26" i="69"/>
  <c r="AG26" i="69" s="1"/>
  <c r="AG25" i="69"/>
  <c r="AG24" i="69"/>
  <c r="AG23" i="69"/>
  <c r="AG22" i="69"/>
  <c r="AF21" i="69"/>
  <c r="AG21" i="69" s="1"/>
  <c r="AF20" i="69"/>
  <c r="AG20" i="69" s="1"/>
  <c r="AG19" i="69"/>
  <c r="AG17" i="69"/>
  <c r="AG16" i="69"/>
  <c r="AG15" i="69"/>
  <c r="AF14" i="69"/>
  <c r="AG14" i="69" s="1"/>
  <c r="AB11" i="69"/>
  <c r="AB10" i="69"/>
  <c r="AF9" i="69"/>
  <c r="AB9" i="69"/>
  <c r="AB8" i="69"/>
  <c r="AB7" i="69"/>
  <c r="AB6" i="69"/>
  <c r="AB5" i="69"/>
  <c r="AB4" i="69"/>
  <c r="AC4" i="69" s="1"/>
  <c r="AF29" i="68" l="1"/>
  <c r="AF28" i="68"/>
  <c r="AF27" i="68"/>
  <c r="AF26" i="68"/>
  <c r="AF25" i="68"/>
  <c r="AF24" i="68"/>
  <c r="AF23" i="68"/>
  <c r="AF22" i="68"/>
  <c r="AF21" i="68"/>
  <c r="AF20" i="68"/>
  <c r="AF19" i="68"/>
  <c r="AF17" i="68"/>
  <c r="AF16" i="68"/>
  <c r="AF15" i="68"/>
  <c r="AF14" i="68"/>
  <c r="AG29" i="67" l="1"/>
  <c r="AG28" i="67"/>
  <c r="AG27" i="67"/>
  <c r="AG26" i="67"/>
  <c r="AG25" i="67"/>
  <c r="AG24" i="67"/>
  <c r="AG23" i="67"/>
  <c r="AG22" i="67"/>
  <c r="AG21" i="67"/>
  <c r="AG20" i="67"/>
  <c r="AG19" i="67"/>
  <c r="AG17" i="67"/>
  <c r="AG16" i="67"/>
  <c r="AG15" i="67"/>
  <c r="AG14" i="67"/>
  <c r="K14" i="67"/>
  <c r="L14" i="67" s="1"/>
  <c r="AG29" i="66" l="1"/>
  <c r="AG28" i="66"/>
  <c r="AG27" i="66"/>
  <c r="AG26" i="66"/>
  <c r="AG25" i="66"/>
  <c r="AG24" i="66"/>
  <c r="AG23" i="66"/>
  <c r="AG22" i="66"/>
  <c r="AG21" i="66"/>
  <c r="AG20" i="66"/>
  <c r="AG19" i="66"/>
  <c r="AG17" i="66"/>
  <c r="AG16" i="66"/>
  <c r="AG15" i="66"/>
  <c r="AG14" i="66"/>
  <c r="AF29" i="65" l="1"/>
  <c r="AF28" i="65"/>
  <c r="AF27" i="65"/>
  <c r="AF26" i="65"/>
  <c r="AF25" i="65"/>
  <c r="AF24" i="65"/>
  <c r="AF23" i="65"/>
  <c r="AF22" i="65"/>
  <c r="L22" i="65"/>
  <c r="AF21" i="65"/>
  <c r="L21" i="65"/>
  <c r="AF20" i="65"/>
  <c r="N20" i="65"/>
  <c r="L20" i="65"/>
  <c r="AF19" i="65"/>
  <c r="AF17" i="65"/>
  <c r="AF16" i="65"/>
  <c r="AF15" i="65"/>
  <c r="AF14" i="65"/>
  <c r="AG29" i="64" l="1"/>
  <c r="AG28" i="64"/>
  <c r="AG27" i="64"/>
  <c r="AG26" i="64"/>
  <c r="AG25" i="64"/>
  <c r="AG24" i="64"/>
  <c r="AG23" i="64"/>
  <c r="AG22" i="64"/>
  <c r="AG21" i="64"/>
  <c r="AG20" i="64"/>
  <c r="AG19" i="64"/>
  <c r="AG17" i="64"/>
  <c r="AG16" i="64"/>
  <c r="AG15" i="64"/>
  <c r="AG14" i="64"/>
  <c r="AF29" i="63" l="1"/>
  <c r="AF28" i="63"/>
  <c r="AF27" i="63"/>
  <c r="AF26" i="63"/>
  <c r="AF25" i="63"/>
  <c r="AF24" i="63"/>
  <c r="AF23" i="63"/>
  <c r="AF22" i="63"/>
  <c r="AF21" i="63"/>
  <c r="AF20" i="63"/>
  <c r="AF19" i="63"/>
  <c r="AF18" i="63"/>
  <c r="AF17" i="63"/>
  <c r="AF16" i="63"/>
  <c r="AF15" i="63"/>
  <c r="AF14" i="63"/>
  <c r="AG34" i="71" l="1"/>
  <c r="AG33" i="71"/>
  <c r="AG32" i="71"/>
  <c r="AG31" i="71"/>
  <c r="AG30" i="71"/>
  <c r="AG29" i="71"/>
  <c r="AG28" i="71"/>
  <c r="AG27" i="71"/>
  <c r="AG26" i="71"/>
  <c r="AG25" i="71"/>
  <c r="AG24" i="71"/>
  <c r="AG23" i="71"/>
  <c r="AG22" i="71"/>
  <c r="AG21" i="71"/>
  <c r="AG20" i="71"/>
  <c r="AG19" i="71"/>
  <c r="AG18" i="71"/>
  <c r="AG17" i="71"/>
  <c r="AG16" i="71"/>
  <c r="AG15" i="71"/>
  <c r="AG14" i="71"/>
  <c r="AG22" i="12" l="1"/>
  <c r="AD22" i="13"/>
  <c r="AG22" i="14"/>
  <c r="AF22" i="15"/>
  <c r="AG22" i="16"/>
  <c r="AF22" i="17"/>
  <c r="AG22" i="18"/>
  <c r="AG22" i="19"/>
  <c r="AF22" i="20"/>
  <c r="AG22" i="21"/>
  <c r="AF22" i="22"/>
  <c r="AG22" i="23"/>
  <c r="AG22" i="24"/>
  <c r="AD22" i="25"/>
  <c r="AG22" i="26"/>
  <c r="AF22" i="27"/>
  <c r="AG22" i="28"/>
  <c r="AF22" i="29"/>
  <c r="AG22" i="30"/>
  <c r="AG22" i="31"/>
  <c r="AF22" i="32"/>
  <c r="AG22" i="33"/>
  <c r="AF22" i="34"/>
  <c r="AG22" i="35"/>
  <c r="AG22" i="36"/>
  <c r="AD22" i="37"/>
  <c r="AG22" i="38"/>
  <c r="AF22" i="39"/>
  <c r="AG22" i="40"/>
  <c r="AF22" i="41"/>
  <c r="AG22" i="42"/>
  <c r="AG22" i="43"/>
  <c r="AG29" i="62" l="1"/>
  <c r="AG28" i="62"/>
  <c r="AG27" i="62"/>
  <c r="AG26" i="62"/>
  <c r="AG25" i="62"/>
  <c r="AG24" i="62"/>
  <c r="AG23" i="62"/>
  <c r="AG22" i="62"/>
  <c r="AG21" i="62"/>
  <c r="AG20" i="62"/>
  <c r="AG19" i="62"/>
  <c r="AG17" i="62"/>
  <c r="AG16" i="62"/>
  <c r="AG15" i="62"/>
  <c r="AG14" i="62"/>
  <c r="AD29" i="61" l="1"/>
  <c r="AD28" i="61"/>
  <c r="AD27" i="61"/>
  <c r="AD26" i="61"/>
  <c r="AD25" i="61"/>
  <c r="AD24" i="61"/>
  <c r="AD23" i="61"/>
  <c r="AD22" i="61"/>
  <c r="AD21" i="61"/>
  <c r="AD20" i="61"/>
  <c r="AD19" i="61"/>
  <c r="AD17" i="61"/>
  <c r="AD16" i="61"/>
  <c r="AD15" i="61"/>
  <c r="AD14" i="61"/>
  <c r="AG29" i="60" l="1"/>
  <c r="AG28" i="60"/>
  <c r="AG27" i="60"/>
  <c r="AG26" i="60"/>
  <c r="AG25" i="60"/>
  <c r="AG24" i="60"/>
  <c r="AG23" i="60"/>
  <c r="AG22" i="60"/>
  <c r="AG21" i="60"/>
  <c r="AG20" i="60"/>
  <c r="AG19" i="60"/>
  <c r="AG16" i="60"/>
  <c r="AG15" i="60"/>
  <c r="AG14" i="60"/>
  <c r="AG29" i="59" l="1"/>
  <c r="AG28" i="59"/>
  <c r="AG27" i="59"/>
  <c r="AG26" i="59"/>
  <c r="AG25" i="59"/>
  <c r="AG24" i="59"/>
  <c r="AG23" i="59"/>
  <c r="AG22" i="59"/>
  <c r="AG21" i="59"/>
  <c r="AG20" i="59"/>
  <c r="AG19" i="59"/>
  <c r="AG16" i="59"/>
  <c r="AG15" i="59"/>
  <c r="AG14" i="59"/>
  <c r="AF30" i="58" l="1"/>
  <c r="AF29" i="58"/>
  <c r="AF28" i="58"/>
  <c r="AF27" i="58"/>
  <c r="AF26" i="58"/>
  <c r="AF25" i="58"/>
  <c r="AF24" i="58"/>
  <c r="AF23" i="58"/>
  <c r="AF22" i="58"/>
  <c r="AF21" i="58"/>
  <c r="AF20" i="58"/>
  <c r="AF19" i="58"/>
  <c r="AF17" i="58"/>
  <c r="AF16" i="58"/>
  <c r="AF15" i="58"/>
  <c r="AF14" i="58"/>
  <c r="AG29" i="57" l="1"/>
  <c r="AG28" i="57"/>
  <c r="AG27" i="57"/>
  <c r="AG26" i="57"/>
  <c r="AG25" i="57"/>
  <c r="AG24" i="57"/>
  <c r="AG23" i="57"/>
  <c r="AG22" i="57"/>
  <c r="AG21" i="57"/>
  <c r="AG20" i="57"/>
  <c r="AG19" i="57"/>
  <c r="AG17" i="57"/>
  <c r="AG16" i="57"/>
  <c r="AG15" i="57"/>
  <c r="AG14" i="57"/>
  <c r="AF29" i="56" l="1"/>
  <c r="AF28" i="56"/>
  <c r="AF27" i="56"/>
  <c r="AF26" i="56"/>
  <c r="AF25" i="56"/>
  <c r="AF24" i="56"/>
  <c r="AF23" i="56"/>
  <c r="AF22" i="56"/>
  <c r="AF21" i="56"/>
  <c r="AF20" i="56"/>
  <c r="AF19" i="56"/>
  <c r="AF17" i="56"/>
  <c r="AF16" i="56"/>
  <c r="AF15" i="56"/>
  <c r="AF14" i="56"/>
  <c r="AF29" i="53" l="1"/>
  <c r="AF28" i="53"/>
  <c r="AF27" i="53"/>
  <c r="AF26" i="53"/>
  <c r="AF25" i="53"/>
  <c r="AF24" i="53"/>
  <c r="AF23" i="53"/>
  <c r="AF22" i="53"/>
  <c r="AF21" i="53"/>
  <c r="AF20" i="53"/>
  <c r="AF19" i="53"/>
  <c r="AF18" i="53"/>
  <c r="AF17" i="53"/>
  <c r="AF16" i="53"/>
  <c r="AF15" i="53"/>
  <c r="AF14" i="53"/>
  <c r="AG29" i="52" l="1"/>
  <c r="AG28" i="52"/>
  <c r="AG27" i="52"/>
  <c r="AG26" i="52"/>
  <c r="AG25" i="52"/>
  <c r="AG24" i="52"/>
  <c r="AG23" i="52"/>
  <c r="AG22" i="52"/>
  <c r="AG21" i="52"/>
  <c r="AG20" i="52"/>
  <c r="AG19" i="52"/>
  <c r="AG17" i="52"/>
  <c r="AG16" i="52"/>
  <c r="AG15" i="52"/>
  <c r="AG14" i="52"/>
  <c r="AF29" i="51" l="1"/>
  <c r="AF28" i="51"/>
  <c r="AF27" i="51"/>
  <c r="AF26" i="51"/>
  <c r="AF25" i="51"/>
  <c r="AF24" i="51"/>
  <c r="AF23" i="51"/>
  <c r="AF22" i="51"/>
  <c r="AF21" i="51"/>
  <c r="AF20" i="51"/>
  <c r="AF19" i="51"/>
  <c r="AF17" i="51"/>
  <c r="AF16" i="51"/>
  <c r="AF15" i="51"/>
  <c r="AF14" i="51"/>
  <c r="AG29" i="50" l="1"/>
  <c r="AG28" i="50"/>
  <c r="AG27" i="50"/>
  <c r="AG26" i="50"/>
  <c r="AG25" i="50"/>
  <c r="AG24" i="50"/>
  <c r="AG23" i="50"/>
  <c r="AG22" i="50"/>
  <c r="AG21" i="50"/>
  <c r="AG20" i="50"/>
  <c r="AG19" i="50"/>
  <c r="AG18" i="50"/>
  <c r="AG17" i="50"/>
  <c r="AG16" i="50"/>
  <c r="AG15" i="50"/>
  <c r="AG14" i="50"/>
  <c r="AF20" i="15" l="1"/>
  <c r="AF21" i="15"/>
  <c r="AF19" i="15"/>
  <c r="AG21" i="14"/>
  <c r="AG20" i="14"/>
  <c r="AG19" i="14"/>
  <c r="AD21" i="13"/>
  <c r="AD20" i="13"/>
  <c r="AD19" i="13"/>
  <c r="AG21" i="12"/>
  <c r="AG20" i="12"/>
  <c r="AG19" i="12"/>
  <c r="AE29" i="49"/>
  <c r="AE28" i="49"/>
  <c r="AE27" i="49"/>
  <c r="AE26" i="49"/>
  <c r="AE25" i="49"/>
  <c r="AE24" i="49"/>
  <c r="AE23" i="49"/>
  <c r="AE22" i="49"/>
  <c r="AE21" i="49"/>
  <c r="AE20" i="49"/>
  <c r="AE19" i="49"/>
  <c r="AE18" i="49"/>
  <c r="AE17" i="49"/>
  <c r="AE16" i="49"/>
  <c r="AE15" i="49"/>
  <c r="AE14" i="49"/>
  <c r="AG34" i="48" l="1"/>
  <c r="AG33" i="48"/>
  <c r="AG32" i="48"/>
  <c r="AG31" i="48"/>
  <c r="AG30" i="48"/>
  <c r="AG29" i="48"/>
  <c r="AG28" i="48"/>
  <c r="AG27" i="48"/>
  <c r="AG26" i="48"/>
  <c r="AG25" i="48"/>
  <c r="AG24" i="48"/>
  <c r="AG23" i="48"/>
  <c r="AG22" i="48"/>
  <c r="AG21" i="48"/>
  <c r="AG20" i="48"/>
  <c r="AG19" i="48"/>
  <c r="AG18" i="48"/>
  <c r="AG17" i="48"/>
  <c r="AG16" i="48"/>
  <c r="AG15" i="48"/>
  <c r="AG14" i="48"/>
  <c r="AG34" i="47" l="1"/>
  <c r="AG33" i="47"/>
  <c r="AG32" i="47"/>
  <c r="AG31" i="47"/>
  <c r="AG30" i="47"/>
  <c r="AG29" i="47"/>
  <c r="AG28" i="47"/>
  <c r="AG27" i="47"/>
  <c r="AG26" i="47"/>
  <c r="AG25" i="47"/>
  <c r="AG24" i="47"/>
  <c r="AG23" i="47"/>
  <c r="AG22" i="47"/>
  <c r="AG21" i="47"/>
  <c r="AG20" i="47"/>
  <c r="AG19" i="47"/>
  <c r="AG18" i="47"/>
  <c r="AG17" i="47"/>
  <c r="AG16" i="47"/>
  <c r="AG15" i="47"/>
  <c r="AG14" i="47"/>
  <c r="AF34" i="46" l="1"/>
  <c r="AF33" i="46"/>
  <c r="AF32" i="46"/>
  <c r="AF31" i="46"/>
  <c r="AF30" i="46"/>
  <c r="AF29" i="46"/>
  <c r="AF28" i="46"/>
  <c r="AF27" i="46"/>
  <c r="AF26" i="46"/>
  <c r="AF25" i="46"/>
  <c r="AF24" i="46"/>
  <c r="AF23" i="46"/>
  <c r="AF22" i="46"/>
  <c r="AF21" i="46"/>
  <c r="AF20" i="46"/>
  <c r="AF19" i="46"/>
  <c r="AF18" i="46"/>
  <c r="AF17" i="46"/>
  <c r="AF16" i="46"/>
  <c r="AF15" i="46"/>
  <c r="AF14" i="46"/>
  <c r="AG30" i="45" l="1"/>
  <c r="AG29" i="45"/>
  <c r="AG28" i="45"/>
  <c r="AG27" i="45"/>
  <c r="AG26" i="45"/>
  <c r="AG25" i="45"/>
  <c r="AG24" i="45"/>
  <c r="AG23" i="45"/>
  <c r="AG22" i="45"/>
  <c r="AG21" i="45"/>
  <c r="AG20" i="45"/>
  <c r="AG19" i="45"/>
  <c r="AG14" i="45"/>
  <c r="AG29" i="35" l="1"/>
  <c r="AG28" i="35"/>
  <c r="AG27" i="35"/>
  <c r="AG26" i="35"/>
  <c r="AG25" i="35"/>
  <c r="AG24" i="35"/>
  <c r="AG23" i="35"/>
  <c r="AF29" i="34" l="1"/>
  <c r="AF28" i="34"/>
  <c r="AF27" i="34"/>
  <c r="AF26" i="34"/>
  <c r="AF25" i="34"/>
  <c r="AF24" i="34"/>
  <c r="AF23" i="34"/>
  <c r="AH29" i="33" l="1"/>
  <c r="AH28" i="33"/>
  <c r="AH27" i="33"/>
  <c r="AH26" i="33"/>
  <c r="AH25" i="33"/>
  <c r="AH24" i="33"/>
  <c r="AH23" i="33"/>
  <c r="AG29" i="28" l="1"/>
  <c r="AG28" i="28"/>
  <c r="AG27" i="28"/>
  <c r="AG26" i="28"/>
  <c r="AG25" i="28"/>
  <c r="AG24" i="28"/>
  <c r="AG23" i="28"/>
  <c r="AF29" i="27" l="1"/>
  <c r="AF28" i="27"/>
  <c r="AF27" i="27"/>
  <c r="AF26" i="27"/>
  <c r="AF25" i="27"/>
  <c r="AF24" i="27"/>
  <c r="AF23" i="27"/>
  <c r="AG29" i="26" l="1"/>
  <c r="AG28" i="26"/>
  <c r="AG27" i="26"/>
  <c r="AG26" i="26"/>
  <c r="AG25" i="26"/>
  <c r="AG24" i="26"/>
  <c r="AG23" i="26"/>
  <c r="AD29" i="25" l="1"/>
  <c r="AD28" i="25"/>
  <c r="AD27" i="25"/>
  <c r="AD26" i="25"/>
  <c r="AD25" i="25"/>
  <c r="AD24" i="25"/>
  <c r="AD23" i="25"/>
  <c r="AG29" i="36" l="1"/>
  <c r="AG28" i="36"/>
  <c r="AG27" i="36"/>
  <c r="AG26" i="36"/>
  <c r="AG25" i="36"/>
  <c r="AG24" i="36"/>
  <c r="AG23" i="36"/>
  <c r="AD29" i="37" l="1"/>
  <c r="AD28" i="37"/>
  <c r="AD27" i="37"/>
  <c r="AD26" i="37"/>
  <c r="AD25" i="37"/>
  <c r="AD24" i="37"/>
  <c r="AD23" i="37"/>
  <c r="AD14" i="37"/>
  <c r="AG29" i="38" l="1"/>
  <c r="AG28" i="38"/>
  <c r="AG27" i="38"/>
  <c r="AG26" i="38"/>
  <c r="AG25" i="38"/>
  <c r="AG24" i="38"/>
  <c r="AG23" i="38"/>
  <c r="AI14" i="38"/>
  <c r="AF29" i="39" l="1"/>
  <c r="AF28" i="39"/>
  <c r="AF27" i="39"/>
  <c r="AF26" i="39"/>
  <c r="AF25" i="39"/>
  <c r="AF24" i="39"/>
  <c r="AF23" i="39"/>
  <c r="AF19" i="39"/>
  <c r="AH14" i="39"/>
  <c r="AF14" i="39"/>
  <c r="AG29" i="40" l="1"/>
  <c r="AG28" i="40"/>
  <c r="AG27" i="40"/>
  <c r="AG26" i="40"/>
  <c r="AG25" i="40"/>
  <c r="AG24" i="40"/>
  <c r="AG23" i="40"/>
  <c r="AG19" i="40"/>
  <c r="AG14" i="40"/>
  <c r="AF29" i="41" l="1"/>
  <c r="AF28" i="41"/>
  <c r="AF27" i="41"/>
  <c r="AF26" i="41"/>
  <c r="AF25" i="41"/>
  <c r="AF24" i="41"/>
  <c r="AF23" i="41"/>
  <c r="AG29" i="42" l="1"/>
  <c r="AG28" i="42"/>
  <c r="AG27" i="42"/>
  <c r="AG26" i="42"/>
  <c r="AG25" i="42"/>
  <c r="AG24" i="42"/>
  <c r="AG23" i="42"/>
  <c r="AG29" i="43" l="1"/>
  <c r="AG28" i="43"/>
  <c r="AG27" i="43"/>
  <c r="AG26" i="43"/>
  <c r="AG25" i="43"/>
  <c r="AG24" i="43"/>
  <c r="AG23" i="43"/>
  <c r="AG19" i="43"/>
  <c r="AG14" i="43"/>
  <c r="AF30" i="44" l="1"/>
  <c r="AF29" i="44"/>
  <c r="AF28" i="44"/>
  <c r="AF27" i="44"/>
  <c r="AF26" i="44"/>
  <c r="AF25" i="44"/>
  <c r="AF24" i="44"/>
  <c r="AF23" i="44"/>
  <c r="AF22" i="44"/>
  <c r="AF21" i="44"/>
  <c r="AF20" i="44"/>
  <c r="AF19" i="44"/>
  <c r="AF14" i="44"/>
  <c r="AI14" i="24" l="1"/>
  <c r="AH12" i="24"/>
  <c r="AH12" i="23" l="1"/>
  <c r="AF12" i="23"/>
  <c r="AE12" i="23"/>
  <c r="AD12" i="23"/>
  <c r="AC12" i="23"/>
  <c r="AB12" i="23"/>
  <c r="AA12" i="23"/>
  <c r="Z12" i="23"/>
  <c r="Y12" i="23"/>
  <c r="X12" i="23"/>
  <c r="W12" i="23"/>
  <c r="V12" i="23"/>
  <c r="U12" i="23"/>
  <c r="T12" i="23"/>
  <c r="S12" i="23"/>
  <c r="R12" i="23"/>
  <c r="Q12" i="23"/>
  <c r="P12" i="23"/>
  <c r="O12" i="23"/>
  <c r="N12" i="23"/>
  <c r="M12" i="23"/>
  <c r="L12" i="23"/>
  <c r="K12" i="23"/>
  <c r="J12" i="23"/>
  <c r="I12" i="23"/>
  <c r="H12" i="23"/>
  <c r="G12" i="23"/>
  <c r="F12" i="23"/>
  <c r="E12" i="23"/>
  <c r="D12" i="23"/>
  <c r="C12" i="23"/>
  <c r="B12" i="23"/>
  <c r="C12" i="16" l="1"/>
  <c r="D12" i="16"/>
  <c r="E12" i="16"/>
  <c r="F12" i="16"/>
  <c r="G12" i="16"/>
  <c r="H12" i="16"/>
  <c r="I12" i="16"/>
  <c r="J12" i="16"/>
  <c r="K12" i="16"/>
  <c r="L12" i="16"/>
  <c r="M12" i="16"/>
  <c r="N12" i="16"/>
  <c r="O12" i="16"/>
  <c r="P12" i="16"/>
  <c r="Q12" i="16"/>
  <c r="R12" i="16"/>
  <c r="S12" i="16"/>
  <c r="T12" i="16"/>
  <c r="U12" i="16"/>
  <c r="V12" i="16"/>
  <c r="W12" i="16"/>
  <c r="X12" i="16"/>
  <c r="Y12" i="16"/>
  <c r="Z12" i="16"/>
  <c r="AA12" i="16"/>
  <c r="AB12" i="16"/>
  <c r="AC12" i="16"/>
  <c r="AD12" i="16"/>
  <c r="AE12" i="16"/>
  <c r="AF12" i="16"/>
  <c r="B12" i="16"/>
  <c r="AF12" i="12" l="1"/>
  <c r="AE12" i="12"/>
  <c r="AD12" i="12"/>
  <c r="AC12"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6" i="12"/>
  <c r="B12" i="12" s="1"/>
  <c r="AF12" i="11" l="1"/>
  <c r="AE12" i="11"/>
  <c r="AD12" i="11"/>
  <c r="AC12" i="11"/>
  <c r="AB12" i="11"/>
  <c r="AA12" i="11"/>
  <c r="Z12" i="11"/>
  <c r="Y12" i="11"/>
  <c r="X12" i="11"/>
  <c r="W12" i="11"/>
  <c r="V12" i="11"/>
  <c r="U12" i="11"/>
  <c r="T12" i="11"/>
  <c r="S12" i="11"/>
  <c r="R12" i="11"/>
  <c r="Q12" i="11"/>
  <c r="P12" i="11"/>
  <c r="O12" i="11"/>
  <c r="N12" i="11"/>
  <c r="M12" i="11"/>
  <c r="L12" i="11"/>
  <c r="K12" i="11"/>
  <c r="J12" i="11"/>
  <c r="I12" i="11"/>
  <c r="H12" i="11"/>
  <c r="G12" i="11"/>
  <c r="F12" i="11"/>
  <c r="E12" i="11"/>
  <c r="D12" i="11"/>
  <c r="C12" i="11"/>
  <c r="B12" i="11"/>
  <c r="AE12" i="10" l="1"/>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B12" i="10"/>
  <c r="F31" i="9" l="1"/>
  <c r="C31" i="9"/>
  <c r="F30" i="9"/>
  <c r="C30" i="9"/>
  <c r="F29" i="9"/>
  <c r="C29" i="9"/>
  <c r="F28" i="9"/>
  <c r="C28" i="9"/>
  <c r="F27" i="9"/>
  <c r="C27" i="9"/>
  <c r="E25" i="9"/>
  <c r="F25" i="9" s="1"/>
  <c r="B25" i="9"/>
  <c r="C26" i="9" s="1"/>
  <c r="B32" i="9" s="1"/>
  <c r="F24" i="9"/>
  <c r="E32" i="9" s="1"/>
  <c r="E33" i="9" s="1"/>
  <c r="F33" i="9" s="1"/>
  <c r="C24" i="9"/>
  <c r="F23" i="9"/>
  <c r="C23" i="9"/>
  <c r="F22" i="9"/>
  <c r="C22" i="9"/>
  <c r="C21" i="9"/>
  <c r="E20" i="9"/>
  <c r="F20" i="9" s="1"/>
  <c r="C20" i="9"/>
  <c r="E18" i="9"/>
  <c r="F19" i="9" s="1"/>
  <c r="B18" i="9"/>
  <c r="C19" i="9" s="1"/>
  <c r="F17" i="9"/>
  <c r="C17" i="9"/>
  <c r="F16" i="9"/>
  <c r="C16" i="9"/>
  <c r="B11" i="9" s="1"/>
  <c r="F15" i="9"/>
  <c r="C15" i="9"/>
  <c r="F14" i="9"/>
  <c r="C14" i="9"/>
  <c r="F13" i="9"/>
  <c r="C13" i="9"/>
  <c r="E11" i="9"/>
  <c r="F12" i="9" s="1"/>
  <c r="F10" i="9"/>
  <c r="C10" i="9"/>
  <c r="F9" i="9"/>
  <c r="C9" i="9"/>
  <c r="F8" i="9"/>
  <c r="C8" i="9"/>
  <c r="B4" i="9" s="1"/>
  <c r="C5" i="9" s="1"/>
  <c r="F7" i="9"/>
  <c r="E4" i="9" s="1"/>
  <c r="C7" i="9"/>
  <c r="F6" i="9"/>
  <c r="C6" i="9"/>
  <c r="C4" i="9"/>
  <c r="C12" i="9" l="1"/>
  <c r="C11" i="9"/>
  <c r="F21" i="9"/>
  <c r="F26" i="9"/>
  <c r="C18" i="9"/>
  <c r="F5" i="9"/>
  <c r="F4" i="9"/>
  <c r="B33" i="9"/>
  <c r="C33" i="9" s="1"/>
  <c r="C32" i="9"/>
  <c r="F11" i="9"/>
  <c r="F18" i="9"/>
  <c r="F32" i="9"/>
  <c r="C25" i="9"/>
  <c r="F31" i="8" l="1"/>
  <c r="C31" i="8"/>
  <c r="F30" i="8"/>
  <c r="C30" i="8"/>
  <c r="F29" i="8"/>
  <c r="C29" i="8"/>
  <c r="F26" i="8"/>
  <c r="C26" i="8"/>
  <c r="F25" i="8"/>
  <c r="C25" i="8"/>
  <c r="F24" i="8"/>
  <c r="E20" i="8" s="1"/>
  <c r="C24" i="8"/>
  <c r="F23" i="8"/>
  <c r="C23" i="8"/>
  <c r="B27" i="8" s="1"/>
  <c r="F22" i="8"/>
  <c r="E27" i="8" s="1"/>
  <c r="C22" i="8"/>
  <c r="B32" i="8" s="1"/>
  <c r="C32" i="8" s="1"/>
  <c r="F19" i="8"/>
  <c r="E32" i="8" s="1"/>
  <c r="C19" i="8"/>
  <c r="F18" i="8"/>
  <c r="C18" i="8"/>
  <c r="C17" i="8"/>
  <c r="C16" i="8"/>
  <c r="B20" i="8" s="1"/>
  <c r="F15" i="8"/>
  <c r="C15" i="8"/>
  <c r="E13" i="8"/>
  <c r="F13" i="8" s="1"/>
  <c r="F12" i="8"/>
  <c r="E6" i="8" s="1"/>
  <c r="C12" i="8"/>
  <c r="F11" i="8"/>
  <c r="C11" i="8"/>
  <c r="F10" i="8"/>
  <c r="E16" i="8" s="1"/>
  <c r="C10" i="8"/>
  <c r="F9" i="8"/>
  <c r="C9" i="8"/>
  <c r="F8" i="8"/>
  <c r="C8" i="8"/>
  <c r="B13" i="8" s="1"/>
  <c r="B6" i="8"/>
  <c r="C7" i="8" s="1"/>
  <c r="F5" i="8"/>
  <c r="C5" i="8"/>
  <c r="F4" i="8"/>
  <c r="C4" i="8"/>
  <c r="F20" i="8" l="1"/>
  <c r="F21" i="8"/>
  <c r="F14" i="8"/>
  <c r="C14" i="8"/>
  <c r="C13" i="8"/>
  <c r="F6" i="8"/>
  <c r="F7" i="8"/>
  <c r="C27" i="8"/>
  <c r="C28" i="8"/>
  <c r="F17" i="8"/>
  <c r="F16" i="8"/>
  <c r="C20" i="8"/>
  <c r="C21" i="8"/>
  <c r="F27" i="8"/>
  <c r="F28" i="8"/>
  <c r="C6" i="8"/>
  <c r="C33" i="7" l="1"/>
  <c r="F32" i="7"/>
  <c r="C32" i="7"/>
  <c r="E30" i="7"/>
  <c r="F31" i="7" s="1"/>
  <c r="F29" i="7"/>
  <c r="C29" i="7"/>
  <c r="F28" i="7"/>
  <c r="E33" i="7" s="1"/>
  <c r="F33" i="7" s="1"/>
  <c r="C28" i="7"/>
  <c r="F27" i="7"/>
  <c r="C27" i="7"/>
  <c r="F26" i="7"/>
  <c r="C26" i="7"/>
  <c r="F25" i="7"/>
  <c r="C25" i="7"/>
  <c r="E23" i="7"/>
  <c r="F24" i="7" s="1"/>
  <c r="F22" i="7"/>
  <c r="C22" i="7"/>
  <c r="F21" i="7"/>
  <c r="C21" i="7"/>
  <c r="F20" i="7"/>
  <c r="C20" i="7"/>
  <c r="F19" i="7"/>
  <c r="C19" i="7"/>
  <c r="F18" i="7"/>
  <c r="C18" i="7"/>
  <c r="F15" i="7"/>
  <c r="C15" i="7"/>
  <c r="F14" i="7"/>
  <c r="C14" i="7"/>
  <c r="F13" i="7"/>
  <c r="C13" i="7"/>
  <c r="B30" i="7" s="1"/>
  <c r="F12" i="7"/>
  <c r="C12" i="7"/>
  <c r="F11" i="7"/>
  <c r="C11" i="7"/>
  <c r="B23" i="7" s="1"/>
  <c r="F8" i="7"/>
  <c r="C8" i="7"/>
  <c r="B16" i="7" s="1"/>
  <c r="F7" i="7"/>
  <c r="C7" i="7"/>
  <c r="F6" i="7"/>
  <c r="C6" i="7"/>
  <c r="F5" i="7"/>
  <c r="C5" i="7"/>
  <c r="B9" i="7" s="1"/>
  <c r="F4" i="7"/>
  <c r="E9" i="7" s="1"/>
  <c r="F10" i="7" s="1"/>
  <c r="E16" i="7" s="1"/>
  <c r="C4" i="7"/>
  <c r="C3" i="7"/>
  <c r="C31" i="7" l="1"/>
  <c r="C30" i="7"/>
  <c r="F17" i="7"/>
  <c r="F16" i="7"/>
  <c r="C17" i="7"/>
  <c r="C16" i="7"/>
  <c r="C10" i="7"/>
  <c r="C9" i="7"/>
  <c r="C24" i="7"/>
  <c r="C23" i="7"/>
  <c r="F9" i="7"/>
  <c r="F23" i="7"/>
  <c r="F30" i="7"/>
  <c r="F32" i="6" l="1"/>
  <c r="C32" i="6"/>
  <c r="F31" i="6"/>
  <c r="C31" i="6"/>
  <c r="F30" i="6"/>
  <c r="C30" i="6"/>
  <c r="F29" i="6"/>
  <c r="C29" i="6"/>
  <c r="F28" i="6"/>
  <c r="C28" i="6"/>
  <c r="U26" i="6"/>
  <c r="E26" i="6"/>
  <c r="F26" i="6" s="1"/>
  <c r="F25" i="6"/>
  <c r="C25" i="6"/>
  <c r="F24" i="6"/>
  <c r="C24" i="6"/>
  <c r="F23" i="6"/>
  <c r="C23" i="6"/>
  <c r="F22" i="6"/>
  <c r="C22" i="6"/>
  <c r="F21" i="6"/>
  <c r="C21" i="6"/>
  <c r="E19" i="6"/>
  <c r="F19" i="6" s="1"/>
  <c r="F18" i="6"/>
  <c r="C18" i="6"/>
  <c r="B33" i="6" s="1"/>
  <c r="C33" i="6" s="1"/>
  <c r="F17" i="6"/>
  <c r="C17" i="6"/>
  <c r="B26" i="6" s="1"/>
  <c r="F16" i="6"/>
  <c r="C16" i="6"/>
  <c r="B12" i="6" s="1"/>
  <c r="F15" i="6"/>
  <c r="C15" i="6"/>
  <c r="C14" i="6"/>
  <c r="F11" i="6"/>
  <c r="C11" i="6"/>
  <c r="B19" i="6" s="1"/>
  <c r="F10" i="6"/>
  <c r="C10" i="6"/>
  <c r="B5" i="6" s="1"/>
  <c r="F9" i="6"/>
  <c r="C9" i="6"/>
  <c r="F8" i="6"/>
  <c r="E12" i="6" s="1"/>
  <c r="F7" i="6"/>
  <c r="B7" i="6"/>
  <c r="C8" i="6" s="1"/>
  <c r="E5" i="6"/>
  <c r="F5" i="6" s="1"/>
  <c r="F4" i="6"/>
  <c r="C4" i="6"/>
  <c r="C3" i="6"/>
  <c r="F6" i="6" l="1"/>
  <c r="C19" i="6"/>
  <c r="C20" i="6"/>
  <c r="C26" i="6"/>
  <c r="C27" i="6"/>
  <c r="C12" i="6"/>
  <c r="C13" i="6"/>
  <c r="E13" i="6"/>
  <c r="F12" i="6"/>
  <c r="E33" i="6" s="1"/>
  <c r="F33" i="6" s="1"/>
  <c r="C5" i="6"/>
  <c r="C6" i="6"/>
  <c r="F20" i="6"/>
  <c r="F27" i="6"/>
  <c r="C7" i="6"/>
  <c r="F14" i="6" l="1"/>
  <c r="F13" i="6"/>
  <c r="F32" i="5" l="1"/>
  <c r="C32" i="5"/>
  <c r="F31" i="5"/>
  <c r="C31" i="5"/>
  <c r="F30" i="5"/>
  <c r="C30" i="5"/>
  <c r="F27" i="5"/>
  <c r="C27" i="5"/>
  <c r="U26" i="5"/>
  <c r="F26" i="5"/>
  <c r="C26" i="5"/>
  <c r="F25" i="5"/>
  <c r="C25" i="5"/>
  <c r="F24" i="5"/>
  <c r="C24" i="5"/>
  <c r="F23" i="5"/>
  <c r="C23" i="5"/>
  <c r="B28" i="5" s="1"/>
  <c r="F20" i="5"/>
  <c r="C20" i="5"/>
  <c r="C19" i="5"/>
  <c r="E18" i="5"/>
  <c r="F18" i="5" s="1"/>
  <c r="C18" i="5"/>
  <c r="B21" i="5" s="1"/>
  <c r="C22" i="5" s="1"/>
  <c r="F17" i="5"/>
  <c r="C17" i="5"/>
  <c r="F16" i="5"/>
  <c r="C16" i="5"/>
  <c r="F13" i="5"/>
  <c r="E21" i="5" s="1"/>
  <c r="C13" i="5"/>
  <c r="F12" i="5"/>
  <c r="E28" i="5" s="1"/>
  <c r="C12" i="5"/>
  <c r="F11" i="5"/>
  <c r="C11" i="5"/>
  <c r="F10" i="5"/>
  <c r="C10" i="5"/>
  <c r="B14" i="5" s="1"/>
  <c r="F9" i="5"/>
  <c r="C9" i="5"/>
  <c r="E7" i="5"/>
  <c r="F8" i="5" s="1"/>
  <c r="E14" i="5" s="1"/>
  <c r="B7" i="5"/>
  <c r="C8" i="5" s="1"/>
  <c r="F6" i="5"/>
  <c r="C6" i="5"/>
  <c r="F5" i="5"/>
  <c r="C5" i="5"/>
  <c r="F4" i="5"/>
  <c r="C4" i="5"/>
  <c r="C3" i="5"/>
  <c r="F19" i="5" l="1"/>
  <c r="C28" i="5"/>
  <c r="C29" i="5"/>
  <c r="F28" i="5"/>
  <c r="F29" i="5"/>
  <c r="F21" i="5"/>
  <c r="F22" i="5"/>
  <c r="F15" i="5"/>
  <c r="F14" i="5"/>
  <c r="C15" i="5"/>
  <c r="C14" i="5"/>
  <c r="C21" i="5"/>
  <c r="F7" i="5"/>
  <c r="C7" i="5"/>
  <c r="E31" i="4" l="1"/>
  <c r="F32" i="4" s="1"/>
  <c r="F30" i="4"/>
  <c r="C30" i="4"/>
  <c r="F29" i="4"/>
  <c r="C29" i="4"/>
  <c r="C26" i="4"/>
  <c r="E25" i="4"/>
  <c r="F26" i="4" s="1"/>
  <c r="C25" i="4"/>
  <c r="E24" i="4"/>
  <c r="F24" i="4" s="1"/>
  <c r="C24" i="4"/>
  <c r="F23" i="4"/>
  <c r="C23" i="4"/>
  <c r="F22" i="4"/>
  <c r="C22" i="4"/>
  <c r="F21" i="4"/>
  <c r="C21" i="4"/>
  <c r="B31" i="4" s="1"/>
  <c r="F20" i="4"/>
  <c r="C20" i="4"/>
  <c r="B27" i="4" s="1"/>
  <c r="F19" i="4"/>
  <c r="C19" i="4"/>
  <c r="C18" i="4"/>
  <c r="E17" i="4"/>
  <c r="F17" i="4" s="1"/>
  <c r="C17" i="4"/>
  <c r="F16" i="4"/>
  <c r="C16" i="4"/>
  <c r="F15" i="4"/>
  <c r="C15" i="4"/>
  <c r="F14" i="4"/>
  <c r="C14" i="4"/>
  <c r="F13" i="4"/>
  <c r="C13" i="4"/>
  <c r="F12" i="4"/>
  <c r="E27" i="4" s="1"/>
  <c r="C12" i="4"/>
  <c r="C11" i="4"/>
  <c r="E10" i="4"/>
  <c r="F10" i="4" s="1"/>
  <c r="C10" i="4"/>
  <c r="F9" i="4"/>
  <c r="C9" i="4"/>
  <c r="F8" i="4"/>
  <c r="C8" i="4"/>
  <c r="F7" i="4"/>
  <c r="C7" i="4"/>
  <c r="F6" i="4"/>
  <c r="E33" i="4" s="1"/>
  <c r="F33" i="4" s="1"/>
  <c r="C6" i="4"/>
  <c r="F5" i="4"/>
  <c r="C5" i="4"/>
  <c r="F4" i="4"/>
  <c r="C4" i="4"/>
  <c r="C3" i="4"/>
  <c r="F18" i="4" l="1"/>
  <c r="F11" i="4"/>
  <c r="C31" i="4"/>
  <c r="C32" i="4"/>
  <c r="C27" i="4"/>
  <c r="B33" i="4" s="1"/>
  <c r="C33" i="4" s="1"/>
  <c r="C28" i="4"/>
  <c r="F27" i="4"/>
  <c r="F28" i="4"/>
  <c r="F25" i="4"/>
  <c r="F31" i="4"/>
  <c r="E31" i="3" l="1"/>
  <c r="C31" i="3"/>
  <c r="E30" i="3"/>
  <c r="C30" i="3"/>
  <c r="E29" i="3"/>
  <c r="C29" i="3"/>
  <c r="E28" i="3"/>
  <c r="C28" i="3"/>
  <c r="E27" i="3"/>
  <c r="C27" i="3"/>
  <c r="E26" i="3"/>
  <c r="C26" i="3"/>
  <c r="E25" i="3"/>
  <c r="C25" i="3"/>
  <c r="E24" i="3"/>
  <c r="C24" i="3"/>
  <c r="E23" i="3"/>
  <c r="C23" i="3"/>
  <c r="E22" i="3"/>
  <c r="C22" i="3"/>
  <c r="E21" i="3"/>
  <c r="C21" i="3"/>
  <c r="E20" i="3"/>
  <c r="C20" i="3"/>
  <c r="E19" i="3"/>
  <c r="C19" i="3"/>
  <c r="E18" i="3"/>
  <c r="C18" i="3"/>
  <c r="E17" i="3"/>
  <c r="C17" i="3"/>
  <c r="E16" i="3"/>
  <c r="C16" i="3"/>
  <c r="E15" i="3"/>
  <c r="C15" i="3"/>
  <c r="E14" i="3"/>
  <c r="C14" i="3"/>
  <c r="E13" i="3"/>
  <c r="C13" i="3"/>
  <c r="E12" i="3"/>
  <c r="C12" i="3"/>
  <c r="E11" i="3"/>
  <c r="C11" i="3"/>
  <c r="E10" i="3"/>
  <c r="C10" i="3"/>
  <c r="E9" i="3"/>
  <c r="C9" i="3"/>
  <c r="E8" i="3"/>
  <c r="C8" i="3"/>
  <c r="E7" i="3"/>
  <c r="C7" i="3"/>
  <c r="E6" i="3"/>
  <c r="C6" i="3"/>
  <c r="E5" i="3"/>
  <c r="C5" i="3"/>
  <c r="E4" i="3"/>
  <c r="C4" i="3"/>
  <c r="J59" i="2" l="1"/>
  <c r="J58" i="2"/>
  <c r="J57" i="2"/>
  <c r="M56" i="2"/>
  <c r="I56" i="2"/>
  <c r="H56" i="2"/>
  <c r="G56" i="2"/>
  <c r="F56" i="2"/>
  <c r="E56" i="2"/>
  <c r="D56" i="2"/>
  <c r="C56" i="2"/>
  <c r="B56" i="2"/>
  <c r="M55" i="2"/>
  <c r="I55" i="2"/>
  <c r="H55" i="2"/>
  <c r="G55" i="2"/>
  <c r="F55" i="2"/>
  <c r="E55" i="2"/>
  <c r="D55" i="2"/>
  <c r="C55" i="2"/>
  <c r="B55" i="2"/>
  <c r="M54" i="2"/>
  <c r="I54" i="2"/>
  <c r="H54" i="2"/>
  <c r="G54" i="2"/>
  <c r="F54" i="2"/>
  <c r="E54" i="2"/>
  <c r="D54" i="2"/>
  <c r="C54" i="2"/>
  <c r="B54" i="2"/>
  <c r="M53" i="2"/>
  <c r="I53" i="2"/>
  <c r="H53" i="2"/>
  <c r="G53" i="2"/>
  <c r="F53" i="2"/>
  <c r="E53" i="2"/>
  <c r="D53" i="2"/>
  <c r="C53" i="2"/>
  <c r="B53" i="2"/>
  <c r="J53" i="2" s="1"/>
  <c r="M52" i="2"/>
  <c r="M50" i="2"/>
  <c r="I50" i="2"/>
  <c r="H50" i="2"/>
  <c r="G50" i="2"/>
  <c r="F50" i="2"/>
  <c r="E50" i="2"/>
  <c r="D50" i="2"/>
  <c r="C50" i="2"/>
  <c r="B50" i="2"/>
  <c r="M49" i="2"/>
  <c r="I49" i="2"/>
  <c r="H49" i="2"/>
  <c r="G49" i="2"/>
  <c r="F49" i="2"/>
  <c r="E49" i="2"/>
  <c r="D49" i="2"/>
  <c r="C49" i="2"/>
  <c r="B49" i="2"/>
  <c r="J49" i="2" s="1"/>
  <c r="M48" i="2"/>
  <c r="I48" i="2"/>
  <c r="H48" i="2"/>
  <c r="G48" i="2"/>
  <c r="F48" i="2"/>
  <c r="E48" i="2"/>
  <c r="D48" i="2"/>
  <c r="C48" i="2"/>
  <c r="B48" i="2"/>
  <c r="M47" i="2"/>
  <c r="I47" i="2"/>
  <c r="H47" i="2"/>
  <c r="G47" i="2"/>
  <c r="F47" i="2"/>
  <c r="E47" i="2"/>
  <c r="D47" i="2"/>
  <c r="C47" i="2"/>
  <c r="B47" i="2"/>
  <c r="M46" i="2"/>
  <c r="M43" i="2"/>
  <c r="I43" i="2"/>
  <c r="H43" i="2"/>
  <c r="G43" i="2"/>
  <c r="F43" i="2"/>
  <c r="E43" i="2"/>
  <c r="D43" i="2"/>
  <c r="C43" i="2"/>
  <c r="B43" i="2"/>
  <c r="M42" i="2"/>
  <c r="I42" i="2"/>
  <c r="H42" i="2"/>
  <c r="G42" i="2"/>
  <c r="F42" i="2"/>
  <c r="E42" i="2"/>
  <c r="D42" i="2"/>
  <c r="C42" i="2"/>
  <c r="B42" i="2"/>
  <c r="J42" i="2" s="1"/>
  <c r="M41" i="2"/>
  <c r="I41" i="2"/>
  <c r="H41" i="2"/>
  <c r="G41" i="2"/>
  <c r="F41" i="2"/>
  <c r="E41" i="2"/>
  <c r="D41" i="2"/>
  <c r="C41" i="2"/>
  <c r="B41" i="2"/>
  <c r="M40" i="2"/>
  <c r="I40" i="2"/>
  <c r="H40" i="2"/>
  <c r="G40" i="2"/>
  <c r="F40" i="2"/>
  <c r="E40" i="2"/>
  <c r="D40" i="2"/>
  <c r="C40" i="2"/>
  <c r="B40" i="2"/>
  <c r="M39" i="2"/>
  <c r="J39" i="2"/>
  <c r="J38" i="2"/>
  <c r="J37" i="2"/>
  <c r="I36" i="2"/>
  <c r="H36" i="2"/>
  <c r="G36" i="2"/>
  <c r="F36" i="2"/>
  <c r="E36" i="2"/>
  <c r="D36" i="2"/>
  <c r="C36" i="2"/>
  <c r="B36" i="2"/>
  <c r="I35" i="2"/>
  <c r="H35" i="2"/>
  <c r="G35" i="2"/>
  <c r="F35" i="2"/>
  <c r="E35" i="2"/>
  <c r="D35" i="2"/>
  <c r="C35" i="2"/>
  <c r="B35" i="2"/>
  <c r="I34" i="2"/>
  <c r="H34" i="2"/>
  <c r="G34" i="2"/>
  <c r="F34" i="2"/>
  <c r="E34" i="2"/>
  <c r="D34" i="2"/>
  <c r="C34" i="2"/>
  <c r="B34" i="2"/>
  <c r="I33" i="2"/>
  <c r="H33" i="2"/>
  <c r="G33" i="2"/>
  <c r="F33" i="2"/>
  <c r="E33" i="2"/>
  <c r="D33" i="2"/>
  <c r="C33" i="2"/>
  <c r="B33" i="2"/>
  <c r="I32" i="2"/>
  <c r="H32" i="2"/>
  <c r="G32" i="2"/>
  <c r="F32" i="2"/>
  <c r="D32" i="2"/>
  <c r="C32" i="2"/>
  <c r="B32" i="2"/>
  <c r="M27" i="2"/>
  <c r="J32" i="2" l="1"/>
  <c r="J41" i="2"/>
  <c r="J43" i="2"/>
  <c r="J54" i="2"/>
  <c r="J34" i="2"/>
  <c r="J35" i="2"/>
  <c r="J36" i="2"/>
  <c r="J55" i="2"/>
  <c r="J33" i="2"/>
  <c r="J56" i="2"/>
  <c r="J47" i="2"/>
  <c r="J48" i="2"/>
  <c r="J40" i="2"/>
  <c r="J50" i="2"/>
  <c r="N45" i="1"/>
  <c r="M45" i="1"/>
  <c r="I45" i="1"/>
  <c r="H45" i="1"/>
  <c r="G45" i="1"/>
  <c r="F45" i="1"/>
  <c r="E45" i="1"/>
  <c r="D45" i="1"/>
  <c r="C45" i="1"/>
  <c r="B45" i="1"/>
  <c r="J45" i="1" s="1"/>
  <c r="N44" i="1"/>
  <c r="M44" i="1"/>
  <c r="I44" i="1"/>
  <c r="H44" i="1"/>
  <c r="G44" i="1"/>
  <c r="F44" i="1"/>
  <c r="E44" i="1"/>
  <c r="D44" i="1"/>
  <c r="C44" i="1"/>
  <c r="B44" i="1"/>
  <c r="N43" i="1"/>
  <c r="M43" i="1"/>
  <c r="I43" i="1"/>
  <c r="H43" i="1"/>
  <c r="G43" i="1"/>
  <c r="F43" i="1"/>
  <c r="E43" i="1"/>
  <c r="D43" i="1"/>
  <c r="C43" i="1"/>
  <c r="B43" i="1"/>
  <c r="N42" i="1"/>
  <c r="M42" i="1"/>
  <c r="I42" i="1"/>
  <c r="H42" i="1"/>
  <c r="G42" i="1"/>
  <c r="F42" i="1"/>
  <c r="E42" i="1"/>
  <c r="D42" i="1"/>
  <c r="C42" i="1"/>
  <c r="B42" i="1"/>
  <c r="N41" i="1"/>
  <c r="M41" i="1"/>
  <c r="I41" i="1"/>
  <c r="H41" i="1"/>
  <c r="F41" i="1"/>
  <c r="E41" i="1"/>
  <c r="D41" i="1"/>
  <c r="C41" i="1"/>
  <c r="B41" i="1"/>
  <c r="J41" i="1" s="1"/>
  <c r="N40" i="1"/>
  <c r="M40" i="1"/>
  <c r="I40" i="1"/>
  <c r="H40" i="1"/>
  <c r="G40" i="1"/>
  <c r="F40" i="1"/>
  <c r="E40" i="1"/>
  <c r="D40" i="1"/>
  <c r="C40" i="1"/>
  <c r="B40" i="1"/>
  <c r="N39" i="1"/>
  <c r="M39" i="1"/>
  <c r="I39" i="1"/>
  <c r="H39" i="1"/>
  <c r="G39" i="1"/>
  <c r="F39" i="1"/>
  <c r="E39" i="1"/>
  <c r="D39" i="1"/>
  <c r="C39" i="1"/>
  <c r="B39" i="1"/>
  <c r="N38" i="1"/>
  <c r="M38" i="1"/>
  <c r="I38" i="1"/>
  <c r="H38" i="1"/>
  <c r="G38" i="1"/>
  <c r="F38" i="1"/>
  <c r="E38" i="1"/>
  <c r="D38" i="1"/>
  <c r="C38" i="1"/>
  <c r="B38" i="1"/>
  <c r="J42" i="1" l="1"/>
  <c r="J43" i="1"/>
  <c r="J38" i="1"/>
  <c r="J39" i="1"/>
  <c r="J44" i="1"/>
  <c r="J40" i="1"/>
</calcChain>
</file>

<file path=xl/sharedStrings.xml><?xml version="1.0" encoding="utf-8"?>
<sst xmlns="http://schemas.openxmlformats.org/spreadsheetml/2006/main" count="19705" uniqueCount="2826">
  <si>
    <t>February- 2020 Power Consumption KWH Reading</t>
  </si>
  <si>
    <t>Feb 2020 Reading</t>
  </si>
  <si>
    <t>Date</t>
  </si>
  <si>
    <t xml:space="preserve">LVP-1
</t>
  </si>
  <si>
    <t xml:space="preserve">LVP-2A
</t>
  </si>
  <si>
    <t xml:space="preserve">LVP-3A
</t>
  </si>
  <si>
    <t xml:space="preserve">LVP-4
</t>
  </si>
  <si>
    <t xml:space="preserve">LVP-5
</t>
  </si>
  <si>
    <t xml:space="preserve">LVP-6
</t>
  </si>
  <si>
    <t xml:space="preserve">LVP-7A
</t>
  </si>
  <si>
    <t xml:space="preserve">LVP-8A
</t>
  </si>
  <si>
    <t>TSE Water</t>
  </si>
  <si>
    <t>Diesel</t>
  </si>
  <si>
    <t>KWH</t>
  </si>
  <si>
    <t>1000 Liters</t>
  </si>
  <si>
    <t>Liters</t>
  </si>
  <si>
    <t>February- 2020 Power Consumption per day</t>
  </si>
  <si>
    <t>Feb 2020 consumption per day</t>
  </si>
  <si>
    <t xml:space="preserve">Total
</t>
  </si>
  <si>
    <r>
      <rPr>
        <b/>
        <sz val="11"/>
        <color theme="1"/>
        <rFont val="Calibri"/>
        <family val="2"/>
        <scheme val="minor"/>
      </rPr>
      <t>Note</t>
    </r>
    <r>
      <rPr>
        <sz val="11"/>
        <color theme="1"/>
        <rFont val="Calibri"/>
        <family val="2"/>
        <scheme val="minor"/>
      </rPr>
      <t>: Reading data collection started from 17th Feb 2020.</t>
    </r>
  </si>
  <si>
    <t>March- 2020 Power Consumption KWH Reading</t>
  </si>
  <si>
    <t>March 2020 Reading</t>
  </si>
  <si>
    <t>March- 2020 Power Consumption per day</t>
  </si>
  <si>
    <t>March 2020 consumption per day</t>
  </si>
  <si>
    <t>Month Day</t>
  </si>
  <si>
    <t>Power
Consumption
KWH</t>
  </si>
  <si>
    <t>TSE Water Cosumption
1000 liters</t>
  </si>
  <si>
    <t>Diesel
Consumption
Liters</t>
  </si>
  <si>
    <t>SYSTEM WISE General Activities in March 2020</t>
  </si>
  <si>
    <t>BMS System</t>
  </si>
  <si>
    <t>System still have issues as below:-
● Communication failure with field devices, 
● Configuration of devices on graphics, wrong status.
● Frequent faults in Fire Alarm panels.
● In most of building rooms, HVAC equipments not maintaining temperature as per set point.</t>
  </si>
  <si>
    <t>Chiller, Cooling Tower &amp; CPM.</t>
  </si>
  <si>
    <t>● Chiller and Cooling Tower - Diplomat Chiller Operator monitoring, performed daily log sheet and parameter reading in chiller yard.
● Construction team performed monthly PPM on Cooling Towers and primary pumps.</t>
  </si>
  <si>
    <t>RO Plant</t>
  </si>
  <si>
    <t>RO Plant SNC specialist run the system for checking the operation, data logging &amp; alarm status without system handover just for operation purpose and the responsibility still under the contractor.</t>
  </si>
  <si>
    <t>Mechanical System</t>
  </si>
  <si>
    <t>Construction team (Diplomat) envolve in snagging and maintenance works on following Systems:-
● AHU,FCU, Split units, CRAC units, Exhaust fans &amp; VRV's, SAF, FAF.
● maintainance on Oil seperators.
● Training on Fire Curtains maintanance and Operation.
● Training on Ceiling Vinyle maintainance and operation.</t>
  </si>
  <si>
    <t>Fire Alarm &amp; Fire Fighting System</t>
  </si>
  <si>
    <t>Construction team (Diplomat) envolve in snagging and maintenance works on following systems:- 
● FHC, Fire Extinguishers, HWCP, water Heater and roof pumps.</t>
  </si>
  <si>
    <t>Electrical Systems</t>
  </si>
  <si>
    <t>Construction team performing snagging &amp; PPM maintanance activities for Lighting control system, distribution panels &amp; LV panels.</t>
  </si>
  <si>
    <t>AV &amp; PAVA Systems</t>
  </si>
  <si>
    <t xml:space="preserve">The system is not handover for SNC lavalin up to date but our staff try to keep moinitring the issue delayed the contractor to handover the operation daily.
Training on Digital Signages &amp; IPTV held on 24th March. </t>
  </si>
  <si>
    <t>CAFM System</t>
  </si>
  <si>
    <t>CAFM System is operational, following activities performed in month of March 2020:-
● Additions on location tags and asset register
● Preparing location tag catalogue.
● Generate &amp; Closing WO's for defect &amp; PPM's
● Works on fixed &amp; Mobile Asset register</t>
  </si>
  <si>
    <t>Sum of all 8 LV Panel Readings</t>
  </si>
  <si>
    <t>24 Hrs Reading Difference</t>
  </si>
  <si>
    <t>TSE Main water supply line reading</t>
  </si>
  <si>
    <t>Diesel
Main Tank Level</t>
  </si>
  <si>
    <t>Reading From Tank Management System</t>
  </si>
  <si>
    <t>Utility Readings</t>
  </si>
  <si>
    <t>Kahramaa Electrical Meter Number</t>
  </si>
  <si>
    <r>
      <rPr>
        <b/>
        <sz val="6"/>
        <rFont val="Calibri"/>
        <family val="2"/>
      </rPr>
      <t>Consumption Readings (KWh)</t>
    </r>
  </si>
  <si>
    <t>Consumption Readings (KWh)</t>
  </si>
  <si>
    <t>1256358    LVP-1</t>
  </si>
  <si>
    <t>1256359    LVP-2A</t>
  </si>
  <si>
    <t>1256360    LVP-3A</t>
  </si>
  <si>
    <t>1256361    LVP-4</t>
  </si>
  <si>
    <t>1256362    LVP-5</t>
  </si>
  <si>
    <t>1256363    LVP-6</t>
  </si>
  <si>
    <t>1256364    LVP-7A</t>
  </si>
  <si>
    <t>1256365    LVP-8A</t>
  </si>
  <si>
    <t>TOTAL</t>
  </si>
  <si>
    <t>Domestic Water Meter No. / Location</t>
  </si>
  <si>
    <t>Readings (m3)</t>
  </si>
  <si>
    <r>
      <rPr>
        <b/>
        <sz val="6"/>
        <rFont val="Calibri"/>
        <family val="2"/>
      </rPr>
      <t>Readings (m3)</t>
    </r>
  </si>
  <si>
    <t>1219053 (Beside Entrance Gate-04)</t>
  </si>
  <si>
    <t>KF-18540109 (Beside Exit Gate Room and Generator Room)</t>
  </si>
  <si>
    <t>KF-18530916  (Inside Portable Water Tank Room)</t>
  </si>
  <si>
    <t>TSE Water Meter No. / Location</t>
  </si>
  <si>
    <t>19ACI 005333 (Under Ground beside Ramp 4 exit)</t>
  </si>
  <si>
    <t>K22223190003505907 (Irrigatation Water Tank Room) (In DM3)</t>
  </si>
  <si>
    <t>KF-18540133 (TSE Tank &amp; Pump Room)</t>
  </si>
  <si>
    <t>1545002323 (Make Up Water Pump)</t>
  </si>
  <si>
    <t>Diesel Meter No. / Location</t>
  </si>
  <si>
    <t>Readings (Liters)</t>
  </si>
  <si>
    <r>
      <rPr>
        <b/>
        <sz val="6"/>
        <rFont val="Calibri"/>
        <family val="2"/>
      </rPr>
      <t>Readings (Liters)</t>
    </r>
  </si>
  <si>
    <t>ETD 1000 (Beside Diesel Truck Uploading Point)</t>
  </si>
  <si>
    <t>OFF</t>
  </si>
  <si>
    <r>
      <rPr>
        <sz val="6"/>
        <rFont val="Calibri"/>
        <family val="2"/>
      </rPr>
      <t>OFF</t>
    </r>
  </si>
  <si>
    <t>TMS 2000 (Inside Diesel Generator Room) in Liters</t>
  </si>
  <si>
    <t>CAP 3000 (Beside Generator-02)</t>
  </si>
  <si>
    <r>
      <rPr>
        <sz val="6"/>
        <rFont val="Calibri"/>
        <family val="2"/>
      </rPr>
      <t>4850517(dm3)</t>
    </r>
  </si>
  <si>
    <r>
      <rPr>
        <sz val="6"/>
        <rFont val="Calibri"/>
        <family val="2"/>
      </rPr>
      <t>4850516(dm3)</t>
    </r>
  </si>
  <si>
    <r>
      <rPr>
        <sz val="6"/>
        <rFont val="Calibri"/>
        <family val="2"/>
      </rPr>
      <t>4850511(dm3)</t>
    </r>
  </si>
  <si>
    <r>
      <rPr>
        <sz val="6"/>
        <rFont val="Calibri"/>
        <family val="2"/>
      </rPr>
      <t>4850495(dm3)</t>
    </r>
  </si>
  <si>
    <r>
      <rPr>
        <sz val="6"/>
        <rFont val="Calibri"/>
        <family val="2"/>
      </rPr>
      <t>4850493(dm3)</t>
    </r>
  </si>
  <si>
    <r>
      <rPr>
        <sz val="6"/>
        <rFont val="Calibri"/>
        <family val="2"/>
      </rPr>
      <t>4850490(dm3)</t>
    </r>
  </si>
  <si>
    <r>
      <rPr>
        <sz val="6"/>
        <rFont val="Calibri"/>
        <family val="2"/>
      </rPr>
      <t>4850486(dm3)</t>
    </r>
  </si>
  <si>
    <r>
      <rPr>
        <sz val="6"/>
        <rFont val="Calibri"/>
        <family val="2"/>
      </rPr>
      <t>4850485(dm3)</t>
    </r>
  </si>
  <si>
    <r>
      <rPr>
        <sz val="6"/>
        <rFont val="Calibri"/>
        <family val="2"/>
      </rPr>
      <t>4850484(dm3)</t>
    </r>
  </si>
  <si>
    <r>
      <rPr>
        <sz val="6"/>
        <rFont val="Calibri"/>
        <family val="2"/>
      </rPr>
      <t>4850480(dm3)</t>
    </r>
  </si>
  <si>
    <t>4850480(dm3)</t>
  </si>
  <si>
    <r>
      <rPr>
        <sz val="6"/>
        <rFont val="Calibri"/>
        <family val="2"/>
      </rPr>
      <t>4850479(dm3)</t>
    </r>
  </si>
  <si>
    <r>
      <rPr>
        <sz val="6"/>
        <rFont val="Calibri"/>
        <family val="2"/>
      </rPr>
      <t>4850478(dm3)</t>
    </r>
  </si>
  <si>
    <r>
      <rPr>
        <sz val="6"/>
        <rFont val="Calibri"/>
        <family val="2"/>
      </rPr>
      <t>4850473(dm3)</t>
    </r>
  </si>
  <si>
    <r>
      <rPr>
        <sz val="6"/>
        <rFont val="Calibri"/>
        <family val="2"/>
      </rPr>
      <t>4850471(dm3)</t>
    </r>
  </si>
  <si>
    <t>4850465(dm3)</t>
  </si>
  <si>
    <r>
      <rPr>
        <sz val="6"/>
        <rFont val="Calibri"/>
        <family val="2"/>
      </rPr>
      <t>4850463(dm3)</t>
    </r>
  </si>
  <si>
    <r>
      <rPr>
        <sz val="6"/>
        <rFont val="Calibri"/>
        <family val="2"/>
      </rPr>
      <t>4850461(dm3)</t>
    </r>
  </si>
  <si>
    <r>
      <rPr>
        <sz val="6"/>
        <rFont val="Calibri"/>
        <family val="2"/>
      </rPr>
      <t>4850457(dm3)</t>
    </r>
  </si>
  <si>
    <r>
      <rPr>
        <sz val="6"/>
        <rFont val="Calibri"/>
        <family val="2"/>
      </rPr>
      <t>4850454(dm3)</t>
    </r>
  </si>
  <si>
    <r>
      <rPr>
        <sz val="6"/>
        <rFont val="Calibri"/>
        <family val="2"/>
      </rPr>
      <t>4850448(dm3)</t>
    </r>
  </si>
  <si>
    <r>
      <rPr>
        <sz val="6"/>
        <rFont val="Calibri"/>
        <family val="2"/>
      </rPr>
      <t>4850442(dm3)</t>
    </r>
  </si>
  <si>
    <r>
      <rPr>
        <sz val="6"/>
        <rFont val="Calibri"/>
        <family val="2"/>
      </rPr>
      <t>47303 (Liters)</t>
    </r>
  </si>
  <si>
    <r>
      <rPr>
        <sz val="6"/>
        <rFont val="Calibri"/>
        <family val="2"/>
      </rPr>
      <t>2785  (Liters)</t>
    </r>
  </si>
  <si>
    <r>
      <rPr>
        <b/>
        <sz val="5.5"/>
        <rFont val="Calibri"/>
        <family val="2"/>
      </rPr>
      <t>Readings (m3)</t>
    </r>
  </si>
  <si>
    <r>
      <rPr>
        <sz val="6"/>
        <rFont val="Calibri"/>
        <family val="2"/>
      </rPr>
      <t>4850444(dm3)</t>
    </r>
  </si>
  <si>
    <r>
      <rPr>
        <sz val="6"/>
        <rFont val="Calibri"/>
        <family val="2"/>
      </rPr>
      <t>4850425(dm3)</t>
    </r>
  </si>
  <si>
    <r>
      <rPr>
        <sz val="6"/>
        <rFont val="Calibri"/>
        <family val="2"/>
      </rPr>
      <t>4850392(dm3)</t>
    </r>
  </si>
  <si>
    <r>
      <rPr>
        <sz val="6"/>
        <rFont val="Calibri"/>
        <family val="2"/>
      </rPr>
      <t>4850231(dm3)</t>
    </r>
  </si>
  <si>
    <r>
      <rPr>
        <sz val="6"/>
        <rFont val="Calibri"/>
        <family val="2"/>
      </rPr>
      <t>4850138 (dm3)</t>
    </r>
  </si>
  <si>
    <r>
      <rPr>
        <sz val="6"/>
        <rFont val="Calibri"/>
        <family val="2"/>
      </rPr>
      <t>4848722 (dm3)</t>
    </r>
  </si>
  <si>
    <r>
      <rPr>
        <sz val="6"/>
        <rFont val="Calibri"/>
        <family val="2"/>
      </rPr>
      <t>4848276 (dm3)</t>
    </r>
  </si>
  <si>
    <r>
      <rPr>
        <sz val="6"/>
        <rFont val="Calibri"/>
        <family val="2"/>
      </rPr>
      <t>4838277 (dm3)</t>
    </r>
  </si>
  <si>
    <r>
      <rPr>
        <sz val="6"/>
        <rFont val="Calibri"/>
        <family val="2"/>
      </rPr>
      <t>4838273 (dm3)</t>
    </r>
  </si>
  <si>
    <r>
      <rPr>
        <sz val="6"/>
        <rFont val="Calibri"/>
        <family val="2"/>
      </rPr>
      <t>4838265 (dm3)</t>
    </r>
  </si>
  <si>
    <r>
      <rPr>
        <sz val="6"/>
        <rFont val="Calibri"/>
        <family val="2"/>
      </rPr>
      <t>4838268 (dm3)</t>
    </r>
  </si>
  <si>
    <r>
      <rPr>
        <sz val="6"/>
        <rFont val="Calibri"/>
        <family val="2"/>
      </rPr>
      <t>4838256 (dm3)</t>
    </r>
  </si>
  <si>
    <r>
      <rPr>
        <sz val="6"/>
        <rFont val="Calibri"/>
        <family val="2"/>
      </rPr>
      <t>4838255 (dm3)</t>
    </r>
  </si>
  <si>
    <r>
      <rPr>
        <sz val="6"/>
        <rFont val="Calibri"/>
        <family val="2"/>
      </rPr>
      <t>4817764 (dm3)</t>
    </r>
  </si>
  <si>
    <r>
      <rPr>
        <sz val="6"/>
        <rFont val="Calibri"/>
        <family val="2"/>
      </rPr>
      <t>4804927 (dm3)</t>
    </r>
  </si>
  <si>
    <r>
      <rPr>
        <sz val="6"/>
        <rFont val="Calibri"/>
        <family val="2"/>
      </rPr>
      <t>4801993 (dm3)</t>
    </r>
  </si>
  <si>
    <r>
      <rPr>
        <sz val="6"/>
        <rFont val="Calibri"/>
        <family val="2"/>
      </rPr>
      <t>4801992 (dm3)</t>
    </r>
  </si>
  <si>
    <r>
      <rPr>
        <sz val="6"/>
        <rFont val="Calibri"/>
        <family val="2"/>
      </rPr>
      <t>4801989 (dm3)</t>
    </r>
  </si>
  <si>
    <r>
      <rPr>
        <sz val="6"/>
        <rFont val="Calibri"/>
        <family val="2"/>
      </rPr>
      <t>4825625 (dm3)</t>
    </r>
  </si>
  <si>
    <r>
      <rPr>
        <sz val="6"/>
        <rFont val="Calibri"/>
        <family val="2"/>
      </rPr>
      <t>4779388 (dm3)</t>
    </r>
  </si>
  <si>
    <r>
      <rPr>
        <sz val="6"/>
        <rFont val="Calibri"/>
        <family val="2"/>
      </rPr>
      <t>4773928 (dm3)</t>
    </r>
  </si>
  <si>
    <r>
      <rPr>
        <sz val="6"/>
        <rFont val="Calibri"/>
        <family val="2"/>
      </rPr>
      <t>4773943 (dm3)</t>
    </r>
  </si>
  <si>
    <r>
      <rPr>
        <sz val="6"/>
        <rFont val="Calibri"/>
        <family val="2"/>
      </rPr>
      <t>4773953 (dm3)</t>
    </r>
  </si>
  <si>
    <r>
      <rPr>
        <sz val="6"/>
        <rFont val="Calibri"/>
        <family val="2"/>
      </rPr>
      <t>4773963 (dm3)</t>
    </r>
  </si>
  <si>
    <r>
      <rPr>
        <sz val="6"/>
        <rFont val="Calibri"/>
        <family val="2"/>
      </rPr>
      <t>4773973 (dm3)</t>
    </r>
  </si>
  <si>
    <r>
      <rPr>
        <sz val="6"/>
        <rFont val="Calibri"/>
        <family val="2"/>
      </rPr>
      <t>4773991 (dm3)</t>
    </r>
  </si>
  <si>
    <r>
      <rPr>
        <sz val="6"/>
        <rFont val="Calibri"/>
        <family val="2"/>
      </rPr>
      <t>4774014 (dm3)</t>
    </r>
  </si>
  <si>
    <r>
      <rPr>
        <sz val="6"/>
        <rFont val="Calibri"/>
        <family val="2"/>
      </rPr>
      <t>4774037 (dm3)</t>
    </r>
  </si>
  <si>
    <r>
      <rPr>
        <sz val="5.5"/>
        <rFont val="Calibri"/>
        <family val="2"/>
      </rPr>
      <t>4774014 (dm3)</t>
    </r>
  </si>
  <si>
    <t>KHA Water Meter for B1</t>
  </si>
  <si>
    <t>157 m3</t>
  </si>
  <si>
    <r>
      <rPr>
        <sz val="5.5"/>
        <rFont val="Calibri"/>
        <family val="2"/>
      </rPr>
      <t>157 m3</t>
    </r>
  </si>
  <si>
    <t>KHA Water Meter for B2</t>
  </si>
  <si>
    <t>153 m3</t>
  </si>
  <si>
    <r>
      <rPr>
        <sz val="5.5"/>
        <rFont val="Calibri"/>
        <family val="2"/>
      </rPr>
      <t>153 m3</t>
    </r>
  </si>
  <si>
    <t>KHA Water Meter for B3</t>
  </si>
  <si>
    <t>68 m3</t>
  </si>
  <si>
    <r>
      <rPr>
        <sz val="5.5"/>
        <rFont val="Calibri"/>
        <family val="2"/>
      </rPr>
      <t>68 m3</t>
    </r>
  </si>
  <si>
    <t>KHA Water Meter for B4</t>
  </si>
  <si>
    <t>07 m3</t>
  </si>
  <si>
    <r>
      <rPr>
        <sz val="5.5"/>
        <rFont val="Calibri"/>
        <family val="2"/>
      </rPr>
      <t>07 m3</t>
    </r>
  </si>
  <si>
    <t>KHA Water Meter for B5</t>
  </si>
  <si>
    <t>274 m3</t>
  </si>
  <si>
    <r>
      <rPr>
        <sz val="5.5"/>
        <rFont val="Calibri"/>
        <family val="2"/>
      </rPr>
      <t>274 m3</t>
    </r>
  </si>
  <si>
    <t>KHA Water Meter for GR1</t>
  </si>
  <si>
    <t>27 m3</t>
  </si>
  <si>
    <r>
      <rPr>
        <sz val="5.5"/>
        <rFont val="Calibri"/>
        <family val="2"/>
      </rPr>
      <t>27 m3</t>
    </r>
  </si>
  <si>
    <t>KHA Water Meter for GR2</t>
  </si>
  <si>
    <t>04 m3</t>
  </si>
  <si>
    <r>
      <rPr>
        <sz val="5.5"/>
        <rFont val="Calibri"/>
        <family val="2"/>
      </rPr>
      <t>04 m3</t>
    </r>
  </si>
  <si>
    <r>
      <rPr>
        <b/>
        <sz val="5.5"/>
        <rFont val="Calibri"/>
        <family val="2"/>
      </rPr>
      <t>Readings (Liters)</t>
    </r>
  </si>
  <si>
    <r>
      <rPr>
        <sz val="5.5"/>
        <rFont val="Calibri"/>
        <family val="2"/>
      </rPr>
      <t>OFF</t>
    </r>
  </si>
  <si>
    <r>
      <rPr>
        <sz val="6"/>
        <rFont val="Calibri"/>
        <family val="2"/>
      </rPr>
      <t>47289 (Liters)</t>
    </r>
  </si>
  <si>
    <r>
      <rPr>
        <sz val="6"/>
        <rFont val="Calibri"/>
        <family val="2"/>
      </rPr>
      <t>47280 (Liters)</t>
    </r>
  </si>
  <si>
    <r>
      <rPr>
        <sz val="6"/>
        <rFont val="Calibri"/>
        <family val="2"/>
      </rPr>
      <t>47272 (Liters)</t>
    </r>
  </si>
  <si>
    <r>
      <rPr>
        <sz val="6"/>
        <rFont val="Calibri"/>
        <family val="2"/>
      </rPr>
      <t>47269 (Liters)</t>
    </r>
  </si>
  <si>
    <r>
      <rPr>
        <sz val="6"/>
        <rFont val="Calibri"/>
        <family val="2"/>
      </rPr>
      <t>47266 (Liters)</t>
    </r>
  </si>
  <si>
    <r>
      <rPr>
        <sz val="6"/>
        <rFont val="Calibri"/>
        <family val="2"/>
      </rPr>
      <t>47256 (Liters)</t>
    </r>
  </si>
  <si>
    <r>
      <rPr>
        <sz val="6"/>
        <rFont val="Calibri"/>
        <family val="2"/>
      </rPr>
      <t>47255 (Liters)</t>
    </r>
  </si>
  <si>
    <r>
      <rPr>
        <sz val="6"/>
        <rFont val="Calibri"/>
        <family val="2"/>
      </rPr>
      <t>47250 (Liters)</t>
    </r>
  </si>
  <si>
    <r>
      <rPr>
        <sz val="6"/>
        <rFont val="Calibri"/>
        <family val="2"/>
      </rPr>
      <t>47241 (Liters)</t>
    </r>
  </si>
  <si>
    <r>
      <rPr>
        <sz val="6"/>
        <rFont val="Calibri"/>
        <family val="2"/>
      </rPr>
      <t>47235 (Liters)</t>
    </r>
  </si>
  <si>
    <r>
      <rPr>
        <sz val="6"/>
        <rFont val="Calibri"/>
        <family val="2"/>
      </rPr>
      <t>47228 (Liters)</t>
    </r>
  </si>
  <si>
    <r>
      <rPr>
        <sz val="6"/>
        <rFont val="Calibri"/>
        <family val="2"/>
      </rPr>
      <t>47225 (Liters)</t>
    </r>
  </si>
  <si>
    <r>
      <rPr>
        <sz val="6"/>
        <rFont val="Calibri"/>
        <family val="2"/>
      </rPr>
      <t>47218 (Liters)</t>
    </r>
  </si>
  <si>
    <r>
      <rPr>
        <sz val="6"/>
        <rFont val="Calibri"/>
        <family val="2"/>
      </rPr>
      <t>47217 (Liters)</t>
    </r>
  </si>
  <si>
    <r>
      <rPr>
        <sz val="6"/>
        <rFont val="Calibri"/>
        <family val="2"/>
      </rPr>
      <t>47213 (Liters)</t>
    </r>
  </si>
  <si>
    <r>
      <rPr>
        <sz val="6"/>
        <rFont val="Calibri"/>
        <family val="2"/>
      </rPr>
      <t>47205 (Liters)</t>
    </r>
  </si>
  <si>
    <r>
      <rPr>
        <sz val="6"/>
        <rFont val="Calibri"/>
        <family val="2"/>
      </rPr>
      <t>47201 (Liters)</t>
    </r>
  </si>
  <si>
    <r>
      <rPr>
        <sz val="6"/>
        <rFont val="Calibri"/>
        <family val="2"/>
      </rPr>
      <t>47169 (Liters)</t>
    </r>
  </si>
  <si>
    <r>
      <rPr>
        <sz val="6"/>
        <rFont val="Calibri"/>
        <family val="2"/>
      </rPr>
      <t>47161 (Liters)</t>
    </r>
  </si>
  <si>
    <r>
      <rPr>
        <sz val="6"/>
        <rFont val="Calibri"/>
        <family val="2"/>
      </rPr>
      <t>47155 (Liters)</t>
    </r>
  </si>
  <si>
    <r>
      <rPr>
        <sz val="6"/>
        <rFont val="Calibri"/>
        <family val="2"/>
      </rPr>
      <t>47154 (Liters)</t>
    </r>
  </si>
  <si>
    <r>
      <rPr>
        <sz val="5.5"/>
        <rFont val="Calibri"/>
        <family val="2"/>
      </rPr>
      <t>47143 (Liters)</t>
    </r>
  </si>
  <si>
    <r>
      <rPr>
        <sz val="5.5"/>
        <rFont val="Calibri"/>
        <family val="2"/>
      </rPr>
      <t>47138 (Liters)</t>
    </r>
  </si>
  <si>
    <r>
      <rPr>
        <sz val="6"/>
        <rFont val="Calibri"/>
        <family val="2"/>
      </rPr>
      <t>47297 (Liters)</t>
    </r>
  </si>
  <si>
    <r>
      <rPr>
        <sz val="6"/>
        <rFont val="Calibri"/>
        <family val="2"/>
      </rPr>
      <t>2780  (Liters)</t>
    </r>
  </si>
  <si>
    <r>
      <rPr>
        <sz val="6"/>
        <rFont val="Calibri"/>
        <family val="2"/>
      </rPr>
      <t>2840  (Liters)</t>
    </r>
  </si>
  <si>
    <r>
      <rPr>
        <sz val="6"/>
        <rFont val="Calibri"/>
        <family val="2"/>
      </rPr>
      <t>2842  (Liters)</t>
    </r>
  </si>
  <si>
    <r>
      <rPr>
        <sz val="6"/>
        <rFont val="Calibri"/>
        <family val="2"/>
      </rPr>
      <t>2835  (Liters)</t>
    </r>
  </si>
  <si>
    <r>
      <rPr>
        <sz val="6"/>
        <rFont val="Calibri"/>
        <family val="2"/>
      </rPr>
      <t>2843  (Liters)</t>
    </r>
  </si>
  <si>
    <r>
      <rPr>
        <sz val="6"/>
        <rFont val="Calibri"/>
        <family val="2"/>
      </rPr>
      <t>2820  (Liters)</t>
    </r>
  </si>
  <si>
    <r>
      <rPr>
        <sz val="5.5"/>
        <rFont val="Calibri"/>
        <family val="2"/>
      </rPr>
      <t>2820  (Liters)</t>
    </r>
  </si>
  <si>
    <r>
      <rPr>
        <sz val="5.5"/>
        <rFont val="Calibri"/>
        <family val="2"/>
      </rPr>
      <t>4774134 (dm3)</t>
    </r>
  </si>
  <si>
    <r>
      <rPr>
        <sz val="5.5"/>
        <rFont val="Calibri"/>
        <family val="2"/>
      </rPr>
      <t>4774188(dm3)</t>
    </r>
  </si>
  <si>
    <r>
      <rPr>
        <sz val="5.5"/>
        <rFont val="Calibri"/>
        <family val="2"/>
      </rPr>
      <t>4774241 (dm3)</t>
    </r>
  </si>
  <si>
    <r>
      <rPr>
        <sz val="5.5"/>
        <rFont val="Calibri"/>
        <family val="2"/>
      </rPr>
      <t>4774305 (dm3)</t>
    </r>
  </si>
  <si>
    <r>
      <rPr>
        <sz val="5.5"/>
        <rFont val="Calibri"/>
        <family val="2"/>
      </rPr>
      <t>4774364 (dm3)</t>
    </r>
  </si>
  <si>
    <r>
      <rPr>
        <sz val="5.5"/>
        <rFont val="Calibri"/>
        <family val="2"/>
      </rPr>
      <t>4774416 (dm3)</t>
    </r>
  </si>
  <si>
    <r>
      <rPr>
        <sz val="5.5"/>
        <rFont val="Calibri"/>
        <family val="2"/>
      </rPr>
      <t>4774458 (dm3)</t>
    </r>
  </si>
  <si>
    <r>
      <rPr>
        <sz val="5.5"/>
        <rFont val="Calibri"/>
        <family val="2"/>
      </rPr>
      <t>4774506 (dm3)</t>
    </r>
  </si>
  <si>
    <r>
      <rPr>
        <sz val="5.5"/>
        <rFont val="Calibri"/>
        <family val="2"/>
      </rPr>
      <t>4774560 (dm3)</t>
    </r>
  </si>
  <si>
    <r>
      <rPr>
        <sz val="5.5"/>
        <rFont val="Calibri"/>
        <family val="2"/>
      </rPr>
      <t>4774616(dm3)</t>
    </r>
  </si>
  <si>
    <r>
      <rPr>
        <sz val="5.5"/>
        <rFont val="Calibri"/>
        <family val="2"/>
      </rPr>
      <t>4774682(dm3)</t>
    </r>
  </si>
  <si>
    <r>
      <rPr>
        <sz val="5.5"/>
        <rFont val="Calibri"/>
        <family val="2"/>
      </rPr>
      <t>4774743(dm3)</t>
    </r>
  </si>
  <si>
    <r>
      <rPr>
        <sz val="5.5"/>
        <rFont val="Calibri"/>
        <family val="2"/>
      </rPr>
      <t>4774818(dm3)</t>
    </r>
  </si>
  <si>
    <r>
      <rPr>
        <sz val="5.5"/>
        <rFont val="Calibri"/>
        <family val="2"/>
      </rPr>
      <t>4774858(dm3)</t>
    </r>
  </si>
  <si>
    <r>
      <rPr>
        <sz val="5.5"/>
        <rFont val="Calibri"/>
        <family val="2"/>
      </rPr>
      <t>4774879(dm3)</t>
    </r>
  </si>
  <si>
    <r>
      <rPr>
        <sz val="5.5"/>
        <rFont val="Calibri"/>
        <family val="2"/>
      </rPr>
      <t>21583(m3)</t>
    </r>
  </si>
  <si>
    <r>
      <rPr>
        <sz val="5.5"/>
        <rFont val="Calibri"/>
        <family val="2"/>
      </rPr>
      <t>22115(m3)</t>
    </r>
  </si>
  <si>
    <r>
      <rPr>
        <sz val="5.5"/>
        <rFont val="Calibri"/>
        <family val="2"/>
      </rPr>
      <t>103900(m3)</t>
    </r>
  </si>
  <si>
    <r>
      <rPr>
        <sz val="5.5"/>
        <rFont val="Calibri"/>
        <family val="2"/>
      </rPr>
      <t>103939(m3)</t>
    </r>
  </si>
  <si>
    <r>
      <rPr>
        <sz val="5.5"/>
        <rFont val="Calibri"/>
        <family val="2"/>
      </rPr>
      <t>103986(m3)</t>
    </r>
  </si>
  <si>
    <r>
      <rPr>
        <sz val="5.5"/>
        <rFont val="Calibri"/>
        <family val="2"/>
      </rPr>
      <t>104032(m3)</t>
    </r>
  </si>
  <si>
    <r>
      <rPr>
        <sz val="5.5"/>
        <rFont val="Calibri"/>
        <family val="2"/>
      </rPr>
      <t>104077(m3)</t>
    </r>
  </si>
  <si>
    <r>
      <rPr>
        <sz val="5.5"/>
        <rFont val="Calibri"/>
        <family val="2"/>
      </rPr>
      <t>104123(m3)</t>
    </r>
  </si>
  <si>
    <r>
      <rPr>
        <sz val="5.5"/>
        <rFont val="Calibri"/>
        <family val="2"/>
      </rPr>
      <t>104167(m3)</t>
    </r>
  </si>
  <si>
    <r>
      <rPr>
        <sz val="5.5"/>
        <rFont val="Calibri"/>
        <family val="2"/>
      </rPr>
      <t>104216(m3)</t>
    </r>
  </si>
  <si>
    <r>
      <rPr>
        <sz val="5.5"/>
        <rFont val="Calibri"/>
        <family val="2"/>
      </rPr>
      <t>104257(m3)</t>
    </r>
  </si>
  <si>
    <r>
      <rPr>
        <sz val="5.5"/>
        <rFont val="Calibri"/>
        <family val="2"/>
      </rPr>
      <t>104303(m3)</t>
    </r>
  </si>
  <si>
    <r>
      <rPr>
        <sz val="5.5"/>
        <rFont val="Calibri"/>
        <family val="2"/>
      </rPr>
      <t>212 m3(m3)</t>
    </r>
  </si>
  <si>
    <r>
      <rPr>
        <sz val="5.5"/>
        <rFont val="Calibri"/>
        <family val="2"/>
      </rPr>
      <t>256 m3(m3)</t>
    </r>
  </si>
  <si>
    <r>
      <rPr>
        <sz val="5.5"/>
        <rFont val="Calibri"/>
        <family val="2"/>
      </rPr>
      <t>210 (m3)</t>
    </r>
  </si>
  <si>
    <r>
      <rPr>
        <sz val="5.5"/>
        <rFont val="Calibri"/>
        <family val="2"/>
      </rPr>
      <t>258 (m3)</t>
    </r>
  </si>
  <si>
    <r>
      <rPr>
        <sz val="5.5"/>
        <rFont val="Calibri"/>
        <family val="2"/>
      </rPr>
      <t>84 (m3)</t>
    </r>
  </si>
  <si>
    <r>
      <rPr>
        <sz val="5.5"/>
        <rFont val="Calibri"/>
        <family val="2"/>
      </rPr>
      <t>104 (m3)</t>
    </r>
  </si>
  <si>
    <r>
      <rPr>
        <sz val="5.5"/>
        <rFont val="Calibri"/>
        <family val="2"/>
      </rPr>
      <t>19 (m3)</t>
    </r>
  </si>
  <si>
    <r>
      <rPr>
        <sz val="5.5"/>
        <rFont val="Calibri"/>
        <family val="2"/>
      </rPr>
      <t>10 (m3)</t>
    </r>
  </si>
  <si>
    <r>
      <rPr>
        <sz val="5.5"/>
        <rFont val="Calibri"/>
        <family val="2"/>
      </rPr>
      <t>340(m3)</t>
    </r>
  </si>
  <si>
    <r>
      <rPr>
        <sz val="5.5"/>
        <rFont val="Calibri"/>
        <family val="2"/>
      </rPr>
      <t>424(m3)</t>
    </r>
  </si>
  <si>
    <r>
      <rPr>
        <sz val="5.5"/>
        <rFont val="Calibri"/>
        <family val="2"/>
      </rPr>
      <t>38(m3)</t>
    </r>
  </si>
  <si>
    <r>
      <rPr>
        <sz val="5.5"/>
        <rFont val="Calibri"/>
        <family val="2"/>
      </rPr>
      <t>49(m3)</t>
    </r>
  </si>
  <si>
    <r>
      <rPr>
        <sz val="5.5"/>
        <rFont val="Calibri"/>
        <family val="2"/>
      </rPr>
      <t>06 (m3)</t>
    </r>
  </si>
  <si>
    <r>
      <rPr>
        <sz val="5.5"/>
        <rFont val="Calibri"/>
        <family val="2"/>
      </rPr>
      <t>09 (m3)</t>
    </r>
  </si>
  <si>
    <r>
      <rPr>
        <sz val="5.5"/>
        <rFont val="Calibri"/>
        <family val="2"/>
      </rPr>
      <t>47121(Liters)</t>
    </r>
  </si>
  <si>
    <r>
      <rPr>
        <sz val="5.5"/>
        <rFont val="Calibri"/>
        <family val="2"/>
      </rPr>
      <t>47114(Liters)</t>
    </r>
  </si>
  <si>
    <r>
      <rPr>
        <sz val="5.5"/>
        <rFont val="Calibri"/>
        <family val="2"/>
      </rPr>
      <t>47113(Liters)</t>
    </r>
  </si>
  <si>
    <r>
      <rPr>
        <sz val="5.5"/>
        <rFont val="Calibri"/>
        <family val="2"/>
      </rPr>
      <t>47106(Liters)</t>
    </r>
  </si>
  <si>
    <r>
      <rPr>
        <sz val="5.5"/>
        <rFont val="Calibri"/>
        <family val="2"/>
      </rPr>
      <t>47099(Liters)</t>
    </r>
  </si>
  <si>
    <r>
      <rPr>
        <sz val="5.5"/>
        <rFont val="Calibri"/>
        <family val="2"/>
      </rPr>
      <t>47091(Liters)</t>
    </r>
  </si>
  <si>
    <r>
      <rPr>
        <sz val="5.5"/>
        <rFont val="Calibri"/>
        <family val="2"/>
      </rPr>
      <t>47086(Liters)</t>
    </r>
  </si>
  <si>
    <r>
      <rPr>
        <sz val="5.5"/>
        <rFont val="Calibri"/>
        <family val="2"/>
      </rPr>
      <t>47082(Liters)</t>
    </r>
  </si>
  <si>
    <r>
      <rPr>
        <sz val="5.5"/>
        <rFont val="Calibri"/>
        <family val="2"/>
      </rPr>
      <t>47081(Liters)</t>
    </r>
  </si>
  <si>
    <r>
      <rPr>
        <sz val="5.5"/>
        <rFont val="Calibri"/>
        <family val="2"/>
      </rPr>
      <t>47077(Liters)</t>
    </r>
  </si>
  <si>
    <r>
      <rPr>
        <sz val="5.5"/>
        <rFont val="Calibri"/>
        <family val="2"/>
      </rPr>
      <t>4774896(dm3)</t>
    </r>
  </si>
  <si>
    <r>
      <rPr>
        <sz val="5.5"/>
        <rFont val="Calibri"/>
        <family val="2"/>
      </rPr>
      <t>4774919(dm3)</t>
    </r>
  </si>
  <si>
    <r>
      <rPr>
        <sz val="5.5"/>
        <rFont val="Calibri"/>
        <family val="2"/>
      </rPr>
      <t>4774934(dm3)</t>
    </r>
  </si>
  <si>
    <r>
      <rPr>
        <sz val="5.5"/>
        <rFont val="Calibri"/>
        <family val="2"/>
      </rPr>
      <t>4774950(dm3)</t>
    </r>
  </si>
  <si>
    <r>
      <rPr>
        <sz val="5.5"/>
        <rFont val="Calibri"/>
        <family val="2"/>
      </rPr>
      <t>4774966(dm3)</t>
    </r>
  </si>
  <si>
    <r>
      <rPr>
        <sz val="5.5"/>
        <rFont val="Calibri"/>
        <family val="2"/>
      </rPr>
      <t>4774975(dm3)</t>
    </r>
  </si>
  <si>
    <r>
      <rPr>
        <sz val="5.5"/>
        <rFont val="Calibri"/>
        <family val="2"/>
      </rPr>
      <t>4774979(dm3)</t>
    </r>
  </si>
  <si>
    <r>
      <rPr>
        <sz val="5.5"/>
        <rFont val="Calibri"/>
        <family val="2"/>
      </rPr>
      <t>4774985(dm3)</t>
    </r>
  </si>
  <si>
    <r>
      <rPr>
        <sz val="5.5"/>
        <rFont val="Calibri"/>
        <family val="2"/>
      </rPr>
      <t>4774998(dm3)</t>
    </r>
  </si>
  <si>
    <r>
      <rPr>
        <sz val="5.5"/>
        <rFont val="Calibri"/>
        <family val="2"/>
      </rPr>
      <t>4775012(dm3)</t>
    </r>
  </si>
  <si>
    <r>
      <rPr>
        <sz val="5.5"/>
        <rFont val="Calibri"/>
        <family val="2"/>
      </rPr>
      <t>4775048(dm3)</t>
    </r>
  </si>
  <si>
    <r>
      <rPr>
        <sz val="5.5"/>
        <rFont val="Calibri"/>
        <family val="2"/>
      </rPr>
      <t>4775091(dm3)</t>
    </r>
  </si>
  <si>
    <r>
      <rPr>
        <sz val="5.5"/>
        <rFont val="Calibri"/>
        <family val="2"/>
      </rPr>
      <t>22602(m3)</t>
    </r>
  </si>
  <si>
    <r>
      <rPr>
        <sz val="5.5"/>
        <rFont val="Calibri"/>
        <family val="2"/>
      </rPr>
      <t>23219(m3)</t>
    </r>
  </si>
  <si>
    <r>
      <rPr>
        <sz val="5.5"/>
        <rFont val="Calibri"/>
        <family val="2"/>
      </rPr>
      <t>104349(m3)</t>
    </r>
  </si>
  <si>
    <r>
      <rPr>
        <sz val="5.5"/>
        <rFont val="Calibri"/>
        <family val="2"/>
      </rPr>
      <t>104397(m3)</t>
    </r>
  </si>
  <si>
    <r>
      <rPr>
        <sz val="5.5"/>
        <rFont val="Calibri"/>
        <family val="2"/>
      </rPr>
      <t>104448(m3)</t>
    </r>
  </si>
  <si>
    <r>
      <rPr>
        <sz val="5.5"/>
        <rFont val="Calibri"/>
        <family val="2"/>
      </rPr>
      <t>104499(m3)</t>
    </r>
  </si>
  <si>
    <r>
      <rPr>
        <sz val="5.5"/>
        <rFont val="Calibri"/>
        <family val="2"/>
      </rPr>
      <t>104544(m3)</t>
    </r>
  </si>
  <si>
    <r>
      <rPr>
        <sz val="5.5"/>
        <rFont val="Calibri"/>
        <family val="2"/>
      </rPr>
      <t>104583(m3)</t>
    </r>
  </si>
  <si>
    <r>
      <rPr>
        <sz val="5.5"/>
        <rFont val="Calibri"/>
        <family val="2"/>
      </rPr>
      <t>104629(m3)</t>
    </r>
  </si>
  <si>
    <r>
      <rPr>
        <sz val="5.5"/>
        <rFont val="Calibri"/>
        <family val="2"/>
      </rPr>
      <t>104678(m3)</t>
    </r>
  </si>
  <si>
    <r>
      <rPr>
        <sz val="5.5"/>
        <rFont val="Calibri"/>
        <family val="2"/>
      </rPr>
      <t>104724(m3)</t>
    </r>
  </si>
  <si>
    <r>
      <rPr>
        <sz val="5.5"/>
        <rFont val="Calibri"/>
        <family val="2"/>
      </rPr>
      <t>104773(m3)</t>
    </r>
  </si>
  <si>
    <r>
      <rPr>
        <sz val="5.5"/>
        <rFont val="Calibri"/>
        <family val="2"/>
      </rPr>
      <t>104821(m3)</t>
    </r>
  </si>
  <si>
    <r>
      <rPr>
        <sz val="5.5"/>
        <rFont val="Calibri"/>
        <family val="2"/>
      </rPr>
      <t>104890(m3)</t>
    </r>
  </si>
  <si>
    <r>
      <rPr>
        <sz val="5.5"/>
        <rFont val="Calibri"/>
        <family val="2"/>
      </rPr>
      <t>319 m3(m3)</t>
    </r>
  </si>
  <si>
    <r>
      <rPr>
        <sz val="5.5"/>
        <rFont val="Calibri"/>
        <family val="2"/>
      </rPr>
      <t>362 m3(m3)</t>
    </r>
  </si>
  <si>
    <r>
      <rPr>
        <sz val="5.5"/>
        <rFont val="Calibri"/>
        <family val="2"/>
      </rPr>
      <t>307 (m3)</t>
    </r>
  </si>
  <si>
    <r>
      <rPr>
        <sz val="5.5"/>
        <rFont val="Calibri"/>
        <family val="2"/>
      </rPr>
      <t>376 (m3)</t>
    </r>
  </si>
  <si>
    <r>
      <rPr>
        <sz val="5.5"/>
        <rFont val="Calibri"/>
        <family val="2"/>
      </rPr>
      <t>129 (m3)</t>
    </r>
  </si>
  <si>
    <r>
      <rPr>
        <sz val="5.5"/>
        <rFont val="Calibri"/>
        <family val="2"/>
      </rPr>
      <t>143 (m3)</t>
    </r>
  </si>
  <si>
    <r>
      <rPr>
        <sz val="5.5"/>
        <rFont val="Calibri"/>
        <family val="2"/>
      </rPr>
      <t>11 (m3)</t>
    </r>
  </si>
  <si>
    <r>
      <rPr>
        <sz val="5.5"/>
        <rFont val="Calibri"/>
        <family val="2"/>
      </rPr>
      <t>485(m3)</t>
    </r>
  </si>
  <si>
    <r>
      <rPr>
        <sz val="5.5"/>
        <rFont val="Calibri"/>
        <family val="2"/>
      </rPr>
      <t>554(m3)</t>
    </r>
  </si>
  <si>
    <r>
      <rPr>
        <sz val="5.5"/>
        <rFont val="Calibri"/>
        <family val="2"/>
      </rPr>
      <t>60(m3)</t>
    </r>
  </si>
  <si>
    <r>
      <rPr>
        <sz val="5.5"/>
        <rFont val="Calibri"/>
        <family val="2"/>
      </rPr>
      <t>71(m3)</t>
    </r>
  </si>
  <si>
    <r>
      <rPr>
        <sz val="5.5"/>
        <rFont val="Calibri"/>
        <family val="2"/>
      </rPr>
      <t>14 (m3)</t>
    </r>
  </si>
  <si>
    <r>
      <rPr>
        <sz val="5.5"/>
        <rFont val="Calibri"/>
        <family val="2"/>
      </rPr>
      <t>20(m3)</t>
    </r>
  </si>
  <si>
    <r>
      <rPr>
        <sz val="5.5"/>
        <rFont val="Calibri"/>
        <family val="2"/>
      </rPr>
      <t>47075(Liters)</t>
    </r>
  </si>
  <si>
    <r>
      <rPr>
        <sz val="5.5"/>
        <rFont val="Calibri"/>
        <family val="2"/>
      </rPr>
      <t>47074 (Liters)</t>
    </r>
  </si>
  <si>
    <r>
      <rPr>
        <sz val="5.5"/>
        <rFont val="Calibri"/>
        <family val="2"/>
      </rPr>
      <t>47072(Liters)</t>
    </r>
  </si>
  <si>
    <r>
      <rPr>
        <sz val="5.5"/>
        <rFont val="Calibri"/>
        <family val="2"/>
      </rPr>
      <t>47066(Liters)</t>
    </r>
  </si>
  <si>
    <r>
      <rPr>
        <sz val="5.5"/>
        <rFont val="Calibri"/>
        <family val="2"/>
      </rPr>
      <t>47052(Liters)</t>
    </r>
  </si>
  <si>
    <r>
      <rPr>
        <sz val="5.5"/>
        <rFont val="Calibri"/>
        <family val="2"/>
      </rPr>
      <t>47051(Liters)</t>
    </r>
  </si>
  <si>
    <r>
      <rPr>
        <sz val="5.5"/>
        <rFont val="Calibri"/>
        <family val="2"/>
      </rPr>
      <t>47047(Liters)</t>
    </r>
  </si>
  <si>
    <r>
      <rPr>
        <sz val="5.5"/>
        <rFont val="Calibri"/>
        <family val="2"/>
      </rPr>
      <t>47042(Liters)</t>
    </r>
  </si>
  <si>
    <r>
      <rPr>
        <sz val="5.5"/>
        <rFont val="Calibri"/>
        <family val="2"/>
      </rPr>
      <t>47034(Liters)</t>
    </r>
  </si>
  <si>
    <r>
      <rPr>
        <sz val="5.5"/>
        <rFont val="Calibri"/>
        <family val="2"/>
      </rPr>
      <t>46917(Liters)</t>
    </r>
  </si>
  <si>
    <r>
      <rPr>
        <sz val="5.5"/>
        <rFont val="Calibri"/>
        <family val="2"/>
      </rPr>
      <t>2800  (Liters)</t>
    </r>
  </si>
  <si>
    <r>
      <rPr>
        <sz val="5.5"/>
        <rFont val="Calibri"/>
        <family val="2"/>
      </rPr>
      <t>4775251(dm3)</t>
    </r>
  </si>
  <si>
    <r>
      <rPr>
        <sz val="5.5"/>
        <rFont val="Calibri"/>
        <family val="2"/>
      </rPr>
      <t>4775528(dm3)</t>
    </r>
  </si>
  <si>
    <r>
      <rPr>
        <sz val="5.5"/>
        <rFont val="Calibri"/>
        <family val="2"/>
      </rPr>
      <t>4778811(dm3)</t>
    </r>
  </si>
  <si>
    <r>
      <rPr>
        <sz val="5.5"/>
        <rFont val="Calibri"/>
        <family val="2"/>
      </rPr>
      <t>4792865(dm3)</t>
    </r>
  </si>
  <si>
    <r>
      <rPr>
        <sz val="5.5"/>
        <rFont val="Calibri"/>
        <family val="2"/>
      </rPr>
      <t>4828681(dm3)</t>
    </r>
  </si>
  <si>
    <r>
      <rPr>
        <sz val="5.5"/>
        <rFont val="Calibri"/>
        <family val="2"/>
      </rPr>
      <t>4870085(dm3)</t>
    </r>
  </si>
  <si>
    <r>
      <rPr>
        <sz val="5.5"/>
        <rFont val="Calibri"/>
        <family val="2"/>
      </rPr>
      <t>4911569(dm3)</t>
    </r>
  </si>
  <si>
    <r>
      <rPr>
        <sz val="5.5"/>
        <rFont val="Calibri"/>
        <family val="2"/>
      </rPr>
      <t>4955533(dm3)</t>
    </r>
  </si>
  <si>
    <r>
      <rPr>
        <sz val="5.5"/>
        <rFont val="Calibri"/>
        <family val="2"/>
      </rPr>
      <t>5001433(dm3)</t>
    </r>
  </si>
  <si>
    <r>
      <rPr>
        <sz val="5.5"/>
        <rFont val="Calibri"/>
        <family val="2"/>
      </rPr>
      <t>5049868(dm3)</t>
    </r>
  </si>
  <si>
    <r>
      <rPr>
        <sz val="5.5"/>
        <rFont val="Calibri"/>
        <family val="2"/>
      </rPr>
      <t>5099250(dm3)</t>
    </r>
  </si>
  <si>
    <r>
      <rPr>
        <sz val="5.5"/>
        <rFont val="Calibri"/>
        <family val="2"/>
      </rPr>
      <t>5149376(dm3)</t>
    </r>
  </si>
  <si>
    <r>
      <rPr>
        <sz val="5.5"/>
        <rFont val="Calibri"/>
        <family val="2"/>
      </rPr>
      <t>5207232(dm3)</t>
    </r>
  </si>
  <si>
    <r>
      <rPr>
        <sz val="5.5"/>
        <rFont val="Calibri"/>
        <family val="2"/>
      </rPr>
      <t>5260221(dm3)</t>
    </r>
  </si>
  <si>
    <r>
      <rPr>
        <sz val="5.5"/>
        <rFont val="Calibri"/>
        <family val="2"/>
      </rPr>
      <t>5320085(dm3)</t>
    </r>
  </si>
  <si>
    <r>
      <rPr>
        <sz val="5.5"/>
        <rFont val="Calibri"/>
        <family val="2"/>
      </rPr>
      <t>5383556(dm3)</t>
    </r>
  </si>
  <si>
    <r>
      <rPr>
        <sz val="5.5"/>
        <rFont val="Calibri"/>
        <family val="2"/>
      </rPr>
      <t>5448160(dm3)</t>
    </r>
  </si>
  <si>
    <r>
      <rPr>
        <sz val="5.5"/>
        <rFont val="Calibri"/>
        <family val="2"/>
      </rPr>
      <t>5513990(dm3)</t>
    </r>
  </si>
  <si>
    <r>
      <rPr>
        <sz val="5.5"/>
        <rFont val="Calibri"/>
        <family val="2"/>
      </rPr>
      <t>5582064(dm3)</t>
    </r>
  </si>
  <si>
    <r>
      <rPr>
        <sz val="5.5"/>
        <rFont val="Calibri"/>
        <family val="2"/>
      </rPr>
      <t>5650344(dm3)</t>
    </r>
  </si>
  <si>
    <r>
      <rPr>
        <sz val="5.5"/>
        <rFont val="Calibri"/>
        <family val="2"/>
      </rPr>
      <t>5722228(dm3)</t>
    </r>
  </si>
  <si>
    <r>
      <rPr>
        <sz val="5.5"/>
        <rFont val="Calibri"/>
        <family val="2"/>
      </rPr>
      <t>5794655(dm3)</t>
    </r>
  </si>
  <si>
    <r>
      <rPr>
        <sz val="5.5"/>
        <rFont val="Calibri"/>
        <family val="2"/>
      </rPr>
      <t>5871658(dm3)</t>
    </r>
  </si>
  <si>
    <r>
      <rPr>
        <sz val="5.5"/>
        <rFont val="Calibri"/>
        <family val="2"/>
      </rPr>
      <t>5948492(dm3)</t>
    </r>
  </si>
  <si>
    <r>
      <rPr>
        <sz val="5.5"/>
        <rFont val="Calibri"/>
        <family val="2"/>
      </rPr>
      <t>6028039(dm3)</t>
    </r>
  </si>
  <si>
    <r>
      <rPr>
        <sz val="5.5"/>
        <rFont val="Calibri"/>
        <family val="2"/>
      </rPr>
      <t>6104854(dm3)</t>
    </r>
  </si>
  <si>
    <r>
      <rPr>
        <sz val="5.5"/>
        <rFont val="Calibri"/>
        <family val="2"/>
      </rPr>
      <t>6190144(dm3)</t>
    </r>
  </si>
  <si>
    <r>
      <rPr>
        <sz val="5.5"/>
        <rFont val="Calibri"/>
        <family val="2"/>
      </rPr>
      <t>6274609(dm3)</t>
    </r>
  </si>
  <si>
    <r>
      <rPr>
        <sz val="5.5"/>
        <rFont val="Calibri"/>
        <family val="2"/>
      </rPr>
      <t>6367127(dm3)</t>
    </r>
  </si>
  <si>
    <r>
      <rPr>
        <sz val="5.5"/>
        <rFont val="Calibri"/>
        <family val="2"/>
      </rPr>
      <t>6460883(dm3)</t>
    </r>
  </si>
  <si>
    <r>
      <rPr>
        <sz val="5.5"/>
        <rFont val="Calibri"/>
        <family val="2"/>
      </rPr>
      <t>46870(Liters)</t>
    </r>
  </si>
  <si>
    <r>
      <rPr>
        <sz val="5.5"/>
        <rFont val="Calibri"/>
        <family val="2"/>
      </rPr>
      <t>46861(Liters)</t>
    </r>
  </si>
  <si>
    <r>
      <rPr>
        <sz val="5.5"/>
        <rFont val="Calibri"/>
        <family val="2"/>
      </rPr>
      <t>46858(Liters)</t>
    </r>
  </si>
  <si>
    <r>
      <rPr>
        <sz val="5.5"/>
        <rFont val="Calibri"/>
        <family val="2"/>
      </rPr>
      <t>46855(Liters)</t>
    </r>
  </si>
  <si>
    <r>
      <rPr>
        <sz val="5.5"/>
        <rFont val="Calibri"/>
        <family val="2"/>
      </rPr>
      <t>46851(Liters)</t>
    </r>
  </si>
  <si>
    <r>
      <rPr>
        <sz val="5.5"/>
        <rFont val="Calibri"/>
        <family val="2"/>
      </rPr>
      <t>46850(Liters)</t>
    </r>
  </si>
  <si>
    <r>
      <rPr>
        <sz val="5.5"/>
        <rFont val="Calibri"/>
        <family val="2"/>
      </rPr>
      <t>46852(Liters)</t>
    </r>
  </si>
  <si>
    <r>
      <rPr>
        <sz val="5.5"/>
        <rFont val="Calibri"/>
        <family val="2"/>
      </rPr>
      <t>46856(Liters)</t>
    </r>
  </si>
  <si>
    <r>
      <rPr>
        <sz val="5.5"/>
        <rFont val="Calibri"/>
        <family val="2"/>
      </rPr>
      <t>46857(Liters)</t>
    </r>
  </si>
  <si>
    <r>
      <rPr>
        <sz val="5.5"/>
        <rFont val="Calibri"/>
        <family val="2"/>
      </rPr>
      <t>2860  (Liters)</t>
    </r>
  </si>
  <si>
    <r>
      <rPr>
        <sz val="5.5"/>
        <rFont val="Calibri"/>
        <family val="2"/>
      </rPr>
      <t>7939524 (dm3)</t>
    </r>
  </si>
  <si>
    <r>
      <rPr>
        <sz val="5.5"/>
        <rFont val="Calibri"/>
        <family val="2"/>
      </rPr>
      <t>7965347 (dm3)</t>
    </r>
  </si>
  <si>
    <r>
      <rPr>
        <sz val="5.5"/>
        <rFont val="Calibri"/>
        <family val="2"/>
      </rPr>
      <t>7997143 (dm3)</t>
    </r>
  </si>
  <si>
    <r>
      <rPr>
        <sz val="5.5"/>
        <rFont val="Calibri"/>
        <family val="2"/>
      </rPr>
      <t>8038294 (dm3)</t>
    </r>
  </si>
  <si>
    <r>
      <rPr>
        <sz val="5.5"/>
        <rFont val="Calibri"/>
        <family val="2"/>
      </rPr>
      <t>8080118 (dm3)</t>
    </r>
  </si>
  <si>
    <r>
      <rPr>
        <sz val="5.5"/>
        <rFont val="Calibri"/>
        <family val="2"/>
      </rPr>
      <t>8119528 (dm3)</t>
    </r>
  </si>
  <si>
    <r>
      <rPr>
        <sz val="5.5"/>
        <rFont val="Calibri"/>
        <family val="2"/>
      </rPr>
      <t>8152942 (dm3)</t>
    </r>
  </si>
  <si>
    <r>
      <rPr>
        <sz val="5.5"/>
        <rFont val="Calibri"/>
        <family val="2"/>
      </rPr>
      <t>8111914 (dm3)</t>
    </r>
  </si>
  <si>
    <r>
      <rPr>
        <sz val="5.5"/>
        <rFont val="Calibri"/>
        <family val="2"/>
      </rPr>
      <t>8051164 (dm3)</t>
    </r>
  </si>
  <si>
    <r>
      <rPr>
        <sz val="5.5"/>
        <rFont val="Calibri"/>
        <family val="2"/>
      </rPr>
      <t>8022481 (dm3)</t>
    </r>
  </si>
  <si>
    <r>
      <rPr>
        <sz val="5.5"/>
        <rFont val="Calibri"/>
        <family val="2"/>
      </rPr>
      <t>8077482 (dm3)</t>
    </r>
  </si>
  <si>
    <r>
      <rPr>
        <sz val="5.5"/>
        <rFont val="Calibri"/>
        <family val="2"/>
      </rPr>
      <t>8084463 (dm3)</t>
    </r>
  </si>
  <si>
    <r>
      <rPr>
        <sz val="5.5"/>
        <rFont val="Calibri"/>
        <family val="2"/>
      </rPr>
      <t>8163811 (dm3)</t>
    </r>
  </si>
  <si>
    <r>
      <rPr>
        <sz val="5.5"/>
        <rFont val="Calibri"/>
        <family val="2"/>
      </rPr>
      <t>8126631 (dm3)</t>
    </r>
  </si>
  <si>
    <r>
      <rPr>
        <sz val="5.5"/>
        <rFont val="Calibri"/>
        <family val="2"/>
      </rPr>
      <t>8084096 (dm3)</t>
    </r>
  </si>
  <si>
    <r>
      <rPr>
        <sz val="5.5"/>
        <rFont val="Calibri"/>
        <family val="2"/>
      </rPr>
      <t>8040738 (dm3)</t>
    </r>
  </si>
  <si>
    <r>
      <rPr>
        <sz val="5.5"/>
        <rFont val="Calibri"/>
        <family val="2"/>
      </rPr>
      <t>8065077 (dm3)</t>
    </r>
  </si>
  <si>
    <r>
      <rPr>
        <sz val="5.5"/>
        <rFont val="Calibri"/>
        <family val="2"/>
      </rPr>
      <t>8131652 (dm3)</t>
    </r>
  </si>
  <si>
    <r>
      <rPr>
        <sz val="5.5"/>
        <rFont val="Calibri"/>
        <family val="2"/>
      </rPr>
      <t>8204190 (dm3)</t>
    </r>
  </si>
  <si>
    <r>
      <rPr>
        <sz val="5.5"/>
        <rFont val="Calibri"/>
        <family val="2"/>
      </rPr>
      <t>8261155 (dm3)</t>
    </r>
  </si>
  <si>
    <r>
      <rPr>
        <sz val="5.5"/>
        <rFont val="Calibri"/>
        <family val="2"/>
      </rPr>
      <t>8342200 (dm3)</t>
    </r>
  </si>
  <si>
    <r>
      <rPr>
        <sz val="5.5"/>
        <rFont val="Calibri"/>
        <family val="2"/>
      </rPr>
      <t>8400436 (dm3)</t>
    </r>
  </si>
  <si>
    <r>
      <rPr>
        <sz val="5.5"/>
        <rFont val="Calibri"/>
        <family val="2"/>
      </rPr>
      <t>8462184 (dm3)</t>
    </r>
  </si>
  <si>
    <r>
      <rPr>
        <sz val="5.5"/>
        <rFont val="Calibri"/>
        <family val="2"/>
      </rPr>
      <t>8521468(dm3)</t>
    </r>
  </si>
  <si>
    <r>
      <rPr>
        <sz val="5.5"/>
        <rFont val="Calibri"/>
        <family val="2"/>
      </rPr>
      <t>8581678(dm3)</t>
    </r>
  </si>
  <si>
    <r>
      <rPr>
        <sz val="5.5"/>
        <rFont val="Calibri"/>
        <family val="2"/>
      </rPr>
      <t>8645858(dm3)</t>
    </r>
  </si>
  <si>
    <r>
      <rPr>
        <sz val="5.5"/>
        <rFont val="Calibri"/>
        <family val="2"/>
      </rPr>
      <t>8645860(dm3)</t>
    </r>
  </si>
  <si>
    <r>
      <rPr>
        <sz val="5.5"/>
        <rFont val="Calibri"/>
        <family val="2"/>
      </rPr>
      <t>8782416 (dm3)</t>
    </r>
  </si>
  <si>
    <r>
      <rPr>
        <sz val="5.5"/>
        <rFont val="Calibri"/>
        <family val="2"/>
      </rPr>
      <t>7948898 (dm3)</t>
    </r>
  </si>
  <si>
    <r>
      <rPr>
        <sz val="5.5"/>
        <rFont val="Calibri"/>
        <family val="2"/>
      </rPr>
      <t>30305 ( m3)</t>
    </r>
  </si>
  <si>
    <r>
      <rPr>
        <sz val="5.5"/>
        <rFont val="Calibri"/>
        <family val="2"/>
      </rPr>
      <t>29398 ( m3)</t>
    </r>
  </si>
  <si>
    <r>
      <rPr>
        <sz val="5.5"/>
        <rFont val="Calibri"/>
        <family val="2"/>
      </rPr>
      <t>108910 (m3)</t>
    </r>
  </si>
  <si>
    <r>
      <rPr>
        <sz val="5.5"/>
        <rFont val="Calibri"/>
        <family val="2"/>
      </rPr>
      <t>755 (m3)</t>
    </r>
  </si>
  <si>
    <r>
      <rPr>
        <sz val="5.5"/>
        <rFont val="Calibri"/>
        <family val="2"/>
      </rPr>
      <t>716 (m3)</t>
    </r>
  </si>
  <si>
    <r>
      <rPr>
        <sz val="5.5"/>
        <rFont val="Calibri"/>
        <family val="2"/>
      </rPr>
      <t>705 (m3)</t>
    </r>
  </si>
  <si>
    <r>
      <rPr>
        <sz val="5.5"/>
        <rFont val="Calibri"/>
        <family val="2"/>
      </rPr>
      <t>324 (m3)</t>
    </r>
  </si>
  <si>
    <r>
      <rPr>
        <sz val="5.5"/>
        <rFont val="Calibri"/>
        <family val="2"/>
      </rPr>
      <t>43 (m3)</t>
    </r>
  </si>
  <si>
    <r>
      <rPr>
        <sz val="5.5"/>
        <rFont val="Calibri"/>
        <family val="2"/>
      </rPr>
      <t>42 (m3)</t>
    </r>
  </si>
  <si>
    <r>
      <rPr>
        <sz val="5.5"/>
        <rFont val="Calibri"/>
        <family val="2"/>
      </rPr>
      <t>1005 (m3)</t>
    </r>
  </si>
  <si>
    <r>
      <rPr>
        <sz val="5.5"/>
        <rFont val="Calibri"/>
        <family val="2"/>
      </rPr>
      <t>999 (m3)</t>
    </r>
  </si>
  <si>
    <r>
      <rPr>
        <sz val="5.5"/>
        <rFont val="Calibri"/>
        <family val="2"/>
      </rPr>
      <t>164 (m3)</t>
    </r>
  </si>
  <si>
    <r>
      <rPr>
        <sz val="5.5"/>
        <rFont val="Calibri"/>
        <family val="2"/>
      </rPr>
      <t>156 (m3)</t>
    </r>
  </si>
  <si>
    <r>
      <rPr>
        <sz val="5.5"/>
        <rFont val="Calibri"/>
        <family val="2"/>
      </rPr>
      <t>54 (m3)</t>
    </r>
  </si>
  <si>
    <r>
      <rPr>
        <sz val="5.5"/>
        <rFont val="Calibri"/>
        <family val="2"/>
      </rPr>
      <t>51 (m3)</t>
    </r>
  </si>
  <si>
    <r>
      <rPr>
        <sz val="5.5"/>
        <rFont val="Calibri"/>
        <family val="2"/>
      </rPr>
      <t>46859(Liters)</t>
    </r>
  </si>
  <si>
    <r>
      <rPr>
        <sz val="5.5"/>
        <rFont val="Calibri"/>
        <family val="2"/>
      </rPr>
      <t>46860(Liters)</t>
    </r>
  </si>
  <si>
    <r>
      <rPr>
        <sz val="5.5"/>
        <rFont val="Calibri"/>
        <family val="2"/>
      </rPr>
      <t>46897 (Liters)</t>
    </r>
  </si>
  <si>
    <r>
      <rPr>
        <sz val="5.5"/>
        <rFont val="Calibri"/>
        <family val="2"/>
      </rPr>
      <t>46862(Liters)</t>
    </r>
  </si>
  <si>
    <r>
      <rPr>
        <sz val="5.5"/>
        <rFont val="Calibri"/>
        <family val="2"/>
      </rPr>
      <t>46864(Liters)</t>
    </r>
  </si>
  <si>
    <r>
      <rPr>
        <sz val="5.5"/>
        <rFont val="Calibri"/>
        <family val="2"/>
      </rPr>
      <t>46863(Liters)</t>
    </r>
  </si>
  <si>
    <r>
      <rPr>
        <sz val="5.5"/>
        <rFont val="Calibri"/>
        <family val="2"/>
      </rPr>
      <t>46866(Liters)</t>
    </r>
  </si>
  <si>
    <r>
      <rPr>
        <sz val="5.5"/>
        <rFont val="Calibri"/>
        <family val="2"/>
      </rPr>
      <t>46867(Liters)</t>
    </r>
  </si>
  <si>
    <r>
      <rPr>
        <sz val="5.5"/>
        <rFont val="Calibri"/>
        <family val="2"/>
      </rPr>
      <t>46865(Liters)</t>
    </r>
  </si>
  <si>
    <r>
      <rPr>
        <sz val="5.5"/>
        <rFont val="Calibri"/>
        <family val="2"/>
      </rPr>
      <t>46868(Liters)</t>
    </r>
  </si>
  <si>
    <r>
      <rPr>
        <sz val="5.5"/>
        <rFont val="Calibri"/>
        <family val="2"/>
      </rPr>
      <t>46873(Liters)</t>
    </r>
  </si>
  <si>
    <r>
      <rPr>
        <sz val="5.5"/>
        <rFont val="Calibri"/>
        <family val="2"/>
      </rPr>
      <t>46875(Liters)</t>
    </r>
  </si>
  <si>
    <r>
      <rPr>
        <sz val="5.5"/>
        <rFont val="Calibri"/>
        <family val="2"/>
      </rPr>
      <t>46874(Liters)</t>
    </r>
  </si>
  <si>
    <r>
      <rPr>
        <sz val="5.5"/>
        <rFont val="Calibri"/>
        <family val="2"/>
      </rPr>
      <t>47011 (Liters)</t>
    </r>
  </si>
  <si>
    <r>
      <rPr>
        <sz val="5.5"/>
        <rFont val="Calibri"/>
        <family val="2"/>
      </rPr>
      <t>47009 (Liters)</t>
    </r>
  </si>
  <si>
    <r>
      <rPr>
        <sz val="5.5"/>
        <rFont val="Calibri"/>
        <family val="2"/>
      </rPr>
      <t>47020 (Liters)</t>
    </r>
  </si>
  <si>
    <r>
      <rPr>
        <sz val="5.5"/>
        <rFont val="Calibri"/>
        <family val="2"/>
      </rPr>
      <t>47018 (Liters)</t>
    </r>
  </si>
  <si>
    <r>
      <rPr>
        <sz val="5.5"/>
        <rFont val="Calibri"/>
        <family val="2"/>
      </rPr>
      <t>47023 (Liters)</t>
    </r>
  </si>
  <si>
    <r>
      <rPr>
        <sz val="5.5"/>
        <rFont val="Calibri"/>
        <family val="2"/>
      </rPr>
      <t>47026 (Liters)</t>
    </r>
  </si>
  <si>
    <r>
      <rPr>
        <sz val="5.5"/>
        <rFont val="Calibri"/>
        <family val="2"/>
      </rPr>
      <t>47031 (Liters)</t>
    </r>
  </si>
  <si>
    <r>
      <rPr>
        <sz val="5.5"/>
        <rFont val="Calibri"/>
        <family val="2"/>
      </rPr>
      <t>46886 (Liters)</t>
    </r>
  </si>
  <si>
    <r>
      <rPr>
        <sz val="5.5"/>
        <rFont val="Calibri"/>
        <family val="2"/>
      </rPr>
      <t>2600  (Liters)</t>
    </r>
  </si>
  <si>
    <r>
      <rPr>
        <sz val="5.5"/>
        <rFont val="Calibri"/>
        <family val="2"/>
      </rPr>
      <t>2620  (Liters)</t>
    </r>
  </si>
  <si>
    <r>
      <rPr>
        <sz val="5.5"/>
        <rFont val="Calibri"/>
        <family val="2"/>
      </rPr>
      <t>8851868 (dm3)</t>
    </r>
  </si>
  <si>
    <r>
      <rPr>
        <sz val="5.5"/>
        <rFont val="Calibri"/>
        <family val="2"/>
      </rPr>
      <t>8899868(dm3)</t>
    </r>
  </si>
  <si>
    <r>
      <rPr>
        <sz val="5.5"/>
        <rFont val="Calibri"/>
        <family val="2"/>
      </rPr>
      <t>8995986(dm3)</t>
    </r>
  </si>
  <si>
    <r>
      <rPr>
        <sz val="5.5"/>
        <rFont val="Calibri"/>
        <family val="2"/>
      </rPr>
      <t>9026112(dm3)</t>
    </r>
  </si>
  <si>
    <r>
      <rPr>
        <sz val="5.5"/>
        <rFont val="Calibri"/>
        <family val="2"/>
      </rPr>
      <t>9826132(dm3)</t>
    </r>
  </si>
  <si>
    <r>
      <rPr>
        <sz val="5.5"/>
        <rFont val="Calibri"/>
        <family val="2"/>
      </rPr>
      <t>9826288(dm3)</t>
    </r>
  </si>
  <si>
    <r>
      <rPr>
        <sz val="5.5"/>
        <rFont val="Calibri"/>
        <family val="2"/>
      </rPr>
      <t>9826214(dm3)</t>
    </r>
  </si>
  <si>
    <r>
      <rPr>
        <sz val="5.5"/>
        <rFont val="Calibri"/>
        <family val="2"/>
      </rPr>
      <t>9888636(dm3)</t>
    </r>
  </si>
  <si>
    <r>
      <rPr>
        <sz val="5.5"/>
        <rFont val="Calibri"/>
        <family val="2"/>
      </rPr>
      <t>9139620(dm3)</t>
    </r>
  </si>
  <si>
    <r>
      <rPr>
        <sz val="5.5"/>
        <rFont val="Calibri"/>
        <family val="2"/>
      </rPr>
      <t>9205094(dm3)</t>
    </r>
  </si>
  <si>
    <r>
      <rPr>
        <sz val="5.5"/>
        <rFont val="Calibri"/>
        <family val="2"/>
      </rPr>
      <t>9284650(dm3)</t>
    </r>
  </si>
  <si>
    <r>
      <rPr>
        <sz val="5.5"/>
        <rFont val="Calibri"/>
        <family val="2"/>
      </rPr>
      <t>9335986(dm3)</t>
    </r>
  </si>
  <si>
    <r>
      <rPr>
        <sz val="5.5"/>
        <rFont val="Calibri"/>
        <family val="2"/>
      </rPr>
      <t>9413898(dm3)</t>
    </r>
  </si>
  <si>
    <r>
      <rPr>
        <sz val="5.5"/>
        <rFont val="Calibri"/>
        <family val="2"/>
      </rPr>
      <t>9464898(dm3)</t>
    </r>
  </si>
  <si>
    <r>
      <rPr>
        <sz val="5.5"/>
        <rFont val="Calibri"/>
        <family val="2"/>
      </rPr>
      <t>9578678(dm3)</t>
    </r>
  </si>
  <si>
    <r>
      <rPr>
        <sz val="5.5"/>
        <rFont val="Calibri"/>
        <family val="2"/>
      </rPr>
      <t>9635286(dm3)</t>
    </r>
  </si>
  <si>
    <r>
      <rPr>
        <sz val="5.5"/>
        <rFont val="Calibri"/>
        <family val="2"/>
      </rPr>
      <t>9668538(dm3)</t>
    </r>
  </si>
  <si>
    <r>
      <rPr>
        <sz val="5.5"/>
        <rFont val="Calibri"/>
        <family val="2"/>
      </rPr>
      <t>9685388(dm3)</t>
    </r>
  </si>
  <si>
    <r>
      <rPr>
        <sz val="5.5"/>
        <rFont val="Calibri"/>
        <family val="2"/>
      </rPr>
      <t>9689334(dm3)</t>
    </r>
  </si>
  <si>
    <r>
      <rPr>
        <sz val="5.5"/>
        <rFont val="Calibri"/>
        <family val="2"/>
      </rPr>
      <t>9738586(dm3)</t>
    </r>
  </si>
  <si>
    <r>
      <rPr>
        <sz val="5.5"/>
        <rFont val="Calibri"/>
        <family val="2"/>
      </rPr>
      <t>9775786(dm3)</t>
    </r>
  </si>
  <si>
    <r>
      <rPr>
        <sz val="5.5"/>
        <rFont val="Calibri"/>
        <family val="2"/>
      </rPr>
      <t>9794926(dm3)</t>
    </r>
  </si>
  <si>
    <r>
      <rPr>
        <sz val="5.5"/>
        <rFont val="Calibri"/>
        <family val="2"/>
      </rPr>
      <t>9794924(dm3)</t>
    </r>
  </si>
  <si>
    <r>
      <rPr>
        <sz val="5.5"/>
        <rFont val="Calibri"/>
        <family val="2"/>
      </rPr>
      <t>9888942(dm3)</t>
    </r>
  </si>
  <si>
    <r>
      <rPr>
        <sz val="5.5"/>
        <rFont val="Calibri"/>
        <family val="2"/>
      </rPr>
      <t>9815826(dm3)</t>
    </r>
  </si>
  <si>
    <r>
      <rPr>
        <sz val="5.5"/>
        <rFont val="Calibri"/>
        <family val="2"/>
      </rPr>
      <t>47035 (Liters)</t>
    </r>
  </si>
  <si>
    <r>
      <rPr>
        <sz val="5.5"/>
        <rFont val="Calibri"/>
        <family val="2"/>
      </rPr>
      <t>47041 (Liters)</t>
    </r>
  </si>
  <si>
    <r>
      <rPr>
        <sz val="5.5"/>
        <rFont val="Calibri"/>
        <family val="2"/>
      </rPr>
      <t>47042 (Liters)</t>
    </r>
  </si>
  <si>
    <r>
      <rPr>
        <sz val="5.5"/>
        <rFont val="Calibri"/>
        <family val="2"/>
      </rPr>
      <t>47043 (Liters)</t>
    </r>
  </si>
  <si>
    <r>
      <rPr>
        <sz val="5.5"/>
        <rFont val="Calibri"/>
        <family val="2"/>
      </rPr>
      <t>47050 (Liters)</t>
    </r>
  </si>
  <si>
    <r>
      <rPr>
        <sz val="5.5"/>
        <rFont val="Calibri"/>
        <family val="2"/>
      </rPr>
      <t>47048 (Liters)</t>
    </r>
  </si>
  <si>
    <r>
      <rPr>
        <sz val="5.5"/>
        <rFont val="Calibri"/>
        <family val="2"/>
      </rPr>
      <t>47058(Liters)</t>
    </r>
  </si>
  <si>
    <r>
      <rPr>
        <sz val="5.5"/>
        <rFont val="Calibri"/>
        <family val="2"/>
      </rPr>
      <t>47056(Liters)</t>
    </r>
  </si>
  <si>
    <r>
      <rPr>
        <sz val="5.5"/>
        <rFont val="Calibri"/>
        <family val="2"/>
      </rPr>
      <t>47059(Liters)</t>
    </r>
  </si>
  <si>
    <r>
      <rPr>
        <sz val="5.5"/>
        <rFont val="Calibri"/>
        <family val="2"/>
      </rPr>
      <t>47067(Liters)</t>
    </r>
  </si>
  <si>
    <r>
      <rPr>
        <sz val="5.5"/>
        <rFont val="Calibri"/>
        <family val="2"/>
      </rPr>
      <t>47070(Liters)</t>
    </r>
  </si>
  <si>
    <r>
      <rPr>
        <sz val="5.5"/>
        <rFont val="Calibri"/>
        <family val="2"/>
      </rPr>
      <t>47076(Liters)</t>
    </r>
  </si>
  <si>
    <r>
      <rPr>
        <sz val="5.5"/>
        <rFont val="Calibri"/>
        <family val="2"/>
      </rPr>
      <t>47073(Liters)</t>
    </r>
  </si>
  <si>
    <r>
      <rPr>
        <sz val="5.5"/>
        <rFont val="Calibri"/>
        <family val="2"/>
      </rPr>
      <t>47065(Liters)</t>
    </r>
  </si>
  <si>
    <r>
      <rPr>
        <sz val="5.5"/>
        <rFont val="Calibri"/>
        <family val="2"/>
      </rPr>
      <t>47043(Liters)</t>
    </r>
  </si>
  <si>
    <r>
      <rPr>
        <sz val="5.5"/>
        <rFont val="Calibri"/>
        <family val="2"/>
      </rPr>
      <t>47012(Liters)</t>
    </r>
  </si>
  <si>
    <r>
      <rPr>
        <sz val="5.5"/>
        <rFont val="Calibri"/>
        <family val="2"/>
      </rPr>
      <t>46970(Liters)</t>
    </r>
  </si>
  <si>
    <r>
      <rPr>
        <sz val="5.5"/>
        <rFont val="Calibri"/>
        <family val="2"/>
      </rPr>
      <t>46934(Liters)</t>
    </r>
  </si>
  <si>
    <r>
      <rPr>
        <sz val="5.5"/>
        <rFont val="Calibri"/>
        <family val="2"/>
      </rPr>
      <t>46906(Liters)</t>
    </r>
  </si>
  <si>
    <r>
      <rPr>
        <sz val="5.5"/>
        <rFont val="Calibri"/>
        <family val="2"/>
      </rPr>
      <t>46834(Liters)</t>
    </r>
  </si>
  <si>
    <r>
      <rPr>
        <sz val="5.5"/>
        <rFont val="Calibri"/>
        <family val="2"/>
      </rPr>
      <t>2640  (Liters)</t>
    </r>
  </si>
  <si>
    <r>
      <rPr>
        <sz val="5.5"/>
        <rFont val="Calibri"/>
        <family val="2"/>
      </rPr>
      <t>2600 (Liters)</t>
    </r>
  </si>
  <si>
    <r>
      <rPr>
        <sz val="5.5"/>
        <rFont val="Calibri"/>
        <family val="2"/>
      </rPr>
      <t>2620 (Liters)</t>
    </r>
  </si>
  <si>
    <r>
      <rPr>
        <sz val="5.5"/>
        <rFont val="Calibri"/>
        <family val="2"/>
      </rPr>
      <t>2640 (Liters)</t>
    </r>
  </si>
  <si>
    <r>
      <rPr>
        <sz val="5.5"/>
        <rFont val="Calibri"/>
        <family val="2"/>
      </rPr>
      <t>2660 (Liters)</t>
    </r>
  </si>
  <si>
    <r>
      <rPr>
        <sz val="5.5"/>
        <rFont val="Calibri"/>
        <family val="2"/>
      </rPr>
      <t>2780 (Liters)</t>
    </r>
  </si>
  <si>
    <r>
      <rPr>
        <sz val="5.5"/>
        <rFont val="Calibri"/>
        <family val="2"/>
      </rPr>
      <t>2800 (Liters)</t>
    </r>
  </si>
  <si>
    <r>
      <rPr>
        <sz val="5.5"/>
        <rFont val="Calibri"/>
        <family val="2"/>
      </rPr>
      <t>2820 (Liters)</t>
    </r>
  </si>
  <si>
    <r>
      <rPr>
        <sz val="5.5"/>
        <rFont val="Calibri"/>
        <family val="2"/>
      </rPr>
      <t>9816568(dm3)</t>
    </r>
  </si>
  <si>
    <r>
      <rPr>
        <sz val="5.5"/>
        <rFont val="Calibri"/>
        <family val="2"/>
      </rPr>
      <t>9816556(dm3)</t>
    </r>
  </si>
  <si>
    <r>
      <rPr>
        <sz val="5.5"/>
        <rFont val="Calibri"/>
        <family val="2"/>
      </rPr>
      <t>9835856(dm3)</t>
    </r>
  </si>
  <si>
    <r>
      <rPr>
        <sz val="5.5"/>
        <rFont val="Calibri"/>
        <family val="2"/>
      </rPr>
      <t>9838516(dm3)</t>
    </r>
  </si>
  <si>
    <r>
      <rPr>
        <sz val="5.5"/>
        <rFont val="Calibri"/>
        <family val="2"/>
      </rPr>
      <t>9894488(dm3)</t>
    </r>
  </si>
  <si>
    <r>
      <rPr>
        <sz val="5.5"/>
        <rFont val="Calibri"/>
        <family val="2"/>
      </rPr>
      <t>9933216(dm3)</t>
    </r>
  </si>
  <si>
    <r>
      <rPr>
        <sz val="5.5"/>
        <rFont val="Calibri"/>
        <family val="2"/>
      </rPr>
      <t>9998436(dm3)</t>
    </r>
  </si>
  <si>
    <r>
      <rPr>
        <sz val="5.5"/>
        <rFont val="Calibri"/>
        <family val="2"/>
      </rPr>
      <t>9824887(dm3)</t>
    </r>
  </si>
  <si>
    <r>
      <rPr>
        <sz val="5.5"/>
        <rFont val="Calibri"/>
        <family val="2"/>
      </rPr>
      <t>46810(Liters)</t>
    </r>
  </si>
  <si>
    <r>
      <rPr>
        <sz val="5.5"/>
        <rFont val="Calibri"/>
        <family val="2"/>
      </rPr>
      <t>46805(Liters)</t>
    </r>
  </si>
  <si>
    <r>
      <rPr>
        <sz val="5.5"/>
        <rFont val="Calibri"/>
        <family val="2"/>
      </rPr>
      <t>46803(Liters)</t>
    </r>
  </si>
  <si>
    <r>
      <rPr>
        <sz val="5.5"/>
        <rFont val="Calibri"/>
        <family val="2"/>
      </rPr>
      <t>46794(Liters)</t>
    </r>
  </si>
  <si>
    <r>
      <rPr>
        <sz val="5.5"/>
        <rFont val="Calibri"/>
        <family val="2"/>
      </rPr>
      <t>46786(Liters)</t>
    </r>
  </si>
  <si>
    <r>
      <rPr>
        <sz val="5.5"/>
        <rFont val="Calibri"/>
        <family val="2"/>
      </rPr>
      <t>46782(Liters)</t>
    </r>
  </si>
  <si>
    <r>
      <rPr>
        <sz val="5.5"/>
        <rFont val="Calibri"/>
        <family val="2"/>
      </rPr>
      <t>46780(Liters)</t>
    </r>
  </si>
  <si>
    <r>
      <rPr>
        <sz val="5.5"/>
        <rFont val="Calibri"/>
        <family val="2"/>
      </rPr>
      <t>46778(Liters)</t>
    </r>
  </si>
  <si>
    <r>
      <rPr>
        <sz val="5.5"/>
        <rFont val="Calibri"/>
        <family val="2"/>
      </rPr>
      <t>46777(Liters)</t>
    </r>
  </si>
  <si>
    <r>
      <rPr>
        <sz val="5.5"/>
        <rFont val="Calibri"/>
        <family val="2"/>
      </rPr>
      <t>46778 (Liters)</t>
    </r>
  </si>
  <si>
    <r>
      <rPr>
        <sz val="5.5"/>
        <rFont val="Calibri"/>
        <family val="2"/>
      </rPr>
      <t>46779(Liters)</t>
    </r>
  </si>
  <si>
    <r>
      <rPr>
        <sz val="5.5"/>
        <rFont val="Calibri"/>
        <family val="2"/>
      </rPr>
      <t>46772(Liters)</t>
    </r>
  </si>
  <si>
    <r>
      <rPr>
        <sz val="5.5"/>
        <rFont val="Calibri"/>
        <family val="2"/>
      </rPr>
      <t>46771(Liters)</t>
    </r>
  </si>
  <si>
    <r>
      <rPr>
        <sz val="5.5"/>
        <rFont val="Calibri"/>
        <family val="2"/>
      </rPr>
      <t>46774(Liters)</t>
    </r>
  </si>
  <si>
    <r>
      <rPr>
        <sz val="5.5"/>
        <rFont val="Calibri"/>
        <family val="2"/>
      </rPr>
      <t>46773(Liters)</t>
    </r>
  </si>
  <si>
    <r>
      <rPr>
        <sz val="5.5"/>
        <rFont val="Calibri"/>
        <family val="2"/>
      </rPr>
      <t>46776(Liters)</t>
    </r>
  </si>
  <si>
    <r>
      <rPr>
        <sz val="5.5"/>
        <rFont val="Calibri"/>
        <family val="2"/>
      </rPr>
      <t>46783(Liters)</t>
    </r>
  </si>
  <si>
    <r>
      <rPr>
        <sz val="5.5"/>
        <rFont val="Calibri"/>
        <family val="2"/>
      </rPr>
      <t>46787(Liters)</t>
    </r>
  </si>
  <si>
    <r>
      <rPr>
        <sz val="5.5"/>
        <rFont val="Calibri"/>
        <family val="2"/>
      </rPr>
      <t>2840 (Liters)</t>
    </r>
  </si>
  <si>
    <r>
      <rPr>
        <sz val="5.5"/>
        <rFont val="Calibri"/>
        <family val="2"/>
      </rPr>
      <t>2860 (Liters)</t>
    </r>
  </si>
  <si>
    <r>
      <rPr>
        <sz val="5.5"/>
        <rFont val="Calibri"/>
        <family val="2"/>
      </rPr>
      <t>2880 (Liters)</t>
    </r>
  </si>
  <si>
    <r>
      <rPr>
        <sz val="5.5"/>
        <rFont val="Calibri"/>
        <family val="2"/>
      </rPr>
      <t>2880  (Liters)</t>
    </r>
  </si>
  <si>
    <r>
      <rPr>
        <sz val="5.5"/>
        <rFont val="Calibri"/>
        <family val="2"/>
      </rPr>
      <t>46770(Liters)</t>
    </r>
  </si>
  <si>
    <r>
      <rPr>
        <sz val="5.5"/>
        <rFont val="Calibri"/>
        <family val="2"/>
      </rPr>
      <t>46762(Liters)</t>
    </r>
  </si>
  <si>
    <r>
      <rPr>
        <sz val="5.5"/>
        <rFont val="Calibri"/>
        <family val="2"/>
      </rPr>
      <t>46759(Liters)</t>
    </r>
  </si>
  <si>
    <r>
      <rPr>
        <sz val="5.5"/>
        <rFont val="Calibri"/>
        <family val="2"/>
      </rPr>
      <t>46754(Liters)</t>
    </r>
  </si>
  <si>
    <r>
      <rPr>
        <sz val="5.5"/>
        <rFont val="Calibri"/>
        <family val="2"/>
      </rPr>
      <t>46753(Liters)</t>
    </r>
  </si>
  <si>
    <r>
      <rPr>
        <sz val="5.5"/>
        <rFont val="Calibri"/>
        <family val="2"/>
      </rPr>
      <t>46747(Liters)</t>
    </r>
  </si>
  <si>
    <r>
      <rPr>
        <sz val="5.5"/>
        <rFont val="Calibri"/>
        <family val="2"/>
      </rPr>
      <t>46746(Liters)</t>
    </r>
  </si>
  <si>
    <r>
      <rPr>
        <sz val="5.5"/>
        <rFont val="Calibri"/>
        <family val="2"/>
      </rPr>
      <t>46742(Liters)</t>
    </r>
  </si>
  <si>
    <r>
      <rPr>
        <sz val="5.5"/>
        <rFont val="Calibri"/>
        <family val="2"/>
      </rPr>
      <t>46738(Liters)</t>
    </r>
  </si>
  <si>
    <r>
      <rPr>
        <sz val="5.5"/>
        <rFont val="Calibri"/>
        <family val="2"/>
      </rPr>
      <t>46734(Liters)</t>
    </r>
  </si>
  <si>
    <r>
      <rPr>
        <sz val="5.5"/>
        <rFont val="Calibri"/>
        <family val="2"/>
      </rPr>
      <t>46730(Liters)</t>
    </r>
  </si>
  <si>
    <r>
      <rPr>
        <sz val="5.5"/>
        <rFont val="Calibri"/>
        <family val="2"/>
      </rPr>
      <t>46724(Liters)</t>
    </r>
  </si>
  <si>
    <r>
      <rPr>
        <sz val="5.5"/>
        <rFont val="Calibri"/>
        <family val="2"/>
      </rPr>
      <t>46722(Liters)</t>
    </r>
  </si>
  <si>
    <r>
      <rPr>
        <sz val="5.5"/>
        <rFont val="Calibri"/>
        <family val="2"/>
      </rPr>
      <t>46714(Liters)</t>
    </r>
  </si>
  <si>
    <r>
      <rPr>
        <sz val="5.5"/>
        <rFont val="Calibri"/>
        <family val="2"/>
      </rPr>
      <t>46707(Liters)</t>
    </r>
  </si>
  <si>
    <r>
      <rPr>
        <sz val="5.5"/>
        <rFont val="Calibri"/>
        <family val="2"/>
      </rPr>
      <t>46703(Liters)</t>
    </r>
  </si>
  <si>
    <r>
      <rPr>
        <sz val="5.5"/>
        <rFont val="Calibri"/>
        <family val="2"/>
      </rPr>
      <t>46693(Liters)</t>
    </r>
  </si>
  <si>
    <r>
      <rPr>
        <sz val="5.5"/>
        <rFont val="Calibri"/>
        <family val="2"/>
      </rPr>
      <t>46686(Liters)</t>
    </r>
  </si>
  <si>
    <r>
      <rPr>
        <sz val="5.5"/>
        <rFont val="Calibri"/>
        <family val="2"/>
      </rPr>
      <t>46682(Liters)</t>
    </r>
  </si>
  <si>
    <r>
      <rPr>
        <sz val="5.5"/>
        <rFont val="Calibri"/>
        <family val="2"/>
      </rPr>
      <t>46665(Liters)</t>
    </r>
  </si>
  <si>
    <r>
      <rPr>
        <sz val="5.5"/>
        <rFont val="Calibri"/>
        <family val="2"/>
      </rPr>
      <t>46658(Liters)</t>
    </r>
  </si>
  <si>
    <r>
      <rPr>
        <sz val="5.5"/>
        <rFont val="Calibri"/>
        <family val="2"/>
      </rPr>
      <t>46650(Liters)</t>
    </r>
  </si>
  <si>
    <r>
      <rPr>
        <sz val="5.5"/>
        <rFont val="Calibri"/>
        <family val="2"/>
      </rPr>
      <t>46649(Liters)</t>
    </r>
  </si>
  <si>
    <r>
      <rPr>
        <sz val="5.5"/>
        <rFont val="Calibri"/>
        <family val="2"/>
      </rPr>
      <t>46641(Liters)</t>
    </r>
  </si>
  <si>
    <r>
      <rPr>
        <sz val="5.5"/>
        <rFont val="Calibri"/>
        <family val="2"/>
      </rPr>
      <t>46633(Liters)</t>
    </r>
  </si>
  <si>
    <r>
      <rPr>
        <sz val="5.5"/>
        <rFont val="Calibri"/>
        <family val="2"/>
      </rPr>
      <t>2870 (Liters)</t>
    </r>
  </si>
  <si>
    <r>
      <rPr>
        <sz val="5.5"/>
        <rFont val="Calibri"/>
        <family val="2"/>
      </rPr>
      <t>46630(Liters)</t>
    </r>
  </si>
  <si>
    <r>
      <rPr>
        <sz val="5.5"/>
        <rFont val="Calibri"/>
        <family val="2"/>
      </rPr>
      <t>46624(Liters)</t>
    </r>
  </si>
  <si>
    <r>
      <rPr>
        <sz val="5.5"/>
        <rFont val="Calibri"/>
        <family val="2"/>
      </rPr>
      <t>46622(Liters)</t>
    </r>
  </si>
  <si>
    <t>Reading</t>
  </si>
  <si>
    <r>
      <rPr>
        <sz val="5.5"/>
        <rFont val="Calibri"/>
        <family val="2"/>
      </rPr>
      <t>46616(Liters)</t>
    </r>
  </si>
  <si>
    <r>
      <rPr>
        <sz val="5.5"/>
        <rFont val="Calibri"/>
        <family val="2"/>
      </rPr>
      <t>46610(Liters)</t>
    </r>
  </si>
  <si>
    <r>
      <rPr>
        <sz val="5.5"/>
        <rFont val="Calibri"/>
        <family val="2"/>
      </rPr>
      <t>46608(Liters)</t>
    </r>
  </si>
  <si>
    <r>
      <rPr>
        <sz val="5.5"/>
        <rFont val="Calibri"/>
        <family val="2"/>
      </rPr>
      <t>46600(Liters)</t>
    </r>
  </si>
  <si>
    <r>
      <rPr>
        <sz val="5.5"/>
        <rFont val="Calibri"/>
        <family val="2"/>
      </rPr>
      <t>46593(Liters)</t>
    </r>
  </si>
  <si>
    <r>
      <rPr>
        <sz val="5.5"/>
        <rFont val="Calibri"/>
        <family val="2"/>
      </rPr>
      <t>46585(Liters)</t>
    </r>
  </si>
  <si>
    <r>
      <rPr>
        <sz val="5.5"/>
        <rFont val="Calibri"/>
        <family val="2"/>
      </rPr>
      <t>46576(Liters)</t>
    </r>
  </si>
  <si>
    <r>
      <rPr>
        <sz val="5.5"/>
        <rFont val="Calibri"/>
        <family val="2"/>
      </rPr>
      <t>46573(Liters)</t>
    </r>
  </si>
  <si>
    <r>
      <rPr>
        <sz val="5.5"/>
        <rFont val="Calibri"/>
        <family val="2"/>
      </rPr>
      <t>46568(Liters)</t>
    </r>
  </si>
  <si>
    <r>
      <rPr>
        <sz val="5.5"/>
        <rFont val="Calibri"/>
        <family val="2"/>
      </rPr>
      <t>46559(Liters)</t>
    </r>
  </si>
  <si>
    <r>
      <rPr>
        <sz val="5.5"/>
        <rFont val="Calibri"/>
        <family val="2"/>
      </rPr>
      <t>46552(Liters)</t>
    </r>
  </si>
  <si>
    <r>
      <rPr>
        <sz val="5.5"/>
        <rFont val="Calibri"/>
        <family val="2"/>
      </rPr>
      <t>46545(Liters)</t>
    </r>
  </si>
  <si>
    <r>
      <rPr>
        <sz val="5.5"/>
        <rFont val="Calibri"/>
        <family val="2"/>
      </rPr>
      <t>46536(Liters)</t>
    </r>
  </si>
  <si>
    <r>
      <rPr>
        <sz val="5.5"/>
        <rFont val="Calibri"/>
        <family val="2"/>
      </rPr>
      <t>46528(Liters)</t>
    </r>
  </si>
  <si>
    <r>
      <rPr>
        <sz val="5.5"/>
        <rFont val="Calibri"/>
        <family val="2"/>
      </rPr>
      <t>46522(Liters)</t>
    </r>
  </si>
  <si>
    <r>
      <rPr>
        <sz val="5.5"/>
        <rFont val="Calibri"/>
        <family val="2"/>
      </rPr>
      <t>46512(Liters)</t>
    </r>
  </si>
  <si>
    <r>
      <rPr>
        <sz val="5.5"/>
        <rFont val="Calibri"/>
        <family val="2"/>
      </rPr>
      <t>46519(Liters)</t>
    </r>
  </si>
  <si>
    <r>
      <rPr>
        <sz val="5.5"/>
        <rFont val="Calibri"/>
        <family val="2"/>
      </rPr>
      <t>46503(Liters)</t>
    </r>
  </si>
  <si>
    <r>
      <rPr>
        <sz val="5.5"/>
        <rFont val="Calibri"/>
        <family val="2"/>
      </rPr>
      <t>2890 (Liters)</t>
    </r>
  </si>
  <si>
    <r>
      <rPr>
        <sz val="5.5"/>
        <rFont val="Calibri"/>
        <family val="2"/>
      </rPr>
      <t>3000 (Liters)</t>
    </r>
  </si>
  <si>
    <r>
      <rPr>
        <sz val="5.5"/>
        <rFont val="Calibri"/>
        <family val="2"/>
      </rPr>
      <t>3020 (Liters)</t>
    </r>
  </si>
  <si>
    <r>
      <rPr>
        <sz val="5.5"/>
        <rFont val="Calibri"/>
        <family val="2"/>
      </rPr>
      <t>46495(Liters)</t>
    </r>
  </si>
  <si>
    <r>
      <rPr>
        <sz val="5.5"/>
        <rFont val="Calibri"/>
        <family val="2"/>
      </rPr>
      <t>46485(Liters)</t>
    </r>
  </si>
  <si>
    <r>
      <rPr>
        <sz val="5.5"/>
        <rFont val="Calibri"/>
        <family val="2"/>
      </rPr>
      <t>46479(Liters)</t>
    </r>
  </si>
  <si>
    <r>
      <rPr>
        <sz val="5.5"/>
        <rFont val="Calibri"/>
        <family val="2"/>
      </rPr>
      <t>46471(Liters)</t>
    </r>
  </si>
  <si>
    <r>
      <rPr>
        <sz val="5.5"/>
        <rFont val="Calibri"/>
        <family val="2"/>
      </rPr>
      <t>46472(Liters)</t>
    </r>
  </si>
  <si>
    <r>
      <rPr>
        <sz val="5.5"/>
        <rFont val="Calibri"/>
        <family val="2"/>
      </rPr>
      <t>46463(Liters)</t>
    </r>
  </si>
  <si>
    <r>
      <rPr>
        <sz val="5.5"/>
        <rFont val="Calibri"/>
        <family val="2"/>
      </rPr>
      <t>46464(Liters)</t>
    </r>
  </si>
  <si>
    <r>
      <rPr>
        <sz val="5.5"/>
        <rFont val="Calibri"/>
        <family val="2"/>
      </rPr>
      <t>46454(Liters)</t>
    </r>
  </si>
  <si>
    <r>
      <rPr>
        <sz val="5.5"/>
        <rFont val="Calibri"/>
        <family val="2"/>
      </rPr>
      <t>46446(Liters)</t>
    </r>
  </si>
  <si>
    <r>
      <rPr>
        <sz val="5.5"/>
        <rFont val="Calibri"/>
        <family val="2"/>
      </rPr>
      <t>46441(Liters)</t>
    </r>
  </si>
  <si>
    <r>
      <rPr>
        <sz val="5.5"/>
        <rFont val="Calibri"/>
        <family val="2"/>
      </rPr>
      <t>46438(Liters)</t>
    </r>
  </si>
  <si>
    <r>
      <rPr>
        <sz val="5.5"/>
        <rFont val="Calibri"/>
        <family val="2"/>
      </rPr>
      <t>46423(Liters)</t>
    </r>
  </si>
  <si>
    <r>
      <rPr>
        <sz val="5.5"/>
        <rFont val="Calibri"/>
        <family val="2"/>
      </rPr>
      <t>46414(Liters)</t>
    </r>
  </si>
  <si>
    <r>
      <rPr>
        <sz val="5.5"/>
        <rFont val="Calibri"/>
        <family val="2"/>
      </rPr>
      <t>46412(Liters)</t>
    </r>
  </si>
  <si>
    <r>
      <rPr>
        <sz val="5.5"/>
        <rFont val="Calibri"/>
        <family val="2"/>
      </rPr>
      <t>46406(Liters)</t>
    </r>
  </si>
  <si>
    <r>
      <rPr>
        <sz val="5.5"/>
        <rFont val="Calibri"/>
        <family val="2"/>
      </rPr>
      <t>46405(Liters)</t>
    </r>
  </si>
  <si>
    <r>
      <rPr>
        <sz val="5.5"/>
        <rFont val="Calibri"/>
        <family val="2"/>
      </rPr>
      <t>46398(Liters)</t>
    </r>
  </si>
  <si>
    <r>
      <rPr>
        <sz val="5.5"/>
        <rFont val="Calibri"/>
        <family val="2"/>
      </rPr>
      <t>46396(Liters)</t>
    </r>
  </si>
  <si>
    <r>
      <rPr>
        <sz val="5.5"/>
        <rFont val="Calibri"/>
        <family val="2"/>
      </rPr>
      <t>46389(Liters)</t>
    </r>
  </si>
  <si>
    <r>
      <rPr>
        <sz val="5.5"/>
        <rFont val="Calibri"/>
        <family val="2"/>
      </rPr>
      <t>46388(Liters)</t>
    </r>
  </si>
  <si>
    <r>
      <rPr>
        <sz val="5.5"/>
        <rFont val="Calibri"/>
        <family val="2"/>
      </rPr>
      <t>46381(Liters)</t>
    </r>
  </si>
  <si>
    <r>
      <rPr>
        <sz val="5.5"/>
        <rFont val="Calibri"/>
        <family val="2"/>
      </rPr>
      <t>46380(Liters)</t>
    </r>
  </si>
  <si>
    <r>
      <rPr>
        <sz val="5.5"/>
        <rFont val="Calibri"/>
        <family val="2"/>
      </rPr>
      <t>46373(Liters)</t>
    </r>
  </si>
  <si>
    <r>
      <rPr>
        <sz val="5.5"/>
        <rFont val="Calibri"/>
        <family val="2"/>
      </rPr>
      <t>46366(Liters)</t>
    </r>
  </si>
  <si>
    <r>
      <rPr>
        <sz val="5.5"/>
        <rFont val="Calibri"/>
        <family val="2"/>
      </rPr>
      <t>2860(Liters)</t>
    </r>
  </si>
  <si>
    <r>
      <rPr>
        <sz val="5.5"/>
        <rFont val="Calibri"/>
        <family val="2"/>
      </rPr>
      <t>2920(Liters)</t>
    </r>
  </si>
  <si>
    <r>
      <t>9095416 dm</t>
    </r>
    <r>
      <rPr>
        <vertAlign val="superscript"/>
        <sz val="7"/>
        <rFont val="Calibri"/>
        <family val="2"/>
      </rPr>
      <t>3</t>
    </r>
  </si>
  <si>
    <r>
      <t>909541.8dm</t>
    </r>
    <r>
      <rPr>
        <vertAlign val="superscript"/>
        <sz val="7"/>
        <rFont val="Calibri"/>
        <family val="2"/>
      </rPr>
      <t>3</t>
    </r>
  </si>
  <si>
    <r>
      <rPr>
        <sz val="5.5"/>
        <rFont val="Calibri"/>
        <family val="2"/>
      </rPr>
      <t>46359(Liters)</t>
    </r>
  </si>
  <si>
    <r>
      <rPr>
        <sz val="5.5"/>
        <rFont val="Calibri"/>
        <family val="2"/>
      </rPr>
      <t>46353(Liters)</t>
    </r>
  </si>
  <si>
    <r>
      <rPr>
        <sz val="5.5"/>
        <rFont val="Calibri"/>
        <family val="2"/>
      </rPr>
      <t>46357(Liters)</t>
    </r>
  </si>
  <si>
    <r>
      <rPr>
        <sz val="5.5"/>
        <rFont val="Calibri"/>
        <family val="2"/>
      </rPr>
      <t>46348(Liters)</t>
    </r>
  </si>
  <si>
    <r>
      <rPr>
        <sz val="5.5"/>
        <rFont val="Calibri"/>
        <family val="2"/>
      </rPr>
      <t>46343(Liters)</t>
    </r>
  </si>
  <si>
    <r>
      <rPr>
        <sz val="5.5"/>
        <rFont val="Calibri"/>
        <family val="2"/>
      </rPr>
      <t>46340(Liters)</t>
    </r>
  </si>
  <si>
    <r>
      <rPr>
        <sz val="5.5"/>
        <rFont val="Calibri"/>
        <family val="2"/>
      </rPr>
      <t>46339(Liters)</t>
    </r>
  </si>
  <si>
    <r>
      <rPr>
        <sz val="5.5"/>
        <rFont val="Calibri"/>
        <family val="2"/>
      </rPr>
      <t>46332(Liters)</t>
    </r>
  </si>
  <si>
    <r>
      <rPr>
        <sz val="5.5"/>
        <rFont val="Calibri"/>
        <family val="2"/>
      </rPr>
      <t>46325(Liters)</t>
    </r>
  </si>
  <si>
    <r>
      <rPr>
        <sz val="5.5"/>
        <rFont val="Calibri"/>
        <family val="2"/>
      </rPr>
      <t>46324(Liters)</t>
    </r>
  </si>
  <si>
    <r>
      <rPr>
        <sz val="5.5"/>
        <rFont val="Calibri"/>
        <family val="2"/>
      </rPr>
      <t>46318(Liters)</t>
    </r>
  </si>
  <si>
    <r>
      <rPr>
        <sz val="5.5"/>
        <rFont val="Calibri"/>
        <family val="2"/>
      </rPr>
      <t>46315(Liters)</t>
    </r>
  </si>
  <si>
    <r>
      <rPr>
        <sz val="5.5"/>
        <rFont val="Calibri"/>
        <family val="2"/>
      </rPr>
      <t>46313(Liters)</t>
    </r>
  </si>
  <si>
    <r>
      <rPr>
        <sz val="5.5"/>
        <rFont val="Calibri"/>
        <family val="2"/>
      </rPr>
      <t>46308(Liters)</t>
    </r>
  </si>
  <si>
    <r>
      <rPr>
        <sz val="5.5"/>
        <rFont val="Calibri"/>
        <family val="2"/>
      </rPr>
      <t>46301(Liters)</t>
    </r>
  </si>
  <si>
    <r>
      <rPr>
        <sz val="5.5"/>
        <rFont val="Calibri"/>
        <family val="2"/>
      </rPr>
      <t>46299(Liters)</t>
    </r>
  </si>
  <si>
    <r>
      <rPr>
        <sz val="5.5"/>
        <rFont val="Calibri"/>
        <family val="2"/>
      </rPr>
      <t>46298(Liters)</t>
    </r>
  </si>
  <si>
    <r>
      <rPr>
        <sz val="5.5"/>
        <rFont val="Calibri"/>
        <family val="2"/>
      </rPr>
      <t>46293(Liters)</t>
    </r>
  </si>
  <si>
    <r>
      <rPr>
        <sz val="5.5"/>
        <rFont val="Calibri"/>
        <family val="2"/>
      </rPr>
      <t>46292(Liters)</t>
    </r>
  </si>
  <si>
    <r>
      <rPr>
        <sz val="5.5"/>
        <rFont val="Calibri"/>
        <family val="2"/>
      </rPr>
      <t>46289(Liters)</t>
    </r>
  </si>
  <si>
    <t>46284(Liters)</t>
  </si>
  <si>
    <t>46281(Liters)</t>
  </si>
  <si>
    <r>
      <rPr>
        <sz val="5.5"/>
        <rFont val="Calibri"/>
        <family val="2"/>
      </rPr>
      <t>2900(Liters)</t>
    </r>
  </si>
  <si>
    <t>2860(Liters)</t>
  </si>
  <si>
    <t>47289 (Liters)</t>
  </si>
  <si>
    <t>2780  (Liters)</t>
  </si>
  <si>
    <t>47138 (Liters)</t>
  </si>
  <si>
    <t>2820  (Liters)</t>
  </si>
  <si>
    <t>46882(Liters)</t>
  </si>
  <si>
    <t>2800  (Liters)</t>
  </si>
  <si>
    <t>46859(Liters)</t>
  </si>
  <si>
    <t>2860  (Liters)</t>
  </si>
  <si>
    <t>47032 (Liters)</t>
  </si>
  <si>
    <t>2620  (Liters)</t>
  </si>
  <si>
    <t>46834(Liters)</t>
  </si>
  <si>
    <t>2820 (Liters)</t>
  </si>
  <si>
    <t>46778(Liters)</t>
  </si>
  <si>
    <t>46659(Liters)</t>
  </si>
  <si>
    <t>2860 (Liters)</t>
  </si>
  <si>
    <r>
      <t>909542.0 dm</t>
    </r>
    <r>
      <rPr>
        <vertAlign val="superscript"/>
        <sz val="5.5"/>
        <color rgb="FF000000"/>
        <rFont val="Calibri"/>
        <family val="2"/>
      </rPr>
      <t>3</t>
    </r>
  </si>
  <si>
    <r>
      <t>9095420 dm</t>
    </r>
    <r>
      <rPr>
        <vertAlign val="superscript"/>
        <sz val="5.5"/>
        <color rgb="FF000000"/>
        <rFont val="Calibri"/>
        <family val="2"/>
      </rPr>
      <t>3</t>
    </r>
  </si>
  <si>
    <r>
      <rPr>
        <sz val="5.5"/>
        <rFont val="Calibri"/>
        <family val="2"/>
      </rPr>
      <t>46365(Liters)</t>
    </r>
  </si>
  <si>
    <t>46276(Liters)</t>
  </si>
  <si>
    <t>46275(Liters)</t>
  </si>
  <si>
    <t>46271(Liters)</t>
  </si>
  <si>
    <t>46267(Liters)</t>
  </si>
  <si>
    <t>2870(Liters)</t>
  </si>
  <si>
    <r>
      <t>9095422 dm</t>
    </r>
    <r>
      <rPr>
        <vertAlign val="superscript"/>
        <sz val="5.5"/>
        <color rgb="FF000000"/>
        <rFont val="Calibri"/>
        <family val="2"/>
      </rPr>
      <t>3</t>
    </r>
  </si>
  <si>
    <r>
      <t>9095278 dm</t>
    </r>
    <r>
      <rPr>
        <vertAlign val="superscript"/>
        <sz val="5.5"/>
        <color rgb="FF000000"/>
        <rFont val="Calibri"/>
        <family val="2"/>
      </rPr>
      <t>3</t>
    </r>
  </si>
  <si>
    <r>
      <t>9071602 dm</t>
    </r>
    <r>
      <rPr>
        <vertAlign val="superscript"/>
        <sz val="5.5"/>
        <color rgb="FF000000"/>
        <rFont val="Calibri"/>
        <family val="2"/>
      </rPr>
      <t>3</t>
    </r>
  </si>
  <si>
    <r>
      <t>9033408 dm</t>
    </r>
    <r>
      <rPr>
        <vertAlign val="superscript"/>
        <sz val="5.5"/>
        <color rgb="FF000000"/>
        <rFont val="Calibri"/>
        <family val="2"/>
      </rPr>
      <t>3</t>
    </r>
  </si>
  <si>
    <r>
      <t>8992110 dm</t>
    </r>
    <r>
      <rPr>
        <vertAlign val="superscript"/>
        <sz val="5.5"/>
        <color rgb="FF000000"/>
        <rFont val="Calibri"/>
        <family val="2"/>
      </rPr>
      <t>3</t>
    </r>
  </si>
  <si>
    <r>
      <t>8948968 dm</t>
    </r>
    <r>
      <rPr>
        <vertAlign val="superscript"/>
        <sz val="5.5"/>
        <color rgb="FF000000"/>
        <rFont val="Calibri"/>
        <family val="2"/>
      </rPr>
      <t>3</t>
    </r>
  </si>
  <si>
    <r>
      <t>8901724 dm</t>
    </r>
    <r>
      <rPr>
        <vertAlign val="superscript"/>
        <sz val="5.5"/>
        <color rgb="FF000000"/>
        <rFont val="Calibri"/>
        <family val="2"/>
      </rPr>
      <t>3</t>
    </r>
  </si>
  <si>
    <r>
      <t>8854430 dm</t>
    </r>
    <r>
      <rPr>
        <vertAlign val="superscript"/>
        <sz val="5.5"/>
        <color rgb="FF000000"/>
        <rFont val="Calibri"/>
        <family val="2"/>
      </rPr>
      <t>3</t>
    </r>
  </si>
  <si>
    <r>
      <t>8803530 dm</t>
    </r>
    <r>
      <rPr>
        <vertAlign val="superscript"/>
        <sz val="5.5"/>
        <color rgb="FF000000"/>
        <rFont val="Calibri"/>
        <family val="2"/>
      </rPr>
      <t>3</t>
    </r>
  </si>
  <si>
    <r>
      <t>8750352 dm</t>
    </r>
    <r>
      <rPr>
        <vertAlign val="superscript"/>
        <sz val="5.5"/>
        <color rgb="FF000000"/>
        <rFont val="Calibri"/>
        <family val="2"/>
      </rPr>
      <t>3</t>
    </r>
  </si>
  <si>
    <r>
      <t>8696252 dm</t>
    </r>
    <r>
      <rPr>
        <vertAlign val="superscript"/>
        <sz val="5.5"/>
        <color rgb="FF000000"/>
        <rFont val="Calibri"/>
        <family val="2"/>
      </rPr>
      <t>3</t>
    </r>
  </si>
  <si>
    <r>
      <t>8640934 dm</t>
    </r>
    <r>
      <rPr>
        <vertAlign val="superscript"/>
        <sz val="5.5"/>
        <color rgb="FF000000"/>
        <rFont val="Calibri"/>
        <family val="2"/>
      </rPr>
      <t>3</t>
    </r>
  </si>
  <si>
    <r>
      <t>8582856 dm</t>
    </r>
    <r>
      <rPr>
        <vertAlign val="superscript"/>
        <sz val="5.5"/>
        <color rgb="FF000000"/>
        <rFont val="Calibri"/>
        <family val="2"/>
      </rPr>
      <t>3</t>
    </r>
  </si>
  <si>
    <r>
      <t>8526342 dm</t>
    </r>
    <r>
      <rPr>
        <vertAlign val="superscript"/>
        <sz val="5.5"/>
        <color rgb="FF000000"/>
        <rFont val="Calibri"/>
        <family val="2"/>
      </rPr>
      <t>3</t>
    </r>
  </si>
  <si>
    <r>
      <t>8464794 dm</t>
    </r>
    <r>
      <rPr>
        <vertAlign val="superscript"/>
        <sz val="5.5"/>
        <color rgb="FF000000"/>
        <rFont val="Calibri"/>
        <family val="2"/>
      </rPr>
      <t>3</t>
    </r>
  </si>
  <si>
    <r>
      <t>8402246 dm</t>
    </r>
    <r>
      <rPr>
        <vertAlign val="superscript"/>
        <sz val="5.5"/>
        <color rgb="FF000000"/>
        <rFont val="Calibri"/>
        <family val="2"/>
      </rPr>
      <t>3</t>
    </r>
  </si>
  <si>
    <r>
      <t>8338653 dm</t>
    </r>
    <r>
      <rPr>
        <vertAlign val="superscript"/>
        <sz val="5.5"/>
        <color rgb="FF000000"/>
        <rFont val="Calibri"/>
        <family val="2"/>
      </rPr>
      <t>3</t>
    </r>
  </si>
  <si>
    <t>46262(Liters)</t>
  </si>
  <si>
    <t>46259(Liters)</t>
  </si>
  <si>
    <t>46254(Liters)</t>
  </si>
  <si>
    <t>46250(Liters)</t>
  </si>
  <si>
    <t>46249(Liters)</t>
  </si>
  <si>
    <t>46243(Liters)</t>
  </si>
  <si>
    <t>46239(Liters)</t>
  </si>
  <si>
    <t>46235(Liters)</t>
  </si>
  <si>
    <t>46234(Liters)</t>
  </si>
  <si>
    <t>46229(Liters)</t>
  </si>
  <si>
    <t>46226(Liters)</t>
  </si>
  <si>
    <t>46222(Liters)</t>
  </si>
  <si>
    <t>46218(Liters)</t>
  </si>
  <si>
    <t>46216(Liters)</t>
  </si>
  <si>
    <t>46209(Liters)</t>
  </si>
  <si>
    <t>46210(Liters)</t>
  </si>
  <si>
    <t>46204(Liters)</t>
  </si>
  <si>
    <t>46201(Liters)</t>
  </si>
  <si>
    <t>46196(Liters)</t>
  </si>
  <si>
    <t>46193(Liters)</t>
  </si>
  <si>
    <t>46194(Liters)</t>
  </si>
  <si>
    <t>46190(Liters)</t>
  </si>
  <si>
    <t>46186(Liters)</t>
  </si>
  <si>
    <t>46185(Liters)</t>
  </si>
  <si>
    <t>2850(Liters)</t>
  </si>
  <si>
    <t>2840(Liters)</t>
  </si>
  <si>
    <t>2820(Liters)</t>
  </si>
  <si>
    <t>2800(Liters)</t>
  </si>
  <si>
    <r>
      <rPr>
        <sz val="5.5"/>
        <rFont val="Calibri"/>
        <family val="2"/>
      </rPr>
      <t>6657558(dm3)</t>
    </r>
  </si>
  <si>
    <r>
      <rPr>
        <sz val="5.5"/>
        <rFont val="Calibri"/>
        <family val="2"/>
      </rPr>
      <t>6758333(dm3)</t>
    </r>
  </si>
  <si>
    <r>
      <rPr>
        <sz val="5.5"/>
        <rFont val="Calibri"/>
        <family val="2"/>
      </rPr>
      <t>6851964(dm3)</t>
    </r>
  </si>
  <si>
    <r>
      <rPr>
        <sz val="5.5"/>
        <rFont val="Calibri"/>
        <family val="2"/>
      </rPr>
      <t>6943380(dm3)</t>
    </r>
  </si>
  <si>
    <r>
      <rPr>
        <sz val="5.5"/>
        <rFont val="Calibri"/>
        <family val="2"/>
      </rPr>
      <t>7038404(dm3)</t>
    </r>
  </si>
  <si>
    <r>
      <rPr>
        <sz val="5.5"/>
        <rFont val="Calibri"/>
        <family val="2"/>
      </rPr>
      <t>7134182(dm3)</t>
    </r>
  </si>
  <si>
    <r>
      <rPr>
        <sz val="5.5"/>
        <rFont val="Calibri"/>
        <family val="2"/>
      </rPr>
      <t>7226383(dm3)</t>
    </r>
  </si>
  <si>
    <r>
      <rPr>
        <sz val="5.5"/>
        <rFont val="Calibri"/>
        <family val="2"/>
      </rPr>
      <t>7366748(dm3)</t>
    </r>
  </si>
  <si>
    <r>
      <rPr>
        <sz val="5.5"/>
        <rFont val="Calibri"/>
        <family val="2"/>
      </rPr>
      <t>7380311(dm3)</t>
    </r>
  </si>
  <si>
    <r>
      <rPr>
        <sz val="5.5"/>
        <rFont val="Calibri"/>
        <family val="2"/>
      </rPr>
      <t>7380322(dm3)</t>
    </r>
  </si>
  <si>
    <r>
      <rPr>
        <sz val="5.5"/>
        <rFont val="Calibri"/>
        <family val="2"/>
      </rPr>
      <t>7380329(dm3)</t>
    </r>
  </si>
  <si>
    <r>
      <rPr>
        <sz val="5.5"/>
        <rFont val="Calibri"/>
        <family val="2"/>
      </rPr>
      <t>7380350(dm3)</t>
    </r>
  </si>
  <si>
    <r>
      <rPr>
        <sz val="5.5"/>
        <rFont val="Calibri"/>
        <family val="2"/>
      </rPr>
      <t>7380369(dm3)</t>
    </r>
  </si>
  <si>
    <r>
      <rPr>
        <sz val="5.5"/>
        <rFont val="Calibri"/>
        <family val="2"/>
      </rPr>
      <t>7380404(dm3)</t>
    </r>
  </si>
  <si>
    <r>
      <rPr>
        <sz val="5.5"/>
        <rFont val="Calibri"/>
        <family val="2"/>
      </rPr>
      <t>7380565(dm3)</t>
    </r>
  </si>
  <si>
    <r>
      <rPr>
        <sz val="5.5"/>
        <rFont val="Calibri"/>
        <family val="2"/>
      </rPr>
      <t>7428800(dm3)</t>
    </r>
  </si>
  <si>
    <r>
      <rPr>
        <sz val="5.5"/>
        <rFont val="Calibri"/>
        <family val="2"/>
      </rPr>
      <t>7429935(dm3)</t>
    </r>
  </si>
  <si>
    <r>
      <rPr>
        <sz val="5.5"/>
        <rFont val="Calibri"/>
        <family val="2"/>
      </rPr>
      <t>7430011(dm3)</t>
    </r>
  </si>
  <si>
    <r>
      <rPr>
        <sz val="5.5"/>
        <rFont val="Calibri"/>
        <family val="2"/>
      </rPr>
      <t>7562868(dm3)</t>
    </r>
  </si>
  <si>
    <r>
      <rPr>
        <sz val="5.5"/>
        <rFont val="Calibri"/>
        <family val="2"/>
      </rPr>
      <t>7562841(dm3)</t>
    </r>
  </si>
  <si>
    <r>
      <rPr>
        <sz val="5.5"/>
        <rFont val="Calibri"/>
        <family val="2"/>
      </rPr>
      <t>7562923(dm3)</t>
    </r>
  </si>
  <si>
    <r>
      <rPr>
        <sz val="5.5"/>
        <rFont val="Calibri"/>
        <family val="2"/>
      </rPr>
      <t>7602245(dm3)</t>
    </r>
  </si>
  <si>
    <r>
      <rPr>
        <sz val="5.5"/>
        <rFont val="Calibri"/>
        <family val="2"/>
      </rPr>
      <t>7637980(dm3)</t>
    </r>
  </si>
  <si>
    <r>
      <rPr>
        <sz val="5.5"/>
        <rFont val="Calibri"/>
        <family val="2"/>
      </rPr>
      <t>7672698(dm3)</t>
    </r>
  </si>
  <si>
    <r>
      <rPr>
        <sz val="5.5"/>
        <rFont val="Calibri"/>
        <family val="2"/>
      </rPr>
      <t>7726843(dm3)</t>
    </r>
  </si>
  <si>
    <r>
      <rPr>
        <sz val="5.5"/>
        <rFont val="Calibri"/>
        <family val="2"/>
      </rPr>
      <t>7804217 (dm3)</t>
    </r>
  </si>
  <si>
    <r>
      <rPr>
        <sz val="5.5"/>
        <rFont val="Calibri"/>
        <family val="2"/>
      </rPr>
      <t>7860135 (dm3)</t>
    </r>
  </si>
  <si>
    <r>
      <rPr>
        <sz val="5.5"/>
        <rFont val="Calibri"/>
        <family val="2"/>
      </rPr>
      <t>7912808 (dm3)</t>
    </r>
  </si>
  <si>
    <r>
      <rPr>
        <sz val="5.5"/>
        <rFont val="Calibri"/>
        <family val="2"/>
      </rPr>
      <t>25970(m3)</t>
    </r>
  </si>
  <si>
    <r>
      <rPr>
        <sz val="5.5"/>
        <rFont val="Calibri"/>
        <family val="2"/>
      </rPr>
      <t>26779(m3)</t>
    </r>
  </si>
  <si>
    <r>
      <rPr>
        <sz val="5.5"/>
        <rFont val="Calibri"/>
        <family val="2"/>
      </rPr>
      <t>27634(m3)</t>
    </r>
  </si>
  <si>
    <r>
      <rPr>
        <sz val="5.5"/>
        <rFont val="Calibri"/>
        <family val="2"/>
      </rPr>
      <t>28546(m3)</t>
    </r>
  </si>
  <si>
    <r>
      <rPr>
        <sz val="5.5"/>
        <rFont val="Calibri"/>
        <family val="2"/>
      </rPr>
      <t>29398m3)</t>
    </r>
  </si>
  <si>
    <r>
      <rPr>
        <sz val="5.5"/>
        <rFont val="Calibri"/>
        <family val="2"/>
      </rPr>
      <t>106870(m3)</t>
    </r>
  </si>
  <si>
    <r>
      <rPr>
        <sz val="5.5"/>
        <rFont val="Calibri"/>
        <family val="2"/>
      </rPr>
      <t>106937(m3)</t>
    </r>
  </si>
  <si>
    <r>
      <rPr>
        <sz val="5.5"/>
        <rFont val="Calibri"/>
        <family val="2"/>
      </rPr>
      <t>107004(m3)</t>
    </r>
  </si>
  <si>
    <r>
      <rPr>
        <sz val="5.5"/>
        <rFont val="Calibri"/>
        <family val="2"/>
      </rPr>
      <t>107063m3)</t>
    </r>
  </si>
  <si>
    <r>
      <rPr>
        <sz val="5.5"/>
        <rFont val="Calibri"/>
        <family val="2"/>
      </rPr>
      <t>107119m3)</t>
    </r>
  </si>
  <si>
    <r>
      <rPr>
        <sz val="5.5"/>
        <rFont val="Calibri"/>
        <family val="2"/>
      </rPr>
      <t>107175m3)</t>
    </r>
  </si>
  <si>
    <r>
      <rPr>
        <sz val="5.5"/>
        <rFont val="Calibri"/>
        <family val="2"/>
      </rPr>
      <t>107232m3)</t>
    </r>
  </si>
  <si>
    <r>
      <rPr>
        <sz val="5.5"/>
        <rFont val="Calibri"/>
        <family val="2"/>
      </rPr>
      <t>107296m3)</t>
    </r>
  </si>
  <si>
    <r>
      <rPr>
        <sz val="5.5"/>
        <rFont val="Calibri"/>
        <family val="2"/>
      </rPr>
      <t>107356m3)</t>
    </r>
  </si>
  <si>
    <r>
      <rPr>
        <sz val="5.5"/>
        <rFont val="Calibri"/>
        <family val="2"/>
      </rPr>
      <t>107418m3)</t>
    </r>
  </si>
  <si>
    <r>
      <rPr>
        <sz val="5.5"/>
        <rFont val="Calibri"/>
        <family val="2"/>
      </rPr>
      <t>107448 ( m3)</t>
    </r>
  </si>
  <si>
    <r>
      <rPr>
        <sz val="5.5"/>
        <rFont val="Calibri"/>
        <family val="2"/>
      </rPr>
      <t>107517 ( m3)</t>
    </r>
  </si>
  <si>
    <r>
      <rPr>
        <sz val="5.5"/>
        <rFont val="Calibri"/>
        <family val="2"/>
      </rPr>
      <t>107595( m3)</t>
    </r>
  </si>
  <si>
    <r>
      <rPr>
        <sz val="5.5"/>
        <rFont val="Calibri"/>
        <family val="2"/>
      </rPr>
      <t>107668( m3)</t>
    </r>
  </si>
  <si>
    <r>
      <rPr>
        <sz val="5.5"/>
        <rFont val="Calibri"/>
        <family val="2"/>
      </rPr>
      <t>107743( m3)</t>
    </r>
  </si>
  <si>
    <r>
      <rPr>
        <sz val="5.5"/>
        <rFont val="Calibri"/>
        <family val="2"/>
      </rPr>
      <t>107838( m3)</t>
    </r>
  </si>
  <si>
    <r>
      <rPr>
        <sz val="5.5"/>
        <rFont val="Calibri"/>
        <family val="2"/>
      </rPr>
      <t>107876( m3)</t>
    </r>
  </si>
  <si>
    <r>
      <rPr>
        <sz val="5.5"/>
        <rFont val="Calibri"/>
        <family val="2"/>
      </rPr>
      <t>107938( m3)</t>
    </r>
  </si>
  <si>
    <r>
      <rPr>
        <sz val="5.5"/>
        <rFont val="Calibri"/>
        <family val="2"/>
      </rPr>
      <t>108004( m3)</t>
    </r>
  </si>
  <si>
    <r>
      <rPr>
        <sz val="5.5"/>
        <rFont val="Calibri"/>
        <family val="2"/>
      </rPr>
      <t>108077( m3)</t>
    </r>
  </si>
  <si>
    <r>
      <rPr>
        <sz val="5.5"/>
        <rFont val="Calibri"/>
        <family val="2"/>
      </rPr>
      <t>108142( m3)</t>
    </r>
  </si>
  <si>
    <r>
      <rPr>
        <sz val="5.5"/>
        <rFont val="Calibri"/>
        <family val="2"/>
      </rPr>
      <t>108215( m3)</t>
    </r>
  </si>
  <si>
    <r>
      <rPr>
        <sz val="5.5"/>
        <rFont val="Calibri"/>
        <family val="2"/>
      </rPr>
      <t>108314( m3)</t>
    </r>
  </si>
  <si>
    <r>
      <rPr>
        <sz val="5.5"/>
        <rFont val="Calibri"/>
        <family val="2"/>
      </rPr>
      <t>108360m3)</t>
    </r>
  </si>
  <si>
    <r>
      <rPr>
        <sz val="5.5"/>
        <rFont val="Calibri"/>
        <family val="2"/>
      </rPr>
      <t>108432m3)</t>
    </r>
  </si>
  <si>
    <r>
      <rPr>
        <sz val="5.5"/>
        <rFont val="Calibri"/>
        <family val="2"/>
      </rPr>
      <t>1085112m3)</t>
    </r>
  </si>
  <si>
    <r>
      <rPr>
        <sz val="5.5"/>
        <rFont val="Calibri"/>
        <family val="2"/>
      </rPr>
      <t>108590 (m3)</t>
    </r>
  </si>
  <si>
    <r>
      <rPr>
        <sz val="5.5"/>
        <rFont val="Calibri"/>
        <family val="2"/>
      </rPr>
      <t>108677 (m3)</t>
    </r>
  </si>
  <si>
    <r>
      <rPr>
        <sz val="5.5"/>
        <rFont val="Calibri"/>
        <family val="2"/>
      </rPr>
      <t>108762 (m3)</t>
    </r>
  </si>
  <si>
    <r>
      <rPr>
        <sz val="5.5"/>
        <rFont val="Calibri"/>
        <family val="2"/>
      </rPr>
      <t>574(m3)</t>
    </r>
  </si>
  <si>
    <r>
      <rPr>
        <sz val="5.5"/>
        <rFont val="Calibri"/>
        <family val="2"/>
      </rPr>
      <t>641(m3)</t>
    </r>
  </si>
  <si>
    <r>
      <rPr>
        <sz val="5.5"/>
        <rFont val="Calibri"/>
        <family val="2"/>
      </rPr>
      <t>703(m3)</t>
    </r>
  </si>
  <si>
    <r>
      <rPr>
        <sz val="5.5"/>
        <rFont val="Calibri"/>
        <family val="2"/>
      </rPr>
      <t>737(m3)</t>
    </r>
  </si>
  <si>
    <r>
      <rPr>
        <sz val="5.5"/>
        <rFont val="Calibri"/>
        <family val="2"/>
      </rPr>
      <t>755(m3)</t>
    </r>
  </si>
  <si>
    <r>
      <rPr>
        <sz val="5.5"/>
        <rFont val="Calibri"/>
        <family val="2"/>
      </rPr>
      <t>563(m3)</t>
    </r>
  </si>
  <si>
    <r>
      <rPr>
        <sz val="5.5"/>
        <rFont val="Calibri"/>
        <family val="2"/>
      </rPr>
      <t>624(m3)</t>
    </r>
  </si>
  <si>
    <r>
      <rPr>
        <sz val="5.5"/>
        <rFont val="Calibri"/>
        <family val="2"/>
      </rPr>
      <t>667(m3)</t>
    </r>
  </si>
  <si>
    <r>
      <rPr>
        <sz val="5.5"/>
        <rFont val="Calibri"/>
        <family val="2"/>
      </rPr>
      <t>688(m3)</t>
    </r>
  </si>
  <si>
    <r>
      <rPr>
        <sz val="5.5"/>
        <rFont val="Calibri"/>
        <family val="2"/>
      </rPr>
      <t>705(m3)</t>
    </r>
  </si>
  <si>
    <r>
      <rPr>
        <sz val="5.5"/>
        <rFont val="Calibri"/>
        <family val="2"/>
      </rPr>
      <t>175 (m3)</t>
    </r>
  </si>
  <si>
    <r>
      <rPr>
        <sz val="5.5"/>
        <rFont val="Calibri"/>
        <family val="2"/>
      </rPr>
      <t>218 (m3)</t>
    </r>
  </si>
  <si>
    <r>
      <rPr>
        <sz val="5.5"/>
        <rFont val="Calibri"/>
        <family val="2"/>
      </rPr>
      <t>270(m3)</t>
    </r>
  </si>
  <si>
    <r>
      <rPr>
        <sz val="5.5"/>
        <rFont val="Calibri"/>
        <family val="2"/>
      </rPr>
      <t>311(m3)</t>
    </r>
  </si>
  <si>
    <r>
      <rPr>
        <sz val="5.5"/>
        <rFont val="Calibri"/>
        <family val="2"/>
      </rPr>
      <t>36(m3)</t>
    </r>
  </si>
  <si>
    <r>
      <rPr>
        <sz val="5.5"/>
        <rFont val="Calibri"/>
        <family val="2"/>
      </rPr>
      <t>39(m3)</t>
    </r>
  </si>
  <si>
    <r>
      <rPr>
        <sz val="5.5"/>
        <rFont val="Calibri"/>
        <family val="2"/>
      </rPr>
      <t>40(m3)</t>
    </r>
  </si>
  <si>
    <r>
      <rPr>
        <sz val="5.5"/>
        <rFont val="Calibri"/>
        <family val="2"/>
      </rPr>
      <t>42(m3)</t>
    </r>
  </si>
  <si>
    <r>
      <rPr>
        <sz val="5.5"/>
        <rFont val="Calibri"/>
        <family val="2"/>
      </rPr>
      <t>781(m3)</t>
    </r>
  </si>
  <si>
    <r>
      <rPr>
        <sz val="5.5"/>
        <rFont val="Calibri"/>
        <family val="2"/>
      </rPr>
      <t>852(m3)</t>
    </r>
  </si>
  <si>
    <r>
      <rPr>
        <sz val="5.5"/>
        <rFont val="Calibri"/>
        <family val="2"/>
      </rPr>
      <t>928(m3)</t>
    </r>
  </si>
  <si>
    <r>
      <rPr>
        <sz val="5.5"/>
        <rFont val="Calibri"/>
        <family val="2"/>
      </rPr>
      <t>973(m3)</t>
    </r>
  </si>
  <si>
    <r>
      <rPr>
        <sz val="5.5"/>
        <rFont val="Calibri"/>
        <family val="2"/>
      </rPr>
      <t>999(m3)</t>
    </r>
  </si>
  <si>
    <r>
      <rPr>
        <sz val="5.5"/>
        <rFont val="Calibri"/>
        <family val="2"/>
      </rPr>
      <t>116(m3)</t>
    </r>
  </si>
  <si>
    <r>
      <rPr>
        <sz val="5.5"/>
        <rFont val="Calibri"/>
        <family val="2"/>
      </rPr>
      <t>127(m3)</t>
    </r>
  </si>
  <si>
    <r>
      <rPr>
        <sz val="5.5"/>
        <rFont val="Calibri"/>
        <family val="2"/>
      </rPr>
      <t>138(m3)</t>
    </r>
  </si>
  <si>
    <r>
      <rPr>
        <sz val="5.5"/>
        <rFont val="Calibri"/>
        <family val="2"/>
      </rPr>
      <t>147(m3)</t>
    </r>
  </si>
  <si>
    <r>
      <rPr>
        <sz val="5.5"/>
        <rFont val="Calibri"/>
        <family val="2"/>
      </rPr>
      <t>156(m3)</t>
    </r>
  </si>
  <si>
    <r>
      <rPr>
        <sz val="5.5"/>
        <rFont val="Calibri"/>
        <family val="2"/>
      </rPr>
      <t>41(m3)</t>
    </r>
  </si>
  <si>
    <r>
      <rPr>
        <sz val="5.5"/>
        <rFont val="Calibri"/>
        <family val="2"/>
      </rPr>
      <t>46(m3)</t>
    </r>
  </si>
  <si>
    <r>
      <rPr>
        <sz val="5.5"/>
        <rFont val="Calibri"/>
        <family val="2"/>
      </rPr>
      <t>51(m3)</t>
    </r>
  </si>
  <si>
    <r>
      <rPr>
        <sz val="5.5"/>
        <rFont val="Calibri"/>
        <family val="2"/>
      </rPr>
      <t>46882(Liters)</t>
    </r>
  </si>
  <si>
    <r>
      <rPr>
        <sz val="5.5"/>
        <rFont val="Calibri"/>
        <family val="2"/>
      </rPr>
      <t>46881 (Liters)</t>
    </r>
  </si>
  <si>
    <r>
      <rPr>
        <sz val="5.5"/>
        <rFont val="Calibri"/>
        <family val="2"/>
      </rPr>
      <t>46883 (Liters)</t>
    </r>
  </si>
  <si>
    <r>
      <rPr>
        <sz val="5.5"/>
        <rFont val="Calibri"/>
        <family val="2"/>
      </rPr>
      <t>46887 (Liters)</t>
    </r>
  </si>
  <si>
    <t>46495(Liters)</t>
  </si>
  <si>
    <t>3000 (Liters)</t>
  </si>
  <si>
    <t>46503(Liters)</t>
  </si>
  <si>
    <t>00332788</t>
  </si>
  <si>
    <t>00333010</t>
  </si>
  <si>
    <t>00333241</t>
  </si>
  <si>
    <t>00333468</t>
  </si>
  <si>
    <t>00333713</t>
  </si>
  <si>
    <t>00333954</t>
  </si>
  <si>
    <t>00334197</t>
  </si>
  <si>
    <t>00334453</t>
  </si>
  <si>
    <t>00334686</t>
  </si>
  <si>
    <t>00334906</t>
  </si>
  <si>
    <t>00335144</t>
  </si>
  <si>
    <t>00335382</t>
  </si>
  <si>
    <t>00335630</t>
  </si>
  <si>
    <t>00335881</t>
  </si>
  <si>
    <t>00336117</t>
  </si>
  <si>
    <t>00336363</t>
  </si>
  <si>
    <t>00336566</t>
  </si>
  <si>
    <t>00336814</t>
  </si>
  <si>
    <t>00337053</t>
  </si>
  <si>
    <t>00337295</t>
  </si>
  <si>
    <t>00337541</t>
  </si>
  <si>
    <t>00337793</t>
  </si>
  <si>
    <t>00337998</t>
  </si>
  <si>
    <t>00338245</t>
  </si>
  <si>
    <t>00338492</t>
  </si>
  <si>
    <t>00338726</t>
  </si>
  <si>
    <t>00338975</t>
  </si>
  <si>
    <t>00339222</t>
  </si>
  <si>
    <t>00339447</t>
  </si>
  <si>
    <t>00339690</t>
  </si>
  <si>
    <t>00332543</t>
  </si>
  <si>
    <t>09281541</t>
  </si>
  <si>
    <t>09287457</t>
  </si>
  <si>
    <t>09293832</t>
  </si>
  <si>
    <t>09300486</t>
  </si>
  <si>
    <t>09307423</t>
  </si>
  <si>
    <t>09314158</t>
  </si>
  <si>
    <t>09321293</t>
  </si>
  <si>
    <t>09329099</t>
  </si>
  <si>
    <t>09335716</t>
  </si>
  <si>
    <t>09342191</t>
  </si>
  <si>
    <t>09349019</t>
  </si>
  <si>
    <t>09356243</t>
  </si>
  <si>
    <t>09364080</t>
  </si>
  <si>
    <t>09371260</t>
  </si>
  <si>
    <t>09377638</t>
  </si>
  <si>
    <t>09384124</t>
  </si>
  <si>
    <t>09389501</t>
  </si>
  <si>
    <t>09396526</t>
  </si>
  <si>
    <t>09403234</t>
  </si>
  <si>
    <t>09410035</t>
  </si>
  <si>
    <t>09417014</t>
  </si>
  <si>
    <t>09423600</t>
  </si>
  <si>
    <t>09428688</t>
  </si>
  <si>
    <t>09435062</t>
  </si>
  <si>
    <t>09441905</t>
  </si>
  <si>
    <t>09448381</t>
  </si>
  <si>
    <t>09455136</t>
  </si>
  <si>
    <t>09461861</t>
  </si>
  <si>
    <t>09467863</t>
  </si>
  <si>
    <t>09474719</t>
  </si>
  <si>
    <t>09274731</t>
  </si>
  <si>
    <t>04449954</t>
  </si>
  <si>
    <t>04452586</t>
  </si>
  <si>
    <t>04455464</t>
  </si>
  <si>
    <t>04458491</t>
  </si>
  <si>
    <t>04461683</t>
  </si>
  <si>
    <t>04464824</t>
  </si>
  <si>
    <t>04468044</t>
  </si>
  <si>
    <t>04471369</t>
  </si>
  <si>
    <t>04474147</t>
  </si>
  <si>
    <t>04477213</t>
  </si>
  <si>
    <t>04480360</t>
  </si>
  <si>
    <t>04483500</t>
  </si>
  <si>
    <t>04486865</t>
  </si>
  <si>
    <t>04490513</t>
  </si>
  <si>
    <t>04493539</t>
  </si>
  <si>
    <t>04496638</t>
  </si>
  <si>
    <t>04499249</t>
  </si>
  <si>
    <t>04502673</t>
  </si>
  <si>
    <t>04505902</t>
  </si>
  <si>
    <t>04509129</t>
  </si>
  <si>
    <t>04512388</t>
  </si>
  <si>
    <t>04515323</t>
  </si>
  <si>
    <t>04517535</t>
  </si>
  <si>
    <t>04520329</t>
  </si>
  <si>
    <t>04523579</t>
  </si>
  <si>
    <t>04526550</t>
  </si>
  <si>
    <t>04529711</t>
  </si>
  <si>
    <t>04532894</t>
  </si>
  <si>
    <t>04535591</t>
  </si>
  <si>
    <t>04538204</t>
  </si>
  <si>
    <t>04446915</t>
  </si>
  <si>
    <t>09821937</t>
  </si>
  <si>
    <t>09831556</t>
  </si>
  <si>
    <t>09843456</t>
  </si>
  <si>
    <t>09858762</t>
  </si>
  <si>
    <t>09874455</t>
  </si>
  <si>
    <t>09891477</t>
  </si>
  <si>
    <t>09902585</t>
  </si>
  <si>
    <t>09912418</t>
  </si>
  <si>
    <t>09919904</t>
  </si>
  <si>
    <t>09927291</t>
  </si>
  <si>
    <t>09938112</t>
  </si>
  <si>
    <t>09947186</t>
  </si>
  <si>
    <t>09956842</t>
  </si>
  <si>
    <t>09967044</t>
  </si>
  <si>
    <t>09976027</t>
  </si>
  <si>
    <t>09985160</t>
  </si>
  <si>
    <t>09985226</t>
  </si>
  <si>
    <t>09985304</t>
  </si>
  <si>
    <t>09985995</t>
  </si>
  <si>
    <t>09986071</t>
  </si>
  <si>
    <t>09986149</t>
  </si>
  <si>
    <t>09988489</t>
  </si>
  <si>
    <t>09988736</t>
  </si>
  <si>
    <t>09990667</t>
  </si>
  <si>
    <t>09995760</t>
  </si>
  <si>
    <t>09996940</t>
  </si>
  <si>
    <t>09999746</t>
  </si>
  <si>
    <t>10008762</t>
  </si>
  <si>
    <t>10013505</t>
  </si>
  <si>
    <t>10014588</t>
  </si>
  <si>
    <t>09812214</t>
  </si>
  <si>
    <t>03272048</t>
  </si>
  <si>
    <t>03274452</t>
  </si>
  <si>
    <t>03277512</t>
  </si>
  <si>
    <t>03280161</t>
  </si>
  <si>
    <t>03282344</t>
  </si>
  <si>
    <t>03282587</t>
  </si>
  <si>
    <t>03285380</t>
  </si>
  <si>
    <t>03288357</t>
  </si>
  <si>
    <t>03290840</t>
  </si>
  <si>
    <t>03292836</t>
  </si>
  <si>
    <t>03293592</t>
  </si>
  <si>
    <t>03296435</t>
  </si>
  <si>
    <t>03300186</t>
  </si>
  <si>
    <t>03303635</t>
  </si>
  <si>
    <t>03308303</t>
  </si>
  <si>
    <t>03312389</t>
  </si>
  <si>
    <t>03315373</t>
  </si>
  <si>
    <t>03318393</t>
  </si>
  <si>
    <t>03322291</t>
  </si>
  <si>
    <t>03325444</t>
  </si>
  <si>
    <t>03328953</t>
  </si>
  <si>
    <t>03332329</t>
  </si>
  <si>
    <t>03335131</t>
  </si>
  <si>
    <t>03337844</t>
  </si>
  <si>
    <t>03340841</t>
  </si>
  <si>
    <t>03270802</t>
  </si>
  <si>
    <t>20360365</t>
  </si>
  <si>
    <t>20366856</t>
  </si>
  <si>
    <t>20373912</t>
  </si>
  <si>
    <t>20383497</t>
  </si>
  <si>
    <t>20392555</t>
  </si>
  <si>
    <t>20403238</t>
  </si>
  <si>
    <t>20414033</t>
  </si>
  <si>
    <t>20425385</t>
  </si>
  <si>
    <t>20435097</t>
  </si>
  <si>
    <t>20443936</t>
  </si>
  <si>
    <t>20450846</t>
  </si>
  <si>
    <t>20461387</t>
  </si>
  <si>
    <t>20472421</t>
  </si>
  <si>
    <t>20483180</t>
  </si>
  <si>
    <t>20492907</t>
  </si>
  <si>
    <t>20500134</t>
  </si>
  <si>
    <t>20506092</t>
  </si>
  <si>
    <t>20513498</t>
  </si>
  <si>
    <t>20520987</t>
  </si>
  <si>
    <t>20529793</t>
  </si>
  <si>
    <t>20537851</t>
  </si>
  <si>
    <t>20545817</t>
  </si>
  <si>
    <t>20551941</t>
  </si>
  <si>
    <t>20559719</t>
  </si>
  <si>
    <t>20569194</t>
  </si>
  <si>
    <t>20576859</t>
  </si>
  <si>
    <t>20585414</t>
  </si>
  <si>
    <t>20596542</t>
  </si>
  <si>
    <t>20605352</t>
  </si>
  <si>
    <t>20612488</t>
  </si>
  <si>
    <t>20351606</t>
  </si>
  <si>
    <t>06537689</t>
  </si>
  <si>
    <t>06540652</t>
  </si>
  <si>
    <t>06544266</t>
  </si>
  <si>
    <t>06548281</t>
  </si>
  <si>
    <t>06552485</t>
  </si>
  <si>
    <t>06556508</t>
  </si>
  <si>
    <t>06560548</t>
  </si>
  <si>
    <t>06564404</t>
  </si>
  <si>
    <t>06567415</t>
  </si>
  <si>
    <t>06570832</t>
  </si>
  <si>
    <t>06574805</t>
  </si>
  <si>
    <t>06578760</t>
  </si>
  <si>
    <t>06582916</t>
  </si>
  <si>
    <t>06587189</t>
  </si>
  <si>
    <t>06590723</t>
  </si>
  <si>
    <t>06593913</t>
  </si>
  <si>
    <t>06596940</t>
  </si>
  <si>
    <t>06601192</t>
  </si>
  <si>
    <t>06605139</t>
  </si>
  <si>
    <t>06609120</t>
  </si>
  <si>
    <t>06613195</t>
  </si>
  <si>
    <t>06616737</t>
  </si>
  <si>
    <t>06619042</t>
  </si>
  <si>
    <t>06622322</t>
  </si>
  <si>
    <t>06626449</t>
  </si>
  <si>
    <t>06630312</t>
  </si>
  <si>
    <t>06634414</t>
  </si>
  <si>
    <t>06638501</t>
  </si>
  <si>
    <t>06641974</t>
  </si>
  <si>
    <t>06644725</t>
  </si>
  <si>
    <t>06533637</t>
  </si>
  <si>
    <t>00257305</t>
  </si>
  <si>
    <t>00257415</t>
  </si>
  <si>
    <t>00257541</t>
  </si>
  <si>
    <t>00257667</t>
  </si>
  <si>
    <t>00257807</t>
  </si>
  <si>
    <t>00257943</t>
  </si>
  <si>
    <t>00258081</t>
  </si>
  <si>
    <t>00258222</t>
  </si>
  <si>
    <t>00258332</t>
  </si>
  <si>
    <t>00258459</t>
  </si>
  <si>
    <t>00258600</t>
  </si>
  <si>
    <t>00258736</t>
  </si>
  <si>
    <t>00258873</t>
  </si>
  <si>
    <t>00259020</t>
  </si>
  <si>
    <t>00259149</t>
  </si>
  <si>
    <t>00259276</t>
  </si>
  <si>
    <t>00259382</t>
  </si>
  <si>
    <t>00259532</t>
  </si>
  <si>
    <t>00259674</t>
  </si>
  <si>
    <t>00259818</t>
  </si>
  <si>
    <t>00259966</t>
  </si>
  <si>
    <t>00260107</t>
  </si>
  <si>
    <t>00260203</t>
  </si>
  <si>
    <t>00260335</t>
  </si>
  <si>
    <t>00260476</t>
  </si>
  <si>
    <t>00260608</t>
  </si>
  <si>
    <t>00260755</t>
  </si>
  <si>
    <t>00260898</t>
  </si>
  <si>
    <t>00261031</t>
  </si>
  <si>
    <t>00261158</t>
  </si>
  <si>
    <t>00257170</t>
  </si>
  <si>
    <t>1219053 (Beside Entrance Gate-05)</t>
  </si>
  <si>
    <r>
      <t xml:space="preserve">      +3373893dm</t>
    </r>
    <r>
      <rPr>
        <vertAlign val="superscript"/>
        <sz val="5.5"/>
        <color rgb="FF000000"/>
        <rFont val="Calibri"/>
        <family val="2"/>
      </rPr>
      <t>3</t>
    </r>
  </si>
  <si>
    <r>
      <t xml:space="preserve">      +3455155dm</t>
    </r>
    <r>
      <rPr>
        <vertAlign val="superscript"/>
        <sz val="5.5"/>
        <color rgb="FF000000"/>
        <rFont val="Calibri"/>
        <family val="2"/>
      </rPr>
      <t>3</t>
    </r>
  </si>
  <si>
    <r>
      <t xml:space="preserve">      +3540620dm</t>
    </r>
    <r>
      <rPr>
        <vertAlign val="superscript"/>
        <sz val="5.5"/>
        <color rgb="FF000000"/>
        <rFont val="Calibri"/>
        <family val="2"/>
      </rPr>
      <t>3</t>
    </r>
  </si>
  <si>
    <r>
      <t xml:space="preserve">      +3540620 cdm</t>
    </r>
    <r>
      <rPr>
        <vertAlign val="superscript"/>
        <sz val="5.5"/>
        <color rgb="FF000000"/>
        <rFont val="Calibri"/>
        <family val="2"/>
      </rPr>
      <t>3</t>
    </r>
  </si>
  <si>
    <r>
      <t xml:space="preserve">      +3540773 cdm</t>
    </r>
    <r>
      <rPr>
        <vertAlign val="superscript"/>
        <sz val="5.5"/>
        <color rgb="FF000000"/>
        <rFont val="Calibri"/>
        <family val="2"/>
      </rPr>
      <t>3</t>
    </r>
  </si>
  <si>
    <r>
      <t xml:space="preserve">      +3598917 cdm</t>
    </r>
    <r>
      <rPr>
        <vertAlign val="superscript"/>
        <sz val="5.5"/>
        <color rgb="FF000000"/>
        <rFont val="Calibri"/>
        <family val="2"/>
      </rPr>
      <t>3</t>
    </r>
  </si>
  <si>
    <r>
      <t xml:space="preserve">      +3599248 cdm</t>
    </r>
    <r>
      <rPr>
        <vertAlign val="superscript"/>
        <sz val="5.5"/>
        <color rgb="FF000000"/>
        <rFont val="Calibri"/>
        <family val="2"/>
      </rPr>
      <t>3</t>
    </r>
  </si>
  <si>
    <r>
      <t xml:space="preserve">      +3728790 cdm</t>
    </r>
    <r>
      <rPr>
        <vertAlign val="superscript"/>
        <sz val="5.5"/>
        <color rgb="FF000000"/>
        <rFont val="Calibri"/>
        <family val="2"/>
      </rPr>
      <t>3</t>
    </r>
  </si>
  <si>
    <r>
      <t xml:space="preserve">      +3841189cdm</t>
    </r>
    <r>
      <rPr>
        <vertAlign val="superscript"/>
        <sz val="5.5"/>
        <color rgb="FF000000"/>
        <rFont val="Calibri"/>
        <family val="2"/>
      </rPr>
      <t>3</t>
    </r>
  </si>
  <si>
    <r>
      <t xml:space="preserve">      +4199504 dm</t>
    </r>
    <r>
      <rPr>
        <vertAlign val="superscript"/>
        <sz val="10"/>
        <color rgb="FF000000"/>
        <rFont val="Calibri"/>
        <family val="2"/>
      </rPr>
      <t>3</t>
    </r>
  </si>
  <si>
    <t>46555L</t>
  </si>
  <si>
    <t>46558L</t>
  </si>
  <si>
    <t>46560L</t>
  </si>
  <si>
    <t>46561L</t>
  </si>
  <si>
    <t>46559L</t>
  </si>
  <si>
    <t>46563L</t>
  </si>
  <si>
    <t>46564L</t>
  </si>
  <si>
    <t>46566L</t>
  </si>
  <si>
    <t>46568L</t>
  </si>
  <si>
    <t>46569L</t>
  </si>
  <si>
    <t>46567L</t>
  </si>
  <si>
    <t>46570L</t>
  </si>
  <si>
    <t>46571L</t>
  </si>
  <si>
    <t>46572L</t>
  </si>
  <si>
    <t>46573L</t>
  </si>
  <si>
    <t>46574L</t>
  </si>
  <si>
    <t>46576L</t>
  </si>
  <si>
    <t>46552L</t>
  </si>
  <si>
    <t>2100 L</t>
  </si>
  <si>
    <t>00325351</t>
  </si>
  <si>
    <t>00325602</t>
  </si>
  <si>
    <t>00325841</t>
  </si>
  <si>
    <t>00326077</t>
  </si>
  <si>
    <t>00326314</t>
  </si>
  <si>
    <t>00326553</t>
  </si>
  <si>
    <t>00326815</t>
  </si>
  <si>
    <t>00327041</t>
  </si>
  <si>
    <t>00327278</t>
  </si>
  <si>
    <t>00327521</t>
  </si>
  <si>
    <t>00327758</t>
  </si>
  <si>
    <t>00327992</t>
  </si>
  <si>
    <t>00328229</t>
  </si>
  <si>
    <t>00328468</t>
  </si>
  <si>
    <t>00328717</t>
  </si>
  <si>
    <t>00328958</t>
  </si>
  <si>
    <t>00329190</t>
  </si>
  <si>
    <t>00329484</t>
  </si>
  <si>
    <t>00329687</t>
  </si>
  <si>
    <t>00329901</t>
  </si>
  <si>
    <t>00330139</t>
  </si>
  <si>
    <t>00330390</t>
  </si>
  <si>
    <t>00330623</t>
  </si>
  <si>
    <t>00330878</t>
  </si>
  <si>
    <t>00331159</t>
  </si>
  <si>
    <t>00331353</t>
  </si>
  <si>
    <t>00331573</t>
  </si>
  <si>
    <t>00331811</t>
  </si>
  <si>
    <t>00332067</t>
  </si>
  <si>
    <t>00332307</t>
  </si>
  <si>
    <t>00325119</t>
  </si>
  <si>
    <t>09077021</t>
  </si>
  <si>
    <t>09084527</t>
  </si>
  <si>
    <t>09091245</t>
  </si>
  <si>
    <t>09097348</t>
  </si>
  <si>
    <t>09103451</t>
  </si>
  <si>
    <t>09109589</t>
  </si>
  <si>
    <t>09117031</t>
  </si>
  <si>
    <t>09123430</t>
  </si>
  <si>
    <t>09130082</t>
  </si>
  <si>
    <t>09136974</t>
  </si>
  <si>
    <t>09143247</t>
  </si>
  <si>
    <t>09149169</t>
  </si>
  <si>
    <t>09155411</t>
  </si>
  <si>
    <t>09162023</t>
  </si>
  <si>
    <t>09168887</t>
  </si>
  <si>
    <t>09175763</t>
  </si>
  <si>
    <t>09182451</t>
  </si>
  <si>
    <t>09190691</t>
  </si>
  <si>
    <t>09196041</t>
  </si>
  <si>
    <t>09201892</t>
  </si>
  <si>
    <t>09208608</t>
  </si>
  <si>
    <t>09215374</t>
  </si>
  <si>
    <t>09221787</t>
  </si>
  <si>
    <t>09228865</t>
  </si>
  <si>
    <t>09236376</t>
  </si>
  <si>
    <t>09241390</t>
  </si>
  <si>
    <t>09247373</t>
  </si>
  <si>
    <t>09253962</t>
  </si>
  <si>
    <t>09261213</t>
  </si>
  <si>
    <t>09267965</t>
  </si>
  <si>
    <t>09070651</t>
  </si>
  <si>
    <t>04354145</t>
  </si>
  <si>
    <t>04357342</t>
  </si>
  <si>
    <t>04361239</t>
  </si>
  <si>
    <t>04364481</t>
  </si>
  <si>
    <t>04367724</t>
  </si>
  <si>
    <t>04370974</t>
  </si>
  <si>
    <t>04374698</t>
  </si>
  <si>
    <t>04377888</t>
  </si>
  <si>
    <t>04381105</t>
  </si>
  <si>
    <t>04384119</t>
  </si>
  <si>
    <t>04385883</t>
  </si>
  <si>
    <t>04389449</t>
  </si>
  <si>
    <t>04392209</t>
  </si>
  <si>
    <t>04395147</t>
  </si>
  <si>
    <t>04398411</t>
  </si>
  <si>
    <t>04401565</t>
  </si>
  <si>
    <t>04404556</t>
  </si>
  <si>
    <t>04408131</t>
  </si>
  <si>
    <t>04410431</t>
  </si>
  <si>
    <t>04412985</t>
  </si>
  <si>
    <t>04416091</t>
  </si>
  <si>
    <t>04419290</t>
  </si>
  <si>
    <t>04422254</t>
  </si>
  <si>
    <t>04425634</t>
  </si>
  <si>
    <t>04429110</t>
  </si>
  <si>
    <t>04431366</t>
  </si>
  <si>
    <t>04434087</t>
  </si>
  <si>
    <t>04437186</t>
  </si>
  <si>
    <t>04440650</t>
  </si>
  <si>
    <t>04443744</t>
  </si>
  <si>
    <t>04350919</t>
  </si>
  <si>
    <t>09679453</t>
  </si>
  <si>
    <t>09679532</t>
  </si>
  <si>
    <t>09679608</t>
  </si>
  <si>
    <t>09688431</t>
  </si>
  <si>
    <t>09697254</t>
  </si>
  <si>
    <t>09707737</t>
  </si>
  <si>
    <t>09717223</t>
  </si>
  <si>
    <t>09717652</t>
  </si>
  <si>
    <t>09726968</t>
  </si>
  <si>
    <t>09727435</t>
  </si>
  <si>
    <t>09727511</t>
  </si>
  <si>
    <t>09727588</t>
  </si>
  <si>
    <t>09727665</t>
  </si>
  <si>
    <t>09727739</t>
  </si>
  <si>
    <t>09727816</t>
  </si>
  <si>
    <t>09727891</t>
  </si>
  <si>
    <t>09727964</t>
  </si>
  <si>
    <t>09728058</t>
  </si>
  <si>
    <t>09728124</t>
  </si>
  <si>
    <t>09740922</t>
  </si>
  <si>
    <t>09757739</t>
  </si>
  <si>
    <t>09774628</t>
  </si>
  <si>
    <t>09788181</t>
  </si>
  <si>
    <t>09789392</t>
  </si>
  <si>
    <t>09789481</t>
  </si>
  <si>
    <t>09789544</t>
  </si>
  <si>
    <t>09789614</t>
  </si>
  <si>
    <t>09789688</t>
  </si>
  <si>
    <t>09792697</t>
  </si>
  <si>
    <t>09804079</t>
  </si>
  <si>
    <t>09679381</t>
  </si>
  <si>
    <t>03168113</t>
  </si>
  <si>
    <t>03172135</t>
  </si>
  <si>
    <t>03176920</t>
  </si>
  <si>
    <t>03178413</t>
  </si>
  <si>
    <t>03179906</t>
  </si>
  <si>
    <t>03181526</t>
  </si>
  <si>
    <t>03184605</t>
  </si>
  <si>
    <t>03188272</t>
  </si>
  <si>
    <t>03189065</t>
  </si>
  <si>
    <t>03193251</t>
  </si>
  <si>
    <t>03198943</t>
  </si>
  <si>
    <t>03204097</t>
  </si>
  <si>
    <t>03208791</t>
  </si>
  <si>
    <t>03213475</t>
  </si>
  <si>
    <t>03219319</t>
  </si>
  <si>
    <t>03225124</t>
  </si>
  <si>
    <t>03230010</t>
  </si>
  <si>
    <t>03236214</t>
  </si>
  <si>
    <t>03239770</t>
  </si>
  <si>
    <t>03240267</t>
  </si>
  <si>
    <t>03240331</t>
  </si>
  <si>
    <t>03240518</t>
  </si>
  <si>
    <t>03243943</t>
  </si>
  <si>
    <t>03250349</t>
  </si>
  <si>
    <t>03253690</t>
  </si>
  <si>
    <t>03258421</t>
  </si>
  <si>
    <t>03262746</t>
  </si>
  <si>
    <t>03266706</t>
  </si>
  <si>
    <t>03268029</t>
  </si>
  <si>
    <t>03164481</t>
  </si>
  <si>
    <t>20081723</t>
  </si>
  <si>
    <t>20088699</t>
  </si>
  <si>
    <t>20097284</t>
  </si>
  <si>
    <t>20105638</t>
  </si>
  <si>
    <t>20113992</t>
  </si>
  <si>
    <t>20123136</t>
  </si>
  <si>
    <t>20134844</t>
  </si>
  <si>
    <t>20141373</t>
  </si>
  <si>
    <t>20148340</t>
  </si>
  <si>
    <t>20156115</t>
  </si>
  <si>
    <t>20166745</t>
  </si>
  <si>
    <t>20176033</t>
  </si>
  <si>
    <t>20185270</t>
  </si>
  <si>
    <t>20194266</t>
  </si>
  <si>
    <t>20205509</t>
  </si>
  <si>
    <t>20216150</t>
  </si>
  <si>
    <t>20224957</t>
  </si>
  <si>
    <t>20236241</t>
  </si>
  <si>
    <t>20242121</t>
  </si>
  <si>
    <t>20251466</t>
  </si>
  <si>
    <t>20262319</t>
  </si>
  <si>
    <t>20273258</t>
  </si>
  <si>
    <t>20282183</t>
  </si>
  <si>
    <t>20289780</t>
  </si>
  <si>
    <t>20301330</t>
  </si>
  <si>
    <t>20306971</t>
  </si>
  <si>
    <t>20315417</t>
  </si>
  <si>
    <t>20323593</t>
  </si>
  <si>
    <t>20332712</t>
  </si>
  <si>
    <t>20341416</t>
  </si>
  <si>
    <t>20075435</t>
  </si>
  <si>
    <t>06412564</t>
  </si>
  <si>
    <t>06416974</t>
  </si>
  <si>
    <t>06421240</t>
  </si>
  <si>
    <t>06424854</t>
  </si>
  <si>
    <t>06428468</t>
  </si>
  <si>
    <t>06432105</t>
  </si>
  <si>
    <t>06436819</t>
  </si>
  <si>
    <t>06440810</t>
  </si>
  <si>
    <t>06444900</t>
  </si>
  <si>
    <t>06449106</t>
  </si>
  <si>
    <t>06453059</t>
  </si>
  <si>
    <t>06456402</t>
  </si>
  <si>
    <t>06458075</t>
  </si>
  <si>
    <t>06464449</t>
  </si>
  <si>
    <t>06468968</t>
  </si>
  <si>
    <t>06473367</t>
  </si>
  <si>
    <t>06477466</t>
  </si>
  <si>
    <t>06482272</t>
  </si>
  <si>
    <t>06484997</t>
  </si>
  <si>
    <t>06488221</t>
  </si>
  <si>
    <t>06492478</t>
  </si>
  <si>
    <t>06496974</t>
  </si>
  <si>
    <t>06501140</t>
  </si>
  <si>
    <t>06505727</t>
  </si>
  <si>
    <t>06510180</t>
  </si>
  <si>
    <t>06512794</t>
  </si>
  <si>
    <t>06516157</t>
  </si>
  <si>
    <t>06520306</t>
  </si>
  <si>
    <t>06525017</t>
  </si>
  <si>
    <t>06529321</t>
  </si>
  <si>
    <t>06408628</t>
  </si>
  <si>
    <t>00252981</t>
  </si>
  <si>
    <t>00253131</t>
  </si>
  <si>
    <t>00253275</t>
  </si>
  <si>
    <t>00253419</t>
  </si>
  <si>
    <t>00253563</t>
  </si>
  <si>
    <t>00253713</t>
  </si>
  <si>
    <t>00253874</t>
  </si>
  <si>
    <t>00254012</t>
  </si>
  <si>
    <t>00254157</t>
  </si>
  <si>
    <t>00254299</t>
  </si>
  <si>
    <t>00254435</t>
  </si>
  <si>
    <t>00254561</t>
  </si>
  <si>
    <t>00254693</t>
  </si>
  <si>
    <t>00254839</t>
  </si>
  <si>
    <t>00254992</t>
  </si>
  <si>
    <t>00255138</t>
  </si>
  <si>
    <t>00255272</t>
  </si>
  <si>
    <t>00255444</t>
  </si>
  <si>
    <t>00255551</t>
  </si>
  <si>
    <t>00255679</t>
  </si>
  <si>
    <t>00255823</t>
  </si>
  <si>
    <t>00255970</t>
  </si>
  <si>
    <t>00256105</t>
  </si>
  <si>
    <t>00256254</t>
  </si>
  <si>
    <t>00256410</t>
  </si>
  <si>
    <t>00256501</t>
  </si>
  <si>
    <t>00256617</t>
  </si>
  <si>
    <t>00256749</t>
  </si>
  <si>
    <t>00256897</t>
  </si>
  <si>
    <t>00257033</t>
  </si>
  <si>
    <t>00252845</t>
  </si>
  <si>
    <r>
      <t xml:space="preserve">      +2318393  dm</t>
    </r>
    <r>
      <rPr>
        <vertAlign val="superscript"/>
        <sz val="5.5"/>
        <color rgb="FF000000"/>
        <rFont val="Calibri"/>
        <family val="2"/>
      </rPr>
      <t>3</t>
    </r>
  </si>
  <si>
    <r>
      <t xml:space="preserve">      +2318478 dm</t>
    </r>
    <r>
      <rPr>
        <vertAlign val="superscript"/>
        <sz val="5.5"/>
        <color rgb="FF000000"/>
        <rFont val="Calibri"/>
        <family val="2"/>
      </rPr>
      <t>3</t>
    </r>
  </si>
  <si>
    <r>
      <t xml:space="preserve">      +2550572 dm</t>
    </r>
    <r>
      <rPr>
        <vertAlign val="superscript"/>
        <sz val="5.5"/>
        <color rgb="FF000000"/>
        <rFont val="Calibri"/>
        <family val="2"/>
      </rPr>
      <t>3</t>
    </r>
  </si>
  <si>
    <r>
      <t xml:space="preserve">      +2858582 dm</t>
    </r>
    <r>
      <rPr>
        <vertAlign val="superscript"/>
        <sz val="5.5"/>
        <color rgb="FF000000"/>
        <rFont val="Calibri"/>
        <family val="2"/>
      </rPr>
      <t>3</t>
    </r>
  </si>
  <si>
    <r>
      <t xml:space="preserve">      +2876456 dm</t>
    </r>
    <r>
      <rPr>
        <vertAlign val="superscript"/>
        <sz val="5.5"/>
        <color rgb="FF000000"/>
        <rFont val="Calibri"/>
        <family val="2"/>
      </rPr>
      <t>3</t>
    </r>
  </si>
  <si>
    <r>
      <t xml:space="preserve">      +3058992 dm</t>
    </r>
    <r>
      <rPr>
        <vertAlign val="superscript"/>
        <sz val="5.5"/>
        <color rgb="FF000000"/>
        <rFont val="Calibri"/>
        <family val="2"/>
      </rPr>
      <t>3</t>
    </r>
  </si>
  <si>
    <r>
      <t xml:space="preserve">      +3137719 dm</t>
    </r>
    <r>
      <rPr>
        <vertAlign val="superscript"/>
        <sz val="5.5"/>
        <color rgb="FF000000"/>
        <rFont val="Calibri"/>
        <family val="2"/>
      </rPr>
      <t>3</t>
    </r>
  </si>
  <si>
    <r>
      <t xml:space="preserve">      +3156974dm</t>
    </r>
    <r>
      <rPr>
        <vertAlign val="superscript"/>
        <sz val="5.5"/>
        <color rgb="FF000000"/>
        <rFont val="Calibri"/>
        <family val="2"/>
      </rPr>
      <t>3</t>
    </r>
  </si>
  <si>
    <r>
      <t xml:space="preserve">      +3229978dm</t>
    </r>
    <r>
      <rPr>
        <vertAlign val="superscript"/>
        <sz val="5.5"/>
        <color rgb="FF000000"/>
        <rFont val="Calibri"/>
        <family val="2"/>
      </rPr>
      <t>3</t>
    </r>
  </si>
  <si>
    <r>
      <t xml:space="preserve">      +3229982dm</t>
    </r>
    <r>
      <rPr>
        <vertAlign val="superscript"/>
        <sz val="5.5"/>
        <color rgb="FF000000"/>
        <rFont val="Calibri"/>
        <family val="2"/>
      </rPr>
      <t>3</t>
    </r>
  </si>
  <si>
    <r>
      <t xml:space="preserve">      +3229984dm</t>
    </r>
    <r>
      <rPr>
        <vertAlign val="superscript"/>
        <sz val="5.5"/>
        <color rgb="FF000000"/>
        <rFont val="Calibri"/>
        <family val="2"/>
      </rPr>
      <t>3</t>
    </r>
  </si>
  <si>
    <r>
      <t xml:space="preserve">      +3229985dm</t>
    </r>
    <r>
      <rPr>
        <vertAlign val="superscript"/>
        <sz val="5.5"/>
        <color rgb="FF000000"/>
        <rFont val="Calibri"/>
        <family val="2"/>
      </rPr>
      <t>3</t>
    </r>
  </si>
  <si>
    <r>
      <t xml:space="preserve">      +3229986dm</t>
    </r>
    <r>
      <rPr>
        <vertAlign val="superscript"/>
        <sz val="5.5"/>
        <color rgb="FF000000"/>
        <rFont val="Calibri"/>
        <family val="2"/>
      </rPr>
      <t>3</t>
    </r>
  </si>
  <si>
    <r>
      <t xml:space="preserve">      +3229987dm</t>
    </r>
    <r>
      <rPr>
        <vertAlign val="superscript"/>
        <sz val="5.5"/>
        <color rgb="FF000000"/>
        <rFont val="Calibri"/>
        <family val="2"/>
      </rPr>
      <t>3</t>
    </r>
  </si>
  <si>
    <r>
      <t xml:space="preserve">      +3229988dm</t>
    </r>
    <r>
      <rPr>
        <vertAlign val="superscript"/>
        <sz val="5.5"/>
        <color rgb="FF000000"/>
        <rFont val="Calibri"/>
        <family val="2"/>
      </rPr>
      <t>3</t>
    </r>
  </si>
  <si>
    <r>
      <t xml:space="preserve">      +3229989dm</t>
    </r>
    <r>
      <rPr>
        <vertAlign val="superscript"/>
        <sz val="5.5"/>
        <color rgb="FF000000"/>
        <rFont val="Calibri"/>
        <family val="2"/>
      </rPr>
      <t>3</t>
    </r>
  </si>
  <si>
    <r>
      <t xml:space="preserve">      +3303596dm</t>
    </r>
    <r>
      <rPr>
        <vertAlign val="superscript"/>
        <sz val="5.5"/>
        <color rgb="FF000000"/>
        <rFont val="Calibri"/>
        <family val="2"/>
      </rPr>
      <t>3</t>
    </r>
  </si>
  <si>
    <r>
      <t xml:space="preserve">      +2223874  dm</t>
    </r>
    <r>
      <rPr>
        <vertAlign val="superscript"/>
        <sz val="5.5"/>
        <color rgb="FF000000"/>
        <rFont val="Calibri"/>
        <family val="2"/>
      </rPr>
      <t>3</t>
    </r>
  </si>
  <si>
    <t>46505 L</t>
  </si>
  <si>
    <t>46510 L</t>
  </si>
  <si>
    <t>46512 L</t>
  </si>
  <si>
    <t>46515 L</t>
  </si>
  <si>
    <t>46519 L</t>
  </si>
  <si>
    <t>46522L</t>
  </si>
  <si>
    <t>46529L</t>
  </si>
  <si>
    <t>46528L</t>
  </si>
  <si>
    <t>46535L</t>
  </si>
  <si>
    <t>46534L</t>
  </si>
  <si>
    <t>46536L</t>
  </si>
  <si>
    <t>46539L</t>
  </si>
  <si>
    <t>46543L</t>
  </si>
  <si>
    <t>46545L</t>
  </si>
  <si>
    <t>46547L</t>
  </si>
  <si>
    <t>46551L</t>
  </si>
  <si>
    <t>46503 L</t>
  </si>
  <si>
    <r>
      <t>1109347 dm</t>
    </r>
    <r>
      <rPr>
        <vertAlign val="superscript"/>
        <sz val="5.5"/>
        <color rgb="FF000000"/>
        <rFont val="Calibri"/>
        <family val="2"/>
      </rPr>
      <t>3</t>
    </r>
  </si>
  <si>
    <t>46321(Liters)</t>
  </si>
  <si>
    <t>46324(Liters)</t>
  </si>
  <si>
    <t>46328(Liters)</t>
  </si>
  <si>
    <t>46333(Liters)</t>
  </si>
  <si>
    <t>46332(Liters)</t>
  </si>
  <si>
    <t>46337(Liters)</t>
  </si>
  <si>
    <t>46341(Liters)</t>
  </si>
  <si>
    <t>46340(Liters)</t>
  </si>
  <si>
    <t>46345(Liters)</t>
  </si>
  <si>
    <t>46349(Liters)</t>
  </si>
  <si>
    <t>46352(Liters)</t>
  </si>
  <si>
    <t>46356(Liters)</t>
  </si>
  <si>
    <t>46357(Liters)</t>
  </si>
  <si>
    <t>46350(Liters)</t>
  </si>
  <si>
    <t>46364(Liters)</t>
  </si>
  <si>
    <t>46365(Liters)</t>
  </si>
  <si>
    <t>46368(Liters)</t>
  </si>
  <si>
    <t>46372(Liters)</t>
  </si>
  <si>
    <t>46375(Liters)</t>
  </si>
  <si>
    <t>46381(Liters)</t>
  </si>
  <si>
    <t>46317(Liters)</t>
  </si>
  <si>
    <t>2750(Liters)</t>
  </si>
  <si>
    <t>46253(Liters)</t>
  </si>
  <si>
    <t>46258(Liters)</t>
  </si>
  <si>
    <t>46260(Liters)</t>
  </si>
  <si>
    <t>46261(Liters)</t>
  </si>
  <si>
    <t>46266(Liters)</t>
  </si>
  <si>
    <t>46268(Liters)</t>
  </si>
  <si>
    <t>46270(Liters)</t>
  </si>
  <si>
    <t>46274(Liters)</t>
  </si>
  <si>
    <t>46280(Liters)</t>
  </si>
  <si>
    <t>46283(Liters)</t>
  </si>
  <si>
    <t>46289(Liters)</t>
  </si>
  <si>
    <t>46290(Liters)</t>
  </si>
  <si>
    <t>46295(Liters)</t>
  </si>
  <si>
    <t>46300(Liters)</t>
  </si>
  <si>
    <t>46299(Liters)</t>
  </si>
  <si>
    <t>46304(Liters)</t>
  </si>
  <si>
    <t>46309(Liters)</t>
  </si>
  <si>
    <t>46308(Liters)</t>
  </si>
  <si>
    <t>46314(Liters)</t>
  </si>
  <si>
    <t>46315(Liters)</t>
  </si>
  <si>
    <r>
      <rPr>
        <b/>
        <sz val="3.5"/>
        <rFont val="Calibri"/>
        <family val="2"/>
      </rPr>
      <t>Readings (m3)</t>
    </r>
  </si>
  <si>
    <r>
      <t xml:space="preserve">       1108944 dm</t>
    </r>
    <r>
      <rPr>
        <vertAlign val="superscript"/>
        <sz val="5.5"/>
        <color rgb="FF000000"/>
        <rFont val="Calibri"/>
        <family val="2"/>
      </rPr>
      <t>3</t>
    </r>
  </si>
  <si>
    <r>
      <rPr>
        <sz val="3.5"/>
        <rFont val="Calibri"/>
        <family val="2"/>
      </rPr>
      <t>1108944 dm</t>
    </r>
    <r>
      <rPr>
        <vertAlign val="superscript"/>
        <sz val="2.5"/>
        <rFont val="Calibri"/>
        <family val="2"/>
      </rPr>
      <t>3</t>
    </r>
  </si>
  <si>
    <r>
      <rPr>
        <b/>
        <sz val="3.5"/>
        <rFont val="Calibri"/>
        <family val="2"/>
      </rPr>
      <t>Readings (Liters)</t>
    </r>
  </si>
  <si>
    <r>
      <rPr>
        <sz val="3.5"/>
        <rFont val="Calibri"/>
        <family val="2"/>
      </rPr>
      <t>OFF</t>
    </r>
  </si>
  <si>
    <t>46311(Liters)</t>
  </si>
  <si>
    <t>46316(Liters)</t>
  </si>
  <si>
    <t>46320(Liters)</t>
  </si>
  <si>
    <t>46325(Liters)</t>
  </si>
  <si>
    <t>46330(Liters)</t>
  </si>
  <si>
    <t>46331(Liters)</t>
  </si>
  <si>
    <t>46294(Liters)</t>
  </si>
  <si>
    <r>
      <rPr>
        <sz val="3.5"/>
        <rFont val="Calibri"/>
        <family val="2"/>
      </rPr>
      <t>46340(Liters)</t>
    </r>
  </si>
  <si>
    <r>
      <rPr>
        <sz val="3.5"/>
        <rFont val="Calibri"/>
        <family val="2"/>
      </rPr>
      <t>46341(Liters)</t>
    </r>
  </si>
  <si>
    <r>
      <rPr>
        <sz val="3.5"/>
        <rFont val="Calibri"/>
        <family val="2"/>
      </rPr>
      <t>46348(Liters)</t>
    </r>
  </si>
  <si>
    <r>
      <rPr>
        <sz val="3.5"/>
        <rFont val="Calibri"/>
        <family val="2"/>
      </rPr>
      <t>46351(Liters)</t>
    </r>
  </si>
  <si>
    <r>
      <rPr>
        <sz val="3.5"/>
        <rFont val="Calibri"/>
        <family val="2"/>
      </rPr>
      <t>46357(Liters)</t>
    </r>
  </si>
  <si>
    <t>46355(Liters)</t>
  </si>
  <si>
    <t>46361(Liters)</t>
  </si>
  <si>
    <t>46367(Liters)</t>
  </si>
  <si>
    <t>46363(Liters)</t>
  </si>
  <si>
    <t>46369(Liters)</t>
  </si>
  <si>
    <t>46373(Liters)</t>
  </si>
  <si>
    <t>46307(Liters)</t>
  </si>
  <si>
    <t>2100(Liters)</t>
  </si>
  <si>
    <t>2180(Liters)</t>
  </si>
  <si>
    <r>
      <rPr>
        <sz val="3.5"/>
        <rFont val="Calibri"/>
        <family val="2"/>
      </rPr>
      <t>2100(Liters)</t>
    </r>
  </si>
  <si>
    <t>46287(Liters)</t>
  </si>
  <si>
    <t>46288(Liters)</t>
  </si>
  <si>
    <t>46291(Liters)</t>
  </si>
  <si>
    <t>46292(Liters)</t>
  </si>
  <si>
    <t>46296(Liters)</t>
  </si>
  <si>
    <t>46297(Liters)</t>
  </si>
  <si>
    <t>46301(Liters)</t>
  </si>
  <si>
    <t>2200(Liters)</t>
  </si>
  <si>
    <t>46263(Liters)</t>
  </si>
  <si>
    <t>46265(Liters)</t>
  </si>
  <si>
    <t>46269(Liters)</t>
  </si>
  <si>
    <t>46273(Liters)</t>
  </si>
  <si>
    <t>46277(Liters)</t>
  </si>
  <si>
    <t>46279(Liters)</t>
  </si>
  <si>
    <t>46282(Liters)</t>
  </si>
  <si>
    <r>
      <rPr>
        <sz val="7"/>
        <rFont val="Calibri"/>
        <family val="2"/>
      </rPr>
      <t>1108944 dm</t>
    </r>
    <r>
      <rPr>
        <vertAlign val="superscript"/>
        <sz val="7"/>
        <rFont val="Calibri"/>
        <family val="2"/>
      </rPr>
      <t>3</t>
    </r>
  </si>
  <si>
    <t>46207(Liters)</t>
  </si>
  <si>
    <t>46202(Liters)</t>
  </si>
  <si>
    <t>46199(Liters)</t>
  </si>
  <si>
    <t>46198(Liters)</t>
  </si>
  <si>
    <t>46189(Liters)</t>
  </si>
  <si>
    <t>46183(Liters)</t>
  </si>
  <si>
    <t>46180(Liters)</t>
  </si>
  <si>
    <t>46178(Liters)</t>
  </si>
  <si>
    <t>46177(Liters)</t>
  </si>
  <si>
    <t>2350(Liters)</t>
  </si>
  <si>
    <t>2370(Liters)</t>
  </si>
  <si>
    <t>2250(Liters)</t>
  </si>
  <si>
    <r>
      <t xml:space="preserve">       1109347 dm</t>
    </r>
    <r>
      <rPr>
        <vertAlign val="superscript"/>
        <sz val="5.5"/>
        <color rgb="FF000000"/>
        <rFont val="Calibri"/>
        <family val="2"/>
      </rPr>
      <t>3</t>
    </r>
  </si>
  <si>
    <t>46293(Liters)</t>
  </si>
  <si>
    <t>46251(Liters)</t>
  </si>
  <si>
    <t>46246(Liters)</t>
  </si>
  <si>
    <t>46242(Liters)</t>
  </si>
  <si>
    <t>46241(Liters)</t>
  </si>
  <si>
    <t>46233(Liters)</t>
  </si>
  <si>
    <t>46227(Liters)</t>
  </si>
  <si>
    <t>46225(Liters)</t>
  </si>
  <si>
    <t>46220(Liters)</t>
  </si>
  <si>
    <t>46217(Liters)</t>
  </si>
  <si>
    <t>46212(Liters)</t>
  </si>
  <si>
    <t>2430(Liters)</t>
  </si>
  <si>
    <t>2400(Liters)</t>
  </si>
  <si>
    <t>2390(Liters)</t>
  </si>
  <si>
    <t>2380(Liters)</t>
  </si>
  <si>
    <t>2360(Liters)</t>
  </si>
  <si>
    <t>2300(Liters)</t>
  </si>
  <si>
    <t>8274310 dm3</t>
  </si>
  <si>
    <r>
      <t>8208476 dm</t>
    </r>
    <r>
      <rPr>
        <vertAlign val="superscript"/>
        <sz val="5.5"/>
        <color rgb="FF000000"/>
        <rFont val="Calibri"/>
        <family val="2"/>
      </rPr>
      <t>3</t>
    </r>
  </si>
  <si>
    <r>
      <t>8140069 dm</t>
    </r>
    <r>
      <rPr>
        <vertAlign val="superscript"/>
        <sz val="5.5"/>
        <color rgb="FF000000"/>
        <rFont val="Calibri"/>
        <family val="2"/>
      </rPr>
      <t>3</t>
    </r>
  </si>
  <si>
    <r>
      <t>8071936 dm</t>
    </r>
    <r>
      <rPr>
        <vertAlign val="superscript"/>
        <sz val="5.5"/>
        <color rgb="FF000000"/>
        <rFont val="Calibri"/>
        <family val="2"/>
      </rPr>
      <t>3</t>
    </r>
  </si>
  <si>
    <r>
      <t>8002055 dm</t>
    </r>
    <r>
      <rPr>
        <vertAlign val="superscript"/>
        <sz val="5.5"/>
        <color rgb="FF000000"/>
        <rFont val="Calibri"/>
        <family val="2"/>
      </rPr>
      <t>3</t>
    </r>
  </si>
  <si>
    <r>
      <t>7931920 dm</t>
    </r>
    <r>
      <rPr>
        <vertAlign val="superscript"/>
        <sz val="7"/>
        <rFont val="Calibri"/>
        <family val="2"/>
      </rPr>
      <t>3</t>
    </r>
  </si>
  <si>
    <r>
      <t>7860677dm</t>
    </r>
    <r>
      <rPr>
        <vertAlign val="superscript"/>
        <sz val="5.5"/>
        <color rgb="FF000000"/>
        <rFont val="Calibri"/>
        <family val="2"/>
      </rPr>
      <t>3</t>
    </r>
  </si>
  <si>
    <r>
      <t>7788858 dm</t>
    </r>
    <r>
      <rPr>
        <vertAlign val="superscript"/>
        <sz val="5.5"/>
        <color rgb="FF000000"/>
        <rFont val="Calibri"/>
        <family val="2"/>
      </rPr>
      <t>3</t>
    </r>
  </si>
  <si>
    <r>
      <t>7715218 dm</t>
    </r>
    <r>
      <rPr>
        <vertAlign val="superscript"/>
        <sz val="5.5"/>
        <color rgb="FF000000"/>
        <rFont val="Calibri"/>
        <family val="2"/>
      </rPr>
      <t>3</t>
    </r>
  </si>
  <si>
    <r>
      <t>7640517 dm</t>
    </r>
    <r>
      <rPr>
        <vertAlign val="superscript"/>
        <sz val="5.5"/>
        <color rgb="FF000000"/>
        <rFont val="Calibri"/>
        <family val="2"/>
      </rPr>
      <t>3</t>
    </r>
  </si>
  <si>
    <r>
      <t>7567538 dm</t>
    </r>
    <r>
      <rPr>
        <vertAlign val="superscript"/>
        <sz val="5.5"/>
        <color rgb="FF000000"/>
        <rFont val="Calibri"/>
        <family val="2"/>
      </rPr>
      <t>3</t>
    </r>
  </si>
  <si>
    <r>
      <t>7488782 dm</t>
    </r>
    <r>
      <rPr>
        <vertAlign val="superscript"/>
        <sz val="5.5"/>
        <color rgb="FF000000"/>
        <rFont val="Calibri"/>
        <family val="2"/>
      </rPr>
      <t>3</t>
    </r>
  </si>
  <si>
    <r>
      <t>7411965 dm</t>
    </r>
    <r>
      <rPr>
        <vertAlign val="superscript"/>
        <sz val="5.5"/>
        <color rgb="FF000000"/>
        <rFont val="Calibri"/>
        <family val="2"/>
      </rPr>
      <t>3</t>
    </r>
  </si>
  <si>
    <r>
      <t>7334154 dm</t>
    </r>
    <r>
      <rPr>
        <vertAlign val="superscript"/>
        <sz val="5.5"/>
        <color rgb="FF000000"/>
        <rFont val="Calibri"/>
        <family val="2"/>
      </rPr>
      <t>3</t>
    </r>
  </si>
  <si>
    <r>
      <t>7255751 dm</t>
    </r>
    <r>
      <rPr>
        <vertAlign val="superscript"/>
        <sz val="5.5"/>
        <color rgb="FF000000"/>
        <rFont val="Calibri"/>
        <family val="2"/>
      </rPr>
      <t>3</t>
    </r>
  </si>
  <si>
    <r>
      <t>7176367 dm</t>
    </r>
    <r>
      <rPr>
        <vertAlign val="superscript"/>
        <sz val="5.5"/>
        <color rgb="FF000000"/>
        <rFont val="Calibri"/>
        <family val="2"/>
      </rPr>
      <t>3</t>
    </r>
  </si>
  <si>
    <r>
      <t>7096751 dm</t>
    </r>
    <r>
      <rPr>
        <vertAlign val="superscript"/>
        <sz val="5.5"/>
        <color rgb="FF000000"/>
        <rFont val="Calibri"/>
        <family val="2"/>
      </rPr>
      <t>3</t>
    </r>
  </si>
  <si>
    <r>
      <t>7018418 dm</t>
    </r>
    <r>
      <rPr>
        <vertAlign val="superscript"/>
        <sz val="5.5"/>
        <color rgb="FF000000"/>
        <rFont val="Calibri"/>
        <family val="2"/>
      </rPr>
      <t>3</t>
    </r>
  </si>
  <si>
    <r>
      <t>6932921 dm</t>
    </r>
    <r>
      <rPr>
        <vertAlign val="superscript"/>
        <sz val="5.5"/>
        <color rgb="FF000000"/>
        <rFont val="Calibri"/>
        <family val="2"/>
      </rPr>
      <t>3</t>
    </r>
  </si>
  <si>
    <r>
      <t>6851729 dm</t>
    </r>
    <r>
      <rPr>
        <vertAlign val="superscript"/>
        <sz val="5.5"/>
        <color rgb="FF000000"/>
        <rFont val="Calibri"/>
        <family val="2"/>
      </rPr>
      <t>3</t>
    </r>
  </si>
  <si>
    <r>
      <t>6769145 dm</t>
    </r>
    <r>
      <rPr>
        <vertAlign val="superscript"/>
        <sz val="5.5"/>
        <color rgb="FF000000"/>
        <rFont val="Calibri"/>
        <family val="2"/>
      </rPr>
      <t>3</t>
    </r>
  </si>
  <si>
    <r>
      <t>6684259 dm</t>
    </r>
    <r>
      <rPr>
        <vertAlign val="superscript"/>
        <sz val="5.5"/>
        <color rgb="FF000000"/>
        <rFont val="Calibri"/>
        <family val="2"/>
      </rPr>
      <t>3</t>
    </r>
  </si>
  <si>
    <r>
      <t>6599980 dm</t>
    </r>
    <r>
      <rPr>
        <vertAlign val="superscript"/>
        <sz val="5.5"/>
        <color rgb="FF000000"/>
        <rFont val="Calibri"/>
        <family val="2"/>
      </rPr>
      <t>3</t>
    </r>
  </si>
  <si>
    <r>
      <t>6514654 dm</t>
    </r>
    <r>
      <rPr>
        <vertAlign val="superscript"/>
        <sz val="5.5"/>
        <color rgb="FF000000"/>
        <rFont val="Calibri"/>
        <family val="2"/>
      </rPr>
      <t>3</t>
    </r>
  </si>
  <si>
    <r>
      <t>6430189 dm</t>
    </r>
    <r>
      <rPr>
        <vertAlign val="superscript"/>
        <sz val="5.5"/>
        <color rgb="FF000000"/>
        <rFont val="Calibri"/>
        <family val="2"/>
      </rPr>
      <t>3</t>
    </r>
  </si>
  <si>
    <r>
      <t>6341180 dm</t>
    </r>
    <r>
      <rPr>
        <vertAlign val="superscript"/>
        <sz val="5.5"/>
        <color rgb="FF000000"/>
        <rFont val="Calibri"/>
        <family val="2"/>
      </rPr>
      <t>3</t>
    </r>
  </si>
  <si>
    <r>
      <t>6255662 dm</t>
    </r>
    <r>
      <rPr>
        <vertAlign val="superscript"/>
        <sz val="5.5"/>
        <color rgb="FF000000"/>
        <rFont val="Calibri"/>
        <family val="2"/>
      </rPr>
      <t>3</t>
    </r>
  </si>
  <si>
    <r>
      <t>6168762 dm</t>
    </r>
    <r>
      <rPr>
        <vertAlign val="superscript"/>
        <sz val="5.5"/>
        <color rgb="FF000000"/>
        <rFont val="Calibri"/>
        <family val="2"/>
      </rPr>
      <t>3</t>
    </r>
  </si>
  <si>
    <t>46175(Liters)</t>
  </si>
  <si>
    <t>46170(Liters)</t>
  </si>
  <si>
    <t>46169(Liters)</t>
  </si>
  <si>
    <t>46165(Liters)</t>
  </si>
  <si>
    <t>46162(Liters)</t>
  </si>
  <si>
    <t>46160(Liters)</t>
  </si>
  <si>
    <t>46161(Liters)</t>
  </si>
  <si>
    <t>46159(Liters)</t>
  </si>
  <si>
    <t>46155(Liters)</t>
  </si>
  <si>
    <t>46154(Liters)</t>
  </si>
  <si>
    <t>46152(Liters)</t>
  </si>
  <si>
    <t>46153(Liters)</t>
  </si>
  <si>
    <t>46150(Liters)</t>
  </si>
  <si>
    <t>46149(Liters)</t>
  </si>
  <si>
    <t>46147(Liters)</t>
  </si>
  <si>
    <t xml:space="preserve">Readings </t>
  </si>
  <si>
    <r>
      <t>3158759 dm</t>
    </r>
    <r>
      <rPr>
        <vertAlign val="superscript"/>
        <sz val="5.5"/>
        <color rgb="FF000000"/>
        <rFont val="Calibri"/>
        <family val="2"/>
      </rPr>
      <t>3</t>
    </r>
  </si>
  <si>
    <r>
      <t>3057862 dm</t>
    </r>
    <r>
      <rPr>
        <vertAlign val="superscript"/>
        <sz val="5.5"/>
        <color rgb="FF000000"/>
        <rFont val="Calibri"/>
        <family val="2"/>
      </rPr>
      <t>3</t>
    </r>
  </si>
  <si>
    <r>
      <t>2962774 dm</t>
    </r>
    <r>
      <rPr>
        <vertAlign val="superscript"/>
        <sz val="5.5"/>
        <color rgb="FF000000"/>
        <rFont val="Calibri"/>
        <family val="2"/>
      </rPr>
      <t>3</t>
    </r>
  </si>
  <si>
    <r>
      <t>2863805 dm</t>
    </r>
    <r>
      <rPr>
        <vertAlign val="superscript"/>
        <sz val="5.5"/>
        <color rgb="FF000000"/>
        <rFont val="Calibri"/>
        <family val="2"/>
      </rPr>
      <t>3</t>
    </r>
  </si>
  <si>
    <r>
      <t>2763716 dm</t>
    </r>
    <r>
      <rPr>
        <vertAlign val="superscript"/>
        <sz val="5.5"/>
        <color rgb="FF000000"/>
        <rFont val="Calibri"/>
        <family val="2"/>
      </rPr>
      <t>3</t>
    </r>
  </si>
  <si>
    <r>
      <t>2664583 dm</t>
    </r>
    <r>
      <rPr>
        <vertAlign val="superscript"/>
        <sz val="5.5"/>
        <color rgb="FF000000"/>
        <rFont val="Calibri"/>
        <family val="2"/>
      </rPr>
      <t>3</t>
    </r>
  </si>
  <si>
    <r>
      <t>2565058 dm</t>
    </r>
    <r>
      <rPr>
        <vertAlign val="superscript"/>
        <sz val="5.5"/>
        <color rgb="FF000000"/>
        <rFont val="Calibri"/>
        <family val="2"/>
      </rPr>
      <t>3</t>
    </r>
  </si>
  <si>
    <r>
      <t>2431792 dm</t>
    </r>
    <r>
      <rPr>
        <vertAlign val="superscript"/>
        <sz val="5.5"/>
        <color rgb="FF000000"/>
        <rFont val="Calibri"/>
        <family val="2"/>
      </rPr>
      <t>3</t>
    </r>
  </si>
  <si>
    <r>
      <t>2365186 dm</t>
    </r>
    <r>
      <rPr>
        <vertAlign val="superscript"/>
        <sz val="5.5"/>
        <color rgb="FF000000"/>
        <rFont val="Calibri"/>
        <family val="2"/>
      </rPr>
      <t>3</t>
    </r>
  </si>
  <si>
    <r>
      <t>2264451 dm</t>
    </r>
    <r>
      <rPr>
        <vertAlign val="superscript"/>
        <sz val="5.5"/>
        <color rgb="FF000000"/>
        <rFont val="Calibri"/>
        <family val="2"/>
      </rPr>
      <t>3</t>
    </r>
  </si>
  <si>
    <r>
      <t>2163396 dm</t>
    </r>
    <r>
      <rPr>
        <vertAlign val="superscript"/>
        <sz val="5.5"/>
        <color rgb="FF000000"/>
        <rFont val="Calibri"/>
        <family val="2"/>
      </rPr>
      <t>3</t>
    </r>
  </si>
  <si>
    <r>
      <t>2063031 dm</t>
    </r>
    <r>
      <rPr>
        <vertAlign val="superscript"/>
        <sz val="5.5"/>
        <color rgb="FF000000"/>
        <rFont val="Calibri"/>
        <family val="2"/>
      </rPr>
      <t>3</t>
    </r>
  </si>
  <si>
    <r>
      <t>1961713 dm</t>
    </r>
    <r>
      <rPr>
        <vertAlign val="superscript"/>
        <sz val="5.5"/>
        <color rgb="FF000000"/>
        <rFont val="Calibri"/>
        <family val="2"/>
      </rPr>
      <t>3</t>
    </r>
  </si>
  <si>
    <r>
      <t>1860672 dm</t>
    </r>
    <r>
      <rPr>
        <vertAlign val="superscript"/>
        <sz val="5.5"/>
        <color rgb="FF000000"/>
        <rFont val="Calibri"/>
        <family val="2"/>
      </rPr>
      <t>3</t>
    </r>
  </si>
  <si>
    <r>
      <t>1726391 dm</t>
    </r>
    <r>
      <rPr>
        <vertAlign val="superscript"/>
        <sz val="5.5"/>
        <color rgb="FF000000"/>
        <rFont val="Calibri"/>
        <family val="2"/>
      </rPr>
      <t>3</t>
    </r>
  </si>
  <si>
    <r>
      <t>1657693 dm</t>
    </r>
    <r>
      <rPr>
        <vertAlign val="superscript"/>
        <sz val="5.5"/>
        <color rgb="FF000000"/>
        <rFont val="Calibri"/>
        <family val="2"/>
      </rPr>
      <t>3</t>
    </r>
  </si>
  <si>
    <r>
      <t>1556364 dm</t>
    </r>
    <r>
      <rPr>
        <vertAlign val="superscript"/>
        <sz val="5.5"/>
        <color rgb="FF000000"/>
        <rFont val="Calibri"/>
        <family val="2"/>
      </rPr>
      <t>3</t>
    </r>
  </si>
  <si>
    <r>
      <t>1454848 dm</t>
    </r>
    <r>
      <rPr>
        <vertAlign val="superscript"/>
        <sz val="5.5"/>
        <color rgb="FF000000"/>
        <rFont val="Calibri"/>
        <family val="2"/>
      </rPr>
      <t>3</t>
    </r>
  </si>
  <si>
    <r>
      <t>1353550 dm</t>
    </r>
    <r>
      <rPr>
        <vertAlign val="superscript"/>
        <sz val="5.5"/>
        <color rgb="FF000000"/>
        <rFont val="Calibri"/>
        <family val="2"/>
      </rPr>
      <t>3</t>
    </r>
  </si>
  <si>
    <r>
      <t>1251854 dm</t>
    </r>
    <r>
      <rPr>
        <vertAlign val="superscript"/>
        <sz val="5.5"/>
        <color rgb="FF000000"/>
        <rFont val="Calibri"/>
        <family val="2"/>
      </rPr>
      <t>3</t>
    </r>
  </si>
  <si>
    <r>
      <t>1148456 dm</t>
    </r>
    <r>
      <rPr>
        <vertAlign val="superscript"/>
        <sz val="5.5"/>
        <color rgb="FF000000"/>
        <rFont val="Calibri"/>
        <family val="2"/>
      </rPr>
      <t>3</t>
    </r>
  </si>
  <si>
    <r>
      <t>1109019 dm</t>
    </r>
    <r>
      <rPr>
        <vertAlign val="superscript"/>
        <sz val="5.5"/>
        <color rgb="FF000000"/>
        <rFont val="Calibri"/>
        <family val="2"/>
      </rPr>
      <t>3</t>
    </r>
  </si>
  <si>
    <r>
      <t>1109326 dm</t>
    </r>
    <r>
      <rPr>
        <vertAlign val="superscript"/>
        <sz val="5.5"/>
        <color rgb="FF000000"/>
        <rFont val="Calibri"/>
        <family val="2"/>
      </rPr>
      <t>3</t>
    </r>
  </si>
  <si>
    <r>
      <t>1109330 dm</t>
    </r>
    <r>
      <rPr>
        <vertAlign val="superscript"/>
        <sz val="5.5"/>
        <color rgb="FF000000"/>
        <rFont val="Calibri"/>
        <family val="2"/>
      </rPr>
      <t>3</t>
    </r>
  </si>
  <si>
    <t>46164(Liters)</t>
  </si>
  <si>
    <t>46171(Liters)</t>
  </si>
  <si>
    <t>46184(Liters)</t>
  </si>
  <si>
    <t>46188(Liters)</t>
  </si>
  <si>
    <t>46192(Liters)</t>
  </si>
  <si>
    <t>46195(Liters)</t>
  </si>
  <si>
    <t>46211(Liters)</t>
  </si>
  <si>
    <t>46213(Liters)</t>
  </si>
  <si>
    <t>46219(Liters)</t>
  </si>
  <si>
    <t>46230(Liters)</t>
  </si>
  <si>
    <t>46236(Liters)</t>
  </si>
  <si>
    <t>46240(Liters)</t>
  </si>
  <si>
    <t>46380(Liters)</t>
  </si>
  <si>
    <t>46382(Liters)</t>
  </si>
  <si>
    <t>46385(Liters)</t>
  </si>
  <si>
    <t>46388(Liters)</t>
  </si>
  <si>
    <t>46390(Liters)</t>
  </si>
  <si>
    <t>46391(Liters)</t>
  </si>
  <si>
    <t>46395(Liters)</t>
  </si>
  <si>
    <t>46398(Liters)</t>
  </si>
  <si>
    <t>46400(Liters)</t>
  </si>
  <si>
    <t>46404(Liters)</t>
  </si>
  <si>
    <t>46406(Liters)</t>
  </si>
  <si>
    <t>46412(Liters)</t>
  </si>
  <si>
    <t>46415(Liters)</t>
  </si>
  <si>
    <t>46414(Liters)</t>
  </si>
  <si>
    <t>46416(Liters)</t>
  </si>
  <si>
    <t>46419(Liters)</t>
  </si>
  <si>
    <t>46422(Liters)</t>
  </si>
  <si>
    <t>46421(Liters)</t>
  </si>
  <si>
    <t>46420(Liters)</t>
  </si>
  <si>
    <t>46424(Liters)</t>
  </si>
  <si>
    <t>2700(Liters)</t>
  </si>
  <si>
    <t>46428(Liters)</t>
  </si>
  <si>
    <t>46429(Liters)</t>
  </si>
  <si>
    <t>46432(Liters)</t>
  </si>
  <si>
    <t>46430(Liters)</t>
  </si>
  <si>
    <t>46431(Liters)</t>
  </si>
  <si>
    <t>46433(Liters)</t>
  </si>
  <si>
    <t>46434(Liters)</t>
  </si>
  <si>
    <t>46436(Liters)</t>
  </si>
  <si>
    <t>46437(Liters)</t>
  </si>
  <si>
    <t>46439(Liters)</t>
  </si>
  <si>
    <t>46440(Liters)</t>
  </si>
  <si>
    <t>46441(Liters)</t>
  </si>
  <si>
    <t>46442(Liters)</t>
  </si>
  <si>
    <t>46445(Liters)</t>
  </si>
  <si>
    <t>46444(Liters)</t>
  </si>
  <si>
    <t>46446(Liters)</t>
  </si>
  <si>
    <t>46443(Liters)</t>
  </si>
  <si>
    <t>46438(Liters)</t>
  </si>
  <si>
    <t>46425(Liters)</t>
  </si>
  <si>
    <t>2650(Liters)</t>
  </si>
  <si>
    <t>2600(Liters)</t>
  </si>
  <si>
    <t>2550(Liters)</t>
  </si>
  <si>
    <t>46410(Liters)</t>
  </si>
  <si>
    <t>46407(Liters)</t>
  </si>
  <si>
    <t>46405(Liters)</t>
  </si>
  <si>
    <t>46402(Liters)</t>
  </si>
  <si>
    <t>46399(Liters)</t>
  </si>
  <si>
    <t>46397(Liters)</t>
  </si>
  <si>
    <t>46396(Liters)</t>
  </si>
  <si>
    <t>46389(Liters)</t>
  </si>
  <si>
    <t>46384(Liters)</t>
  </si>
  <si>
    <t>46377(Liters)</t>
  </si>
  <si>
    <t>46370(Liters)</t>
  </si>
  <si>
    <t>46360(Liters)</t>
  </si>
  <si>
    <t>46348(Liters)</t>
  </si>
  <si>
    <t>46344(Liters)</t>
  </si>
  <si>
    <t>46334(Liters)</t>
  </si>
  <si>
    <t>46327(Liters)</t>
  </si>
  <si>
    <t>46323(Liters)</t>
  </si>
  <si>
    <t>46285(Liters)</t>
  </si>
  <si>
    <t>2450(Liters)</t>
  </si>
  <si>
    <t>2420(Liters)</t>
  </si>
  <si>
    <t>00339930</t>
  </si>
  <si>
    <t>00340168</t>
  </si>
  <si>
    <t>00340425</t>
  </si>
  <si>
    <t>00340908</t>
  </si>
  <si>
    <t>0341102</t>
  </si>
  <si>
    <t>00341140</t>
  </si>
  <si>
    <t>00341151</t>
  </si>
  <si>
    <t>00341359</t>
  </si>
  <si>
    <t>00341845</t>
  </si>
  <si>
    <t>00342080</t>
  </si>
  <si>
    <t>00342313</t>
  </si>
  <si>
    <t>00342548</t>
  </si>
  <si>
    <t>00342807</t>
  </si>
  <si>
    <t>00343012</t>
  </si>
  <si>
    <t>00343242</t>
  </si>
  <si>
    <t>00343475</t>
  </si>
  <si>
    <t>00343719</t>
  </si>
  <si>
    <t>00343950</t>
  </si>
  <si>
    <t>00344192</t>
  </si>
  <si>
    <t>00344402</t>
  </si>
  <si>
    <t>00344626</t>
  </si>
  <si>
    <t>00344859</t>
  </si>
  <si>
    <t>00345093</t>
  </si>
  <si>
    <t>00345319</t>
  </si>
  <si>
    <t>00345555</t>
  </si>
  <si>
    <t>00345806</t>
  </si>
  <si>
    <t>00346029</t>
  </si>
  <si>
    <t>00346253</t>
  </si>
  <si>
    <t>00346473</t>
  </si>
  <si>
    <t>00346710</t>
  </si>
  <si>
    <t>00346917</t>
  </si>
  <si>
    <t>09481169</t>
  </si>
  <si>
    <t>09487997</t>
  </si>
  <si>
    <t>09494877</t>
  </si>
  <si>
    <t>09501733</t>
  </si>
  <si>
    <t>09507663</t>
  </si>
  <si>
    <t>09513578</t>
  </si>
  <si>
    <t>09519518</t>
  </si>
  <si>
    <t>09526081</t>
  </si>
  <si>
    <t>09532645</t>
  </si>
  <si>
    <t>09539108</t>
  </si>
  <si>
    <t>09545501</t>
  </si>
  <si>
    <t>09551836</t>
  </si>
  <si>
    <t>09558820</t>
  </si>
  <si>
    <t>09564104</t>
  </si>
  <si>
    <t>09570345</t>
  </si>
  <si>
    <t>09576781</t>
  </si>
  <si>
    <t>09583509</t>
  </si>
  <si>
    <t>09589807</t>
  </si>
  <si>
    <t>09596556</t>
  </si>
  <si>
    <t>09602395</t>
  </si>
  <si>
    <t>09608212</t>
  </si>
  <si>
    <t>09614540</t>
  </si>
  <si>
    <t>09621290</t>
  </si>
  <si>
    <t>09627579</t>
  </si>
  <si>
    <t>09634043</t>
  </si>
  <si>
    <t>09640925</t>
  </si>
  <si>
    <t>09646755</t>
  </si>
  <si>
    <t>09652586</t>
  </si>
  <si>
    <t>09658494</t>
  </si>
  <si>
    <t>09665112</t>
  </si>
  <si>
    <t>09670792</t>
  </si>
  <si>
    <t>04541069</t>
  </si>
  <si>
    <t>04544216</t>
  </si>
  <si>
    <t>04547559</t>
  </si>
  <si>
    <t>04550172</t>
  </si>
  <si>
    <t>04553883</t>
  </si>
  <si>
    <t>04556688</t>
  </si>
  <si>
    <t>04559301</t>
  </si>
  <si>
    <t>04562372</t>
  </si>
  <si>
    <t>04565443</t>
  </si>
  <si>
    <t>04568451</t>
  </si>
  <si>
    <t>04571367</t>
  </si>
  <si>
    <t>04574327</t>
  </si>
  <si>
    <t>04577446</t>
  </si>
  <si>
    <t>04579778</t>
  </si>
  <si>
    <t>04582480</t>
  </si>
  <si>
    <t>04585451</t>
  </si>
  <si>
    <t>04588574</t>
  </si>
  <si>
    <t>04591525</t>
  </si>
  <si>
    <t>04594701</t>
  </si>
  <si>
    <t>04597280</t>
  </si>
  <si>
    <t>04599758</t>
  </si>
  <si>
    <t>04602510</t>
  </si>
  <si>
    <t>04605564</t>
  </si>
  <si>
    <t>04608436</t>
  </si>
  <si>
    <t>04611411</t>
  </si>
  <si>
    <t>04614635</t>
  </si>
  <si>
    <t>04617576</t>
  </si>
  <si>
    <t>04619917</t>
  </si>
  <si>
    <t>04622553</t>
  </si>
  <si>
    <t>04625665</t>
  </si>
  <si>
    <t>04628281</t>
  </si>
  <si>
    <t>10026158</t>
  </si>
  <si>
    <t>10036979</t>
  </si>
  <si>
    <t>10046344</t>
  </si>
  <si>
    <t>10047427</t>
  </si>
  <si>
    <t>10069164</t>
  </si>
  <si>
    <t>10084307</t>
  </si>
  <si>
    <t>10092161</t>
  </si>
  <si>
    <t>10103725</t>
  </si>
  <si>
    <t>10115290</t>
  </si>
  <si>
    <t>10125686</t>
  </si>
  <si>
    <t>10135738</t>
  </si>
  <si>
    <t>10145609</t>
  </si>
  <si>
    <t>10156874</t>
  </si>
  <si>
    <t>10165145</t>
  </si>
  <si>
    <t>10165222</t>
  </si>
  <si>
    <t>10165298</t>
  </si>
  <si>
    <t>10165377</t>
  </si>
  <si>
    <t>10165453</t>
  </si>
  <si>
    <t>10165534</t>
  </si>
  <si>
    <t>10165688</t>
  </si>
  <si>
    <t>10165820</t>
  </si>
  <si>
    <t>10166080</t>
  </si>
  <si>
    <t>10166157</t>
  </si>
  <si>
    <t>10166929</t>
  </si>
  <si>
    <t>10167006</t>
  </si>
  <si>
    <t>10167086</t>
  </si>
  <si>
    <t>10180619</t>
  </si>
  <si>
    <t>10189149</t>
  </si>
  <si>
    <t>10198311</t>
  </si>
  <si>
    <t>10206038</t>
  </si>
  <si>
    <t>03341084</t>
  </si>
  <si>
    <t>03341354</t>
  </si>
  <si>
    <t>03342475</t>
  </si>
  <si>
    <t>03342720</t>
  </si>
  <si>
    <t>03342989</t>
  </si>
  <si>
    <t>03343263</t>
  </si>
  <si>
    <t>03343265</t>
  </si>
  <si>
    <t>03343268</t>
  </si>
  <si>
    <t>03343270</t>
  </si>
  <si>
    <t>03343271</t>
  </si>
  <si>
    <t>03343912</t>
  </si>
  <si>
    <t>03344755</t>
  </si>
  <si>
    <t>03345055</t>
  </si>
  <si>
    <t>03348476</t>
  </si>
  <si>
    <t>03351995</t>
  </si>
  <si>
    <t>03355748</t>
  </si>
  <si>
    <t>03359813</t>
  </si>
  <si>
    <t>03363652</t>
  </si>
  <si>
    <t>03367052</t>
  </si>
  <si>
    <t>03370375</t>
  </si>
  <si>
    <t>03373722</t>
  </si>
  <si>
    <t>03377321</t>
  </si>
  <si>
    <t>03380453</t>
  </si>
  <si>
    <t>03383728</t>
  </si>
  <si>
    <t>03387319</t>
  </si>
  <si>
    <t>03387977</t>
  </si>
  <si>
    <t>03388635</t>
  </si>
  <si>
    <t>03388742</t>
  </si>
  <si>
    <t>20619676</t>
  </si>
  <si>
    <t>20626586</t>
  </si>
  <si>
    <t>20634027</t>
  </si>
  <si>
    <t>20641163</t>
  </si>
  <si>
    <t>20650720</t>
  </si>
  <si>
    <t>20656487</t>
  </si>
  <si>
    <t>20663935</t>
  </si>
  <si>
    <t>20670995</t>
  </si>
  <si>
    <t>20678055</t>
  </si>
  <si>
    <t>20684489</t>
  </si>
  <si>
    <t>20690613</t>
  </si>
  <si>
    <t>20698108</t>
  </si>
  <si>
    <t>20706498</t>
  </si>
  <si>
    <t>20712304</t>
  </si>
  <si>
    <t>20718651</t>
  </si>
  <si>
    <t>20725305</t>
  </si>
  <si>
    <t>20732252</t>
  </si>
  <si>
    <t>20739991</t>
  </si>
  <si>
    <t>20747682</t>
  </si>
  <si>
    <t>20754339</t>
  </si>
  <si>
    <t>20760973</t>
  </si>
  <si>
    <t>20767857</t>
  </si>
  <si>
    <t>20774506</t>
  </si>
  <si>
    <t>20781092</t>
  </si>
  <si>
    <t>20787447</t>
  </si>
  <si>
    <t>20794325</t>
  </si>
  <si>
    <t>20804988</t>
  </si>
  <si>
    <t>20810856</t>
  </si>
  <si>
    <t>20817215</t>
  </si>
  <si>
    <t>20822713</t>
  </si>
  <si>
    <t>06648204</t>
  </si>
  <si>
    <t>06652177</t>
  </si>
  <si>
    <t>06656270</t>
  </si>
  <si>
    <t>06659021</t>
  </si>
  <si>
    <t>06663815</t>
  </si>
  <si>
    <t>06666876</t>
  </si>
  <si>
    <t>06669911</t>
  </si>
  <si>
    <t>06673540</t>
  </si>
  <si>
    <t>06677169</t>
  </si>
  <si>
    <t>06680966</t>
  </si>
  <si>
    <t>06684699</t>
  </si>
  <si>
    <t>06688423</t>
  </si>
  <si>
    <t>06692422</t>
  </si>
  <si>
    <t>06694894</t>
  </si>
  <si>
    <t>06698092</t>
  </si>
  <si>
    <t>06701947</t>
  </si>
  <si>
    <t>06705987</t>
  </si>
  <si>
    <t>06709714</t>
  </si>
  <si>
    <t>06713618</t>
  </si>
  <si>
    <t>06716408</t>
  </si>
  <si>
    <t>06719161</t>
  </si>
  <si>
    <t>06722127</t>
  </si>
  <si>
    <t>06725861</t>
  </si>
  <si>
    <t>06729526</t>
  </si>
  <si>
    <t>06733280</t>
  </si>
  <si>
    <t>06737362</t>
  </si>
  <si>
    <t>06740089</t>
  </si>
  <si>
    <t>06742817</t>
  </si>
  <si>
    <t>06745649</t>
  </si>
  <si>
    <t>06749467</t>
  </si>
  <si>
    <t>06752841</t>
  </si>
  <si>
    <t>00261313</t>
  </si>
  <si>
    <t>00261454</t>
  </si>
  <si>
    <t>00261642</t>
  </si>
  <si>
    <t>00261769</t>
  </si>
  <si>
    <t>00261960</t>
  </si>
  <si>
    <t>00262059</t>
  </si>
  <si>
    <t>00262238</t>
  </si>
  <si>
    <t>00262384</t>
  </si>
  <si>
    <t>00262531</t>
  </si>
  <si>
    <t>00262661</t>
  </si>
  <si>
    <t>00262790</t>
  </si>
  <si>
    <t>00262941</t>
  </si>
  <si>
    <t>00263059</t>
  </si>
  <si>
    <t>00263158</t>
  </si>
  <si>
    <t>00263277</t>
  </si>
  <si>
    <t>00263407</t>
  </si>
  <si>
    <t>00263551</t>
  </si>
  <si>
    <t>00263683</t>
  </si>
  <si>
    <t>00263823</t>
  </si>
  <si>
    <t>00263940</t>
  </si>
  <si>
    <t>00264041</t>
  </si>
  <si>
    <t>00264160</t>
  </si>
  <si>
    <t>00264288</t>
  </si>
  <si>
    <t>00264412</t>
  </si>
  <si>
    <t>00264539</t>
  </si>
  <si>
    <t>00264674</t>
  </si>
  <si>
    <t>00264786</t>
  </si>
  <si>
    <t>00264898</t>
  </si>
  <si>
    <t>00265009</t>
  </si>
  <si>
    <t>00265139</t>
  </si>
  <si>
    <t>00265249</t>
  </si>
  <si>
    <r>
      <t xml:space="preserve">      +4386960 dm</t>
    </r>
    <r>
      <rPr>
        <vertAlign val="superscript"/>
        <sz val="10"/>
        <color rgb="FF000000"/>
        <rFont val="Calibri"/>
        <family val="2"/>
      </rPr>
      <t>3</t>
    </r>
  </si>
  <si>
    <r>
      <t xml:space="preserve">      +4389661dm</t>
    </r>
    <r>
      <rPr>
        <vertAlign val="superscript"/>
        <sz val="10"/>
        <color rgb="FF000000"/>
        <rFont val="Calibri"/>
        <family val="2"/>
      </rPr>
      <t>3</t>
    </r>
  </si>
  <si>
    <r>
      <t xml:space="preserve">      +4452911dm</t>
    </r>
    <r>
      <rPr>
        <vertAlign val="superscript"/>
        <sz val="10"/>
        <color rgb="FF000000"/>
        <rFont val="Calibri"/>
        <family val="2"/>
      </rPr>
      <t>3</t>
    </r>
  </si>
  <si>
    <r>
      <t xml:space="preserve">      +4592941dm</t>
    </r>
    <r>
      <rPr>
        <vertAlign val="superscript"/>
        <sz val="10"/>
        <color rgb="FF000000"/>
        <rFont val="Calibri"/>
        <family val="2"/>
      </rPr>
      <t>3</t>
    </r>
  </si>
  <si>
    <r>
      <t xml:space="preserve">      +4672771dm</t>
    </r>
    <r>
      <rPr>
        <vertAlign val="superscript"/>
        <sz val="10"/>
        <color rgb="FF000000"/>
        <rFont val="Calibri"/>
        <family val="2"/>
      </rPr>
      <t>3</t>
    </r>
  </si>
  <si>
    <r>
      <t xml:space="preserve">      +4804576dm</t>
    </r>
    <r>
      <rPr>
        <vertAlign val="superscript"/>
        <sz val="10"/>
        <color rgb="FF000000"/>
        <rFont val="Calibri"/>
        <family val="2"/>
      </rPr>
      <t>3</t>
    </r>
  </si>
  <si>
    <r>
      <t xml:space="preserve">      +4945768dm</t>
    </r>
    <r>
      <rPr>
        <vertAlign val="superscript"/>
        <sz val="10"/>
        <color rgb="FF000000"/>
        <rFont val="Calibri"/>
        <family val="2"/>
      </rPr>
      <t>3</t>
    </r>
  </si>
  <si>
    <t>46565L</t>
  </si>
  <si>
    <t>2050 L</t>
  </si>
  <si>
    <t>00347158</t>
  </si>
  <si>
    <t>00347380</t>
  </si>
  <si>
    <t>00347610</t>
  </si>
  <si>
    <t>00347845</t>
  </si>
  <si>
    <t>00348078</t>
  </si>
  <si>
    <t>00348301</t>
  </si>
  <si>
    <t>00348525</t>
  </si>
  <si>
    <t>00348759</t>
  </si>
  <si>
    <t>00348995</t>
  </si>
  <si>
    <t>00349207</t>
  </si>
  <si>
    <t>00349411</t>
  </si>
  <si>
    <t>00349648</t>
  </si>
  <si>
    <t>00349881</t>
  </si>
  <si>
    <t>00350110</t>
  </si>
  <si>
    <t>00350331</t>
  </si>
  <si>
    <t>00350565</t>
  </si>
  <si>
    <t>00350795</t>
  </si>
  <si>
    <t>00351023</t>
  </si>
  <si>
    <t>00351231</t>
  </si>
  <si>
    <t>00351472</t>
  </si>
  <si>
    <t>00351684</t>
  </si>
  <si>
    <t>00351908</t>
  </si>
  <si>
    <t>00352139</t>
  </si>
  <si>
    <t>00352354</t>
  </si>
  <si>
    <t>00352563</t>
  </si>
  <si>
    <t>00352812</t>
  </si>
  <si>
    <t>00353020</t>
  </si>
  <si>
    <t>00353248</t>
  </si>
  <si>
    <t>00353484</t>
  </si>
  <si>
    <t>00353706</t>
  </si>
  <si>
    <t>09677910</t>
  </si>
  <si>
    <t>09684180</t>
  </si>
  <si>
    <t>09690857</t>
  </si>
  <si>
    <t>09696988</t>
  </si>
  <si>
    <t>09703480</t>
  </si>
  <si>
    <t>09709772</t>
  </si>
  <si>
    <t>09716134</t>
  </si>
  <si>
    <t>09722982</t>
  </si>
  <si>
    <t>09729913</t>
  </si>
  <si>
    <t>09735722</t>
  </si>
  <si>
    <t>09741562</t>
  </si>
  <si>
    <t>09748262</t>
  </si>
  <si>
    <t>09755116</t>
  </si>
  <si>
    <t>09761987</t>
  </si>
  <si>
    <t>09768607</t>
  </si>
  <si>
    <t>09775437</t>
  </si>
  <si>
    <t>09781917</t>
  </si>
  <si>
    <t>09788378</t>
  </si>
  <si>
    <t>09794055</t>
  </si>
  <si>
    <t>09801591</t>
  </si>
  <si>
    <t>09807745</t>
  </si>
  <si>
    <t>09814378</t>
  </si>
  <si>
    <t>09821555</t>
  </si>
  <si>
    <t>09827959</t>
  </si>
  <si>
    <t>09834434</t>
  </si>
  <si>
    <t>09841801</t>
  </si>
  <si>
    <t>09847740</t>
  </si>
  <si>
    <t>09854420</t>
  </si>
  <si>
    <t>09861156</t>
  </si>
  <si>
    <t>09867808</t>
  </si>
  <si>
    <t>04631532</t>
  </si>
  <si>
    <t>04634436</t>
  </si>
  <si>
    <t>04637451</t>
  </si>
  <si>
    <t>04640244</t>
  </si>
  <si>
    <t>04643201</t>
  </si>
  <si>
    <t>04646054</t>
  </si>
  <si>
    <t>04648900</t>
  </si>
  <si>
    <t>04651892</t>
  </si>
  <si>
    <t>04654859</t>
  </si>
  <si>
    <t>04657335</t>
  </si>
  <si>
    <t>04659786</t>
  </si>
  <si>
    <t>04662504</t>
  </si>
  <si>
    <t>04665430</t>
  </si>
  <si>
    <t>04668350</t>
  </si>
  <si>
    <t>04671021</t>
  </si>
  <si>
    <t>04673850</t>
  </si>
  <si>
    <t>04676443</t>
  </si>
  <si>
    <t>04679015</t>
  </si>
  <si>
    <t>04681310</t>
  </si>
  <si>
    <t>04684390</t>
  </si>
  <si>
    <t>04686952</t>
  </si>
  <si>
    <t>04689787</t>
  </si>
  <si>
    <t>04692720</t>
  </si>
  <si>
    <t>04695255</t>
  </si>
  <si>
    <t>04697756</t>
  </si>
  <si>
    <t>04700780</t>
  </si>
  <si>
    <t>04703376</t>
  </si>
  <si>
    <t>04706178</t>
  </si>
  <si>
    <t>04708994</t>
  </si>
  <si>
    <t>04711727</t>
  </si>
  <si>
    <t>10215953</t>
  </si>
  <si>
    <t>10225149</t>
  </si>
  <si>
    <t>10235111</t>
  </si>
  <si>
    <t>10243948</t>
  </si>
  <si>
    <t>10244027</t>
  </si>
  <si>
    <t>10244104</t>
  </si>
  <si>
    <t>10244181</t>
  </si>
  <si>
    <t>10244340</t>
  </si>
  <si>
    <t>10244422</t>
  </si>
  <si>
    <t>10244495</t>
  </si>
  <si>
    <t>10244568</t>
  </si>
  <si>
    <t>10244651</t>
  </si>
  <si>
    <t>10245151</t>
  </si>
  <si>
    <t>10245231</t>
  </si>
  <si>
    <t>10245307</t>
  </si>
  <si>
    <t>10245384</t>
  </si>
  <si>
    <t>10245460</t>
  </si>
  <si>
    <t>10245545</t>
  </si>
  <si>
    <t>10245617</t>
  </si>
  <si>
    <t>10245699</t>
  </si>
  <si>
    <t>10245771</t>
  </si>
  <si>
    <t>10245845</t>
  </si>
  <si>
    <t>10245928</t>
  </si>
  <si>
    <t>10246007</t>
  </si>
  <si>
    <t>10246506</t>
  </si>
  <si>
    <t>10254205</t>
  </si>
  <si>
    <t>10260200</t>
  </si>
  <si>
    <t>10267788</t>
  </si>
  <si>
    <t>10275364</t>
  </si>
  <si>
    <t>10281637</t>
  </si>
  <si>
    <t>03389078</t>
  </si>
  <si>
    <t>03392114</t>
  </si>
  <si>
    <t>03394705</t>
  </si>
  <si>
    <t>03397148</t>
  </si>
  <si>
    <t>03399825</t>
  </si>
  <si>
    <t>03402552</t>
  </si>
  <si>
    <t>03405114</t>
  </si>
  <si>
    <t>03407588</t>
  </si>
  <si>
    <t>03410401</t>
  </si>
  <si>
    <t>03413053</t>
  </si>
  <si>
    <t>03415877</t>
  </si>
  <si>
    <t>03418312</t>
  </si>
  <si>
    <t>03421042</t>
  </si>
  <si>
    <t>03423557</t>
  </si>
  <si>
    <t>03426249</t>
  </si>
  <si>
    <t>03428485</t>
  </si>
  <si>
    <t>03431162</t>
  </si>
  <si>
    <t>03433647</t>
  </si>
  <si>
    <t>03436220</t>
  </si>
  <si>
    <t>03438469</t>
  </si>
  <si>
    <t>03440501</t>
  </si>
  <si>
    <t>03442407</t>
  </si>
  <si>
    <t>20829331</t>
  </si>
  <si>
    <t>20834988</t>
  </si>
  <si>
    <t>20841357</t>
  </si>
  <si>
    <t>20847591</t>
  </si>
  <si>
    <t>20853537</t>
  </si>
  <si>
    <t>20859197</t>
  </si>
  <si>
    <t>20864799</t>
  </si>
  <si>
    <t>20870788</t>
  </si>
  <si>
    <t>20876957</t>
  </si>
  <si>
    <t>20882349</t>
  </si>
  <si>
    <t>20887501</t>
  </si>
  <si>
    <t>20893752</t>
  </si>
  <si>
    <t>20899934</t>
  </si>
  <si>
    <t>20905986</t>
  </si>
  <si>
    <t>20911675</t>
  </si>
  <si>
    <t>20917848</t>
  </si>
  <si>
    <t>20923773</t>
  </si>
  <si>
    <t>20930108</t>
  </si>
  <si>
    <t>20935513</t>
  </si>
  <si>
    <t>20941968</t>
  </si>
  <si>
    <t>20947578</t>
  </si>
  <si>
    <t>20953381</t>
  </si>
  <si>
    <t>20959222</t>
  </si>
  <si>
    <t>20964917</t>
  </si>
  <si>
    <t>20970524</t>
  </si>
  <si>
    <t>20976987</t>
  </si>
  <si>
    <t>20982285</t>
  </si>
  <si>
    <t>20987988</t>
  </si>
  <si>
    <t>20993872</t>
  </si>
  <si>
    <t>20999439</t>
  </si>
  <si>
    <t>06757061</t>
  </si>
  <si>
    <t>06760828</t>
  </si>
  <si>
    <t>06763892</t>
  </si>
  <si>
    <t>06766959</t>
  </si>
  <si>
    <t>06769950</t>
  </si>
  <si>
    <t>06773375</t>
  </si>
  <si>
    <t>06776882</t>
  </si>
  <si>
    <t>06780498</t>
  </si>
  <si>
    <t>06784342</t>
  </si>
  <si>
    <t>06787448</t>
  </si>
  <si>
    <t>06789824</t>
  </si>
  <si>
    <t>06793007</t>
  </si>
  <si>
    <t>06796988</t>
  </si>
  <si>
    <t>06800880</t>
  </si>
  <si>
    <t>06804536</t>
  </si>
  <si>
    <t>06808341</t>
  </si>
  <si>
    <t>06811474</t>
  </si>
  <si>
    <t>06813993</t>
  </si>
  <si>
    <t>06816559</t>
  </si>
  <si>
    <t>06820346</t>
  </si>
  <si>
    <t>06823571</t>
  </si>
  <si>
    <t>06827119</t>
  </si>
  <si>
    <t>06830609</t>
  </si>
  <si>
    <t>06834093</t>
  </si>
  <si>
    <t>06836298</t>
  </si>
  <si>
    <t>06839650</t>
  </si>
  <si>
    <t>06842774</t>
  </si>
  <si>
    <t>06846321</t>
  </si>
  <si>
    <t>06850085</t>
  </si>
  <si>
    <t>06853422</t>
  </si>
  <si>
    <t>00265388</t>
  </si>
  <si>
    <t>00265510</t>
  </si>
  <si>
    <t>00265639</t>
  </si>
  <si>
    <t>00265752</t>
  </si>
  <si>
    <t>00265877</t>
  </si>
  <si>
    <t>00266004</t>
  </si>
  <si>
    <t>00266129</t>
  </si>
  <si>
    <t>00266260</t>
  </si>
  <si>
    <t>00266397</t>
  </si>
  <si>
    <t>00266512</t>
  </si>
  <si>
    <t>00266608</t>
  </si>
  <si>
    <t>00266730</t>
  </si>
  <si>
    <t>00266864</t>
  </si>
  <si>
    <t>00266994</t>
  </si>
  <si>
    <t>00267117</t>
  </si>
  <si>
    <t>00267250</t>
  </si>
  <si>
    <t>00267370</t>
  </si>
  <si>
    <t>00267484</t>
  </si>
  <si>
    <t>00267593</t>
  </si>
  <si>
    <t>00267734</t>
  </si>
  <si>
    <t>00267850</t>
  </si>
  <si>
    <t>00267978</t>
  </si>
  <si>
    <t>00268113</t>
  </si>
  <si>
    <t>00268230</t>
  </si>
  <si>
    <t>00268330</t>
  </si>
  <si>
    <t>00268470</t>
  </si>
  <si>
    <t>00268584</t>
  </si>
  <si>
    <t>00268708</t>
  </si>
  <si>
    <t>00268838</t>
  </si>
  <si>
    <t>00268958</t>
  </si>
  <si>
    <r>
      <t xml:space="preserve">      +5098672dm</t>
    </r>
    <r>
      <rPr>
        <vertAlign val="superscript"/>
        <sz val="10"/>
        <color rgb="FF000000"/>
        <rFont val="Calibri"/>
        <family val="2"/>
      </rPr>
      <t>3</t>
    </r>
  </si>
  <si>
    <r>
      <t xml:space="preserve">      +5148564dm</t>
    </r>
    <r>
      <rPr>
        <vertAlign val="superscript"/>
        <sz val="10"/>
        <color rgb="FF000000"/>
        <rFont val="Calibri"/>
        <family val="2"/>
      </rPr>
      <t>3</t>
    </r>
  </si>
  <si>
    <r>
      <t xml:space="preserve">      +5181196dm</t>
    </r>
    <r>
      <rPr>
        <vertAlign val="superscript"/>
        <sz val="10"/>
        <color rgb="FF000000"/>
        <rFont val="Calibri"/>
        <family val="2"/>
      </rPr>
      <t>3</t>
    </r>
  </si>
  <si>
    <r>
      <t xml:space="preserve">      +5181858dm</t>
    </r>
    <r>
      <rPr>
        <vertAlign val="superscript"/>
        <sz val="10"/>
        <color rgb="FF000000"/>
        <rFont val="Calibri"/>
        <family val="2"/>
      </rPr>
      <t>3</t>
    </r>
  </si>
  <si>
    <r>
      <t xml:space="preserve">      +5222618dm</t>
    </r>
    <r>
      <rPr>
        <vertAlign val="superscript"/>
        <sz val="10"/>
        <color rgb="FF000000"/>
        <rFont val="Calibri"/>
        <family val="2"/>
      </rPr>
      <t>3</t>
    </r>
  </si>
  <si>
    <r>
      <t xml:space="preserve">      +5294111dm</t>
    </r>
    <r>
      <rPr>
        <vertAlign val="superscript"/>
        <sz val="10"/>
        <color rgb="FF000000"/>
        <rFont val="Calibri"/>
        <family val="2"/>
      </rPr>
      <t>3</t>
    </r>
  </si>
  <si>
    <r>
      <t xml:space="preserve">      +5359803dm</t>
    </r>
    <r>
      <rPr>
        <vertAlign val="superscript"/>
        <sz val="10"/>
        <color rgb="FF000000"/>
        <rFont val="Calibri"/>
        <family val="2"/>
      </rPr>
      <t>3</t>
    </r>
  </si>
  <si>
    <r>
      <t xml:space="preserve">      +5359855 dm</t>
    </r>
    <r>
      <rPr>
        <vertAlign val="superscript"/>
        <sz val="10"/>
        <color rgb="FF000000"/>
        <rFont val="Calibri"/>
        <family val="2"/>
      </rPr>
      <t>3</t>
    </r>
  </si>
  <si>
    <r>
      <t xml:space="preserve">      +5458829 dm</t>
    </r>
    <r>
      <rPr>
        <vertAlign val="superscript"/>
        <sz val="10"/>
        <color rgb="FF000000"/>
        <rFont val="Calibri"/>
        <family val="2"/>
      </rPr>
      <t>3</t>
    </r>
  </si>
  <si>
    <r>
      <t xml:space="preserve">      +5458850 dm</t>
    </r>
    <r>
      <rPr>
        <vertAlign val="superscript"/>
        <sz val="10"/>
        <color rgb="FF000000"/>
        <rFont val="Calibri"/>
        <family val="2"/>
      </rPr>
      <t>3</t>
    </r>
  </si>
  <si>
    <t>46516L</t>
  </si>
  <si>
    <t>46495 L</t>
  </si>
  <si>
    <t>46487 L</t>
  </si>
  <si>
    <t>2000 L</t>
  </si>
  <si>
    <t>00353926</t>
  </si>
  <si>
    <t>00354143</t>
  </si>
  <si>
    <t>00354377</t>
  </si>
  <si>
    <t>00354612</t>
  </si>
  <si>
    <t>00354836</t>
  </si>
  <si>
    <t>00355062</t>
  </si>
  <si>
    <t>00355288</t>
  </si>
  <si>
    <t>00355542</t>
  </si>
  <si>
    <t>00355727</t>
  </si>
  <si>
    <t>00355955</t>
  </si>
  <si>
    <t>00356164</t>
  </si>
  <si>
    <t>00356402</t>
  </si>
  <si>
    <t>00356620</t>
  </si>
  <si>
    <t>00356850</t>
  </si>
  <si>
    <t>00357068</t>
  </si>
  <si>
    <t>00357285</t>
  </si>
  <si>
    <t>00357511</t>
  </si>
  <si>
    <t>00357692</t>
  </si>
  <si>
    <t>00357947</t>
  </si>
  <si>
    <t>00358180</t>
  </si>
  <si>
    <t>00358265</t>
  </si>
  <si>
    <t>00358626</t>
  </si>
  <si>
    <t>00358842</t>
  </si>
  <si>
    <t>00359059</t>
  </si>
  <si>
    <t>00359286</t>
  </si>
  <si>
    <t>00359506</t>
  </si>
  <si>
    <t>00359745</t>
  </si>
  <si>
    <t>00359958</t>
  </si>
  <si>
    <t>00360176</t>
  </si>
  <si>
    <t>00360394</t>
  </si>
  <si>
    <t>00360616</t>
  </si>
  <si>
    <t>09874074</t>
  </si>
  <si>
    <t>09879855</t>
  </si>
  <si>
    <t>09886372</t>
  </si>
  <si>
    <t>09893257</t>
  </si>
  <si>
    <t>09899456</t>
  </si>
  <si>
    <t>09906042</t>
  </si>
  <si>
    <t>09912690</t>
  </si>
  <si>
    <t>09919946</t>
  </si>
  <si>
    <t>09925099</t>
  </si>
  <si>
    <t>09931825</t>
  </si>
  <si>
    <t>09938212</t>
  </si>
  <si>
    <t>09945252</t>
  </si>
  <si>
    <t>09951583</t>
  </si>
  <si>
    <t>09958354</t>
  </si>
  <si>
    <t>09964682</t>
  </si>
  <si>
    <t>09970863</t>
  </si>
  <si>
    <t>09977219</t>
  </si>
  <si>
    <t>09982726</t>
  </si>
  <si>
    <t>09989332</t>
  </si>
  <si>
    <t>09996243</t>
  </si>
  <si>
    <t>10005689</t>
  </si>
  <si>
    <t>10008718</t>
  </si>
  <si>
    <t>10014646</t>
  </si>
  <si>
    <t>10020699</t>
  </si>
  <si>
    <t>10027311</t>
  </si>
  <si>
    <t>10033873</t>
  </si>
  <si>
    <t>10040685</t>
  </si>
  <si>
    <t>10046874</t>
  </si>
  <si>
    <t>10053216</t>
  </si>
  <si>
    <t>10059557</t>
  </si>
  <si>
    <t>10066137</t>
  </si>
  <si>
    <t>04714391</t>
  </si>
  <si>
    <t>04716747</t>
  </si>
  <si>
    <t>04719615</t>
  </si>
  <si>
    <t>04722741</t>
  </si>
  <si>
    <t>04725614</t>
  </si>
  <si>
    <t>04728516</t>
  </si>
  <si>
    <t>04731464</t>
  </si>
  <si>
    <t>04734471</t>
  </si>
  <si>
    <t>04736573</t>
  </si>
  <si>
    <t>04739279</t>
  </si>
  <si>
    <t>04741978</t>
  </si>
  <si>
    <t>04744985</t>
  </si>
  <si>
    <t>04747679</t>
  </si>
  <si>
    <t>04750645</t>
  </si>
  <si>
    <t>04753280</t>
  </si>
  <si>
    <t>04755831</t>
  </si>
  <si>
    <t>04758396</t>
  </si>
  <si>
    <t>04760450</t>
  </si>
  <si>
    <t>04763522</t>
  </si>
  <si>
    <t>04766467</t>
  </si>
  <si>
    <t>04769574</t>
  </si>
  <si>
    <t>04771770</t>
  </si>
  <si>
    <t>04774215</t>
  </si>
  <si>
    <t>04776669</t>
  </si>
  <si>
    <t>04779511</t>
  </si>
  <si>
    <t>04782272</t>
  </si>
  <si>
    <t>04784964</t>
  </si>
  <si>
    <t>04787395</t>
  </si>
  <si>
    <t>04789729</t>
  </si>
  <si>
    <t>04792063</t>
  </si>
  <si>
    <t>04794458</t>
  </si>
  <si>
    <t>10287713</t>
  </si>
  <si>
    <t>10293537</t>
  </si>
  <si>
    <t>10293622</t>
  </si>
  <si>
    <t>10293787</t>
  </si>
  <si>
    <t>10293861</t>
  </si>
  <si>
    <t>10293938</t>
  </si>
  <si>
    <t>10294016</t>
  </si>
  <si>
    <t>10294107</t>
  </si>
  <si>
    <t>10294175</t>
  </si>
  <si>
    <t>10294257</t>
  </si>
  <si>
    <t>10294296</t>
  </si>
  <si>
    <t>10294455</t>
  </si>
  <si>
    <t>10294491</t>
  </si>
  <si>
    <t>10294529</t>
  </si>
  <si>
    <t>10294565</t>
  </si>
  <si>
    <t>10294604</t>
  </si>
  <si>
    <t>10294645</t>
  </si>
  <si>
    <t>10294685</t>
  </si>
  <si>
    <t>10294721</t>
  </si>
  <si>
    <t>10294761</t>
  </si>
  <si>
    <t>10294776</t>
  </si>
  <si>
    <t>10294837</t>
  </si>
  <si>
    <t>10295719</t>
  </si>
  <si>
    <t>10302468</t>
  </si>
  <si>
    <t>10309013</t>
  </si>
  <si>
    <t>10316283</t>
  </si>
  <si>
    <t>10323015</t>
  </si>
  <si>
    <t>10329525</t>
  </si>
  <si>
    <t>10336308</t>
  </si>
  <si>
    <t>10343091</t>
  </si>
  <si>
    <t>10343129</t>
  </si>
  <si>
    <t>03442497</t>
  </si>
  <si>
    <t>03444505</t>
  </si>
  <si>
    <t>03446923</t>
  </si>
  <si>
    <t>03448912</t>
  </si>
  <si>
    <t>03450912</t>
  </si>
  <si>
    <t>03452777</t>
  </si>
  <si>
    <t>03454847</t>
  </si>
  <si>
    <t>03456305</t>
  </si>
  <si>
    <t>03458161</t>
  </si>
  <si>
    <t>03459614</t>
  </si>
  <si>
    <t>03462065</t>
  </si>
  <si>
    <t>03464186</t>
  </si>
  <si>
    <t>03466453</t>
  </si>
  <si>
    <t>03468499</t>
  </si>
  <si>
    <t>03470648</t>
  </si>
  <si>
    <t>03472961</t>
  </si>
  <si>
    <t>03476333</t>
  </si>
  <si>
    <t>03477319</t>
  </si>
  <si>
    <t>03479581</t>
  </si>
  <si>
    <t>03480408</t>
  </si>
  <si>
    <t>03483888</t>
  </si>
  <si>
    <t>03485815</t>
  </si>
  <si>
    <t>03486000</t>
  </si>
  <si>
    <t>03486024</t>
  </si>
  <si>
    <t>03486141</t>
  </si>
  <si>
    <t>03486157</t>
  </si>
  <si>
    <t>03488688</t>
  </si>
  <si>
    <t>21005196</t>
  </si>
  <si>
    <t>21011041</t>
  </si>
  <si>
    <t>21017007</t>
  </si>
  <si>
    <t>21023072</t>
  </si>
  <si>
    <t>21028702</t>
  </si>
  <si>
    <t>21034451</t>
  </si>
  <si>
    <t>21040150</t>
  </si>
  <si>
    <t>21046551</t>
  </si>
  <si>
    <t>21051337</t>
  </si>
  <si>
    <t>21057176</t>
  </si>
  <si>
    <t>21062405</t>
  </si>
  <si>
    <t>21069508</t>
  </si>
  <si>
    <t>21074696</t>
  </si>
  <si>
    <t>21080316</t>
  </si>
  <si>
    <t>21085299</t>
  </si>
  <si>
    <t>21090441</t>
  </si>
  <si>
    <t>21095826</t>
  </si>
  <si>
    <t>21100378</t>
  </si>
  <si>
    <t>21105855</t>
  </si>
  <si>
    <t>21111413</t>
  </si>
  <si>
    <t>21116498</t>
  </si>
  <si>
    <t>21121715</t>
  </si>
  <si>
    <t>21126764</t>
  </si>
  <si>
    <t>21131782</t>
  </si>
  <si>
    <t>21136981</t>
  </si>
  <si>
    <t>21142115</t>
  </si>
  <si>
    <t>21147610</t>
  </si>
  <si>
    <t>21152673</t>
  </si>
  <si>
    <t>21157568</t>
  </si>
  <si>
    <t>21163063</t>
  </si>
  <si>
    <t>21168303</t>
  </si>
  <si>
    <t>06856718</t>
  </si>
  <si>
    <t>06859101</t>
  </si>
  <si>
    <t>06862014</t>
  </si>
  <si>
    <t>06865838</t>
  </si>
  <si>
    <t>06869274</t>
  </si>
  <si>
    <t>06873097</t>
  </si>
  <si>
    <t>06876898</t>
  </si>
  <si>
    <t>06880652</t>
  </si>
  <si>
    <t>06882937</t>
  </si>
  <si>
    <t>06885983</t>
  </si>
  <si>
    <t>06889180</t>
  </si>
  <si>
    <t>06892974</t>
  </si>
  <si>
    <t>06896323</t>
  </si>
  <si>
    <t>06900131</t>
  </si>
  <si>
    <t>06903053</t>
  </si>
  <si>
    <t>06905383</t>
  </si>
  <si>
    <t>06908120</t>
  </si>
  <si>
    <t>06910446</t>
  </si>
  <si>
    <t>06914030</t>
  </si>
  <si>
    <t>06917442</t>
  </si>
  <si>
    <t>06918935</t>
  </si>
  <si>
    <t>06923643</t>
  </si>
  <si>
    <t>06926020</t>
  </si>
  <si>
    <t>06928669</t>
  </si>
  <si>
    <t>06932005</t>
  </si>
  <si>
    <t>06935380</t>
  </si>
  <si>
    <t>06939115</t>
  </si>
  <si>
    <t>06942259</t>
  </si>
  <si>
    <t>06945122</t>
  </si>
  <si>
    <t>06947985</t>
  </si>
  <si>
    <t>06950688</t>
  </si>
  <si>
    <t>00269075</t>
  </si>
  <si>
    <t>00269176</t>
  </si>
  <si>
    <t>00269295</t>
  </si>
  <si>
    <t>00269425</t>
  </si>
  <si>
    <t>00269544</t>
  </si>
  <si>
    <t>00269673</t>
  </si>
  <si>
    <t>00269802</t>
  </si>
  <si>
    <t>00269941</t>
  </si>
  <si>
    <t>00270027</t>
  </si>
  <si>
    <t>00270150</t>
  </si>
  <si>
    <t>00270265</t>
  </si>
  <si>
    <t>00270399</t>
  </si>
  <si>
    <t>00270518</t>
  </si>
  <si>
    <t>00270651</t>
  </si>
  <si>
    <t>00270762</t>
  </si>
  <si>
    <t>00270865</t>
  </si>
  <si>
    <t>00270982</t>
  </si>
  <si>
    <t>00271050</t>
  </si>
  <si>
    <t>00271197</t>
  </si>
  <si>
    <t>00271326</t>
  </si>
  <si>
    <t>00271378</t>
  </si>
  <si>
    <t>00271567</t>
  </si>
  <si>
    <t>00271670</t>
  </si>
  <si>
    <t>00271787</t>
  </si>
  <si>
    <t>00271913</t>
  </si>
  <si>
    <t>00272034</t>
  </si>
  <si>
    <t>00272165</t>
  </si>
  <si>
    <t>00272278</t>
  </si>
  <si>
    <t>00272389</t>
  </si>
  <si>
    <t>00272501</t>
  </si>
  <si>
    <t>00272620</t>
  </si>
  <si>
    <r>
      <t xml:space="preserve">      +5575476 dm</t>
    </r>
    <r>
      <rPr>
        <vertAlign val="superscript"/>
        <sz val="10"/>
        <color rgb="FF000000"/>
        <rFont val="Calibri"/>
        <family val="2"/>
      </rPr>
      <t>3</t>
    </r>
  </si>
  <si>
    <r>
      <t xml:space="preserve">      +5631675 dm</t>
    </r>
    <r>
      <rPr>
        <vertAlign val="superscript"/>
        <sz val="10"/>
        <color rgb="FF000000"/>
        <rFont val="Calibri"/>
        <family val="2"/>
      </rPr>
      <t>3</t>
    </r>
  </si>
  <si>
    <r>
      <t xml:space="preserve">      +5685103 dm</t>
    </r>
    <r>
      <rPr>
        <vertAlign val="superscript"/>
        <sz val="10"/>
        <color rgb="FF000000"/>
        <rFont val="Calibri"/>
        <family val="2"/>
      </rPr>
      <t>3</t>
    </r>
  </si>
  <si>
    <r>
      <t xml:space="preserve">      +5458850 dm</t>
    </r>
    <r>
      <rPr>
        <vertAlign val="superscript"/>
        <sz val="10"/>
        <color rgb="FF000000"/>
        <rFont val="Calibri"/>
        <family val="2"/>
      </rPr>
      <t>5</t>
    </r>
    <r>
      <rPr>
        <sz val="11"/>
        <color theme="1"/>
        <rFont val="Calibri"/>
        <family val="2"/>
        <scheme val="minor"/>
      </rPr>
      <t/>
    </r>
  </si>
  <si>
    <t>46479 L</t>
  </si>
  <si>
    <t>46463 L</t>
  </si>
  <si>
    <t>46447 L</t>
  </si>
  <si>
    <t>45871 L</t>
  </si>
  <si>
    <t>1980 L</t>
  </si>
  <si>
    <t>2520 L</t>
  </si>
  <si>
    <t>00361053</t>
  </si>
  <si>
    <t>00361274</t>
  </si>
  <si>
    <t>00361511</t>
  </si>
  <si>
    <t>00361723</t>
  </si>
  <si>
    <t>00361936</t>
  </si>
  <si>
    <t>00362158</t>
  </si>
  <si>
    <t>00362370</t>
  </si>
  <si>
    <t>00362619</t>
  </si>
  <si>
    <t>00362838</t>
  </si>
  <si>
    <t>00363102</t>
  </si>
  <si>
    <t>00363303</t>
  </si>
  <si>
    <t>00363505</t>
  </si>
  <si>
    <t>00363716</t>
  </si>
  <si>
    <t>00363947</t>
  </si>
  <si>
    <t>00364176</t>
  </si>
  <si>
    <t>00364398</t>
  </si>
  <si>
    <t>00364637</t>
  </si>
  <si>
    <t>00364862</t>
  </si>
  <si>
    <t>00365061</t>
  </si>
  <si>
    <t>00365274</t>
  </si>
  <si>
    <t>00365506</t>
  </si>
  <si>
    <t>00365722</t>
  </si>
  <si>
    <t>00365955</t>
  </si>
  <si>
    <t>00366176</t>
  </si>
  <si>
    <t>00366398</t>
  </si>
  <si>
    <t>00366620</t>
  </si>
  <si>
    <t>00366834</t>
  </si>
  <si>
    <t>00367065</t>
  </si>
  <si>
    <t>00367286</t>
  </si>
  <si>
    <t>00367508</t>
  </si>
  <si>
    <t>10072699</t>
  </si>
  <si>
    <t>10078954</t>
  </si>
  <si>
    <t>10085290</t>
  </si>
  <si>
    <t>10092412</t>
  </si>
  <si>
    <t>10098736</t>
  </si>
  <si>
    <t>10105059</t>
  </si>
  <si>
    <t>10111521</t>
  </si>
  <si>
    <t>10117816</t>
  </si>
  <si>
    <t>10125225</t>
  </si>
  <si>
    <t>10131637</t>
  </si>
  <si>
    <t>10139367</t>
  </si>
  <si>
    <t>10145291</t>
  </si>
  <si>
    <t>10151215</t>
  </si>
  <si>
    <t>10157281</t>
  </si>
  <si>
    <t>10164240</t>
  </si>
  <si>
    <t>10171419</t>
  </si>
  <si>
    <t>10178393</t>
  </si>
  <si>
    <t>10185421</t>
  </si>
  <si>
    <t>10192175</t>
  </si>
  <si>
    <t>10197865</t>
  </si>
  <si>
    <t>10204010</t>
  </si>
  <si>
    <t>10210997</t>
  </si>
  <si>
    <t>10217402</t>
  </si>
  <si>
    <t>10237456</t>
  </si>
  <si>
    <t>10244286</t>
  </si>
  <si>
    <t>10250739</t>
  </si>
  <si>
    <t>10257841</t>
  </si>
  <si>
    <t>10264948</t>
  </si>
  <si>
    <t>10271384</t>
  </si>
  <si>
    <t>04797197</t>
  </si>
  <si>
    <t>04799834</t>
  </si>
  <si>
    <t>04802464</t>
  </si>
  <si>
    <t>04805283</t>
  </si>
  <si>
    <t>04810182</t>
  </si>
  <si>
    <t>04812746</t>
  </si>
  <si>
    <t>04815405</t>
  </si>
  <si>
    <t>04818375</t>
  </si>
  <si>
    <t>04820979</t>
  </si>
  <si>
    <t>04824229</t>
  </si>
  <si>
    <t>04826438</t>
  </si>
  <si>
    <t>04828647</t>
  </si>
  <si>
    <t>04831037</t>
  </si>
  <si>
    <t>04833878</t>
  </si>
  <si>
    <t>04836787</t>
  </si>
  <si>
    <t>04839515</t>
  </si>
  <si>
    <t>04842564</t>
  </si>
  <si>
    <t>04845421</t>
  </si>
  <si>
    <t>04847804</t>
  </si>
  <si>
    <t>04850468</t>
  </si>
  <si>
    <t>04853503</t>
  </si>
  <si>
    <t>04856231</t>
  </si>
  <si>
    <t>04859113</t>
  </si>
  <si>
    <t>04861962</t>
  </si>
  <si>
    <t>04864579</t>
  </si>
  <si>
    <t>04867195</t>
  </si>
  <si>
    <t>04869779</t>
  </si>
  <si>
    <t>04872818</t>
  </si>
  <si>
    <t>04875806</t>
  </si>
  <si>
    <t>04878549</t>
  </si>
  <si>
    <t>10343167</t>
  </si>
  <si>
    <t>10343204</t>
  </si>
  <si>
    <t>10343766</t>
  </si>
  <si>
    <t>10343807</t>
  </si>
  <si>
    <t>10343882</t>
  </si>
  <si>
    <t>10343920</t>
  </si>
  <si>
    <t>10343956</t>
  </si>
  <si>
    <t>10343998</t>
  </si>
  <si>
    <t>10344246</t>
  </si>
  <si>
    <t>10344282</t>
  </si>
  <si>
    <t>10344318</t>
  </si>
  <si>
    <t>10344350</t>
  </si>
  <si>
    <t>10344385</t>
  </si>
  <si>
    <t>10344940</t>
  </si>
  <si>
    <t>10344975</t>
  </si>
  <si>
    <t>10346181</t>
  </si>
  <si>
    <t>10347611</t>
  </si>
  <si>
    <t>10348361</t>
  </si>
  <si>
    <t>10355701</t>
  </si>
  <si>
    <t>10362918</t>
  </si>
  <si>
    <t>10368988</t>
  </si>
  <si>
    <t>10375515</t>
  </si>
  <si>
    <t>10380307</t>
  </si>
  <si>
    <t>10387613</t>
  </si>
  <si>
    <t>10394918</t>
  </si>
  <si>
    <t>10402150</t>
  </si>
  <si>
    <t>10409020</t>
  </si>
  <si>
    <t>10415935</t>
  </si>
  <si>
    <t>10422657</t>
  </si>
  <si>
    <t>03491094</t>
  </si>
  <si>
    <t>03493172</t>
  </si>
  <si>
    <t>03495254</t>
  </si>
  <si>
    <t>03497617</t>
  </si>
  <si>
    <t>03499820</t>
  </si>
  <si>
    <t>03502023</t>
  </si>
  <si>
    <t>03504213</t>
  </si>
  <si>
    <t>03506283</t>
  </si>
  <si>
    <t>03508722</t>
  </si>
  <si>
    <t>03510833</t>
  </si>
  <si>
    <t>03513476</t>
  </si>
  <si>
    <t>03518148</t>
  </si>
  <si>
    <t>03520301</t>
  </si>
  <si>
    <t>03522440</t>
  </si>
  <si>
    <t>03524772</t>
  </si>
  <si>
    <t>03527128</t>
  </si>
  <si>
    <t>03529286</t>
  </si>
  <si>
    <t>03530937</t>
  </si>
  <si>
    <t>03532232</t>
  </si>
  <si>
    <t>03532253</t>
  </si>
  <si>
    <t>03532758</t>
  </si>
  <si>
    <t>03532816</t>
  </si>
  <si>
    <t>03532873</t>
  </si>
  <si>
    <t>03533007</t>
  </si>
  <si>
    <t>21173363</t>
  </si>
  <si>
    <t>21178292</t>
  </si>
  <si>
    <t>21183928</t>
  </si>
  <si>
    <t>21189062</t>
  </si>
  <si>
    <t>21193400</t>
  </si>
  <si>
    <t>21197737</t>
  </si>
  <si>
    <t>21202742</t>
  </si>
  <si>
    <t>21207515</t>
  </si>
  <si>
    <t>21212988</t>
  </si>
  <si>
    <t>21218499</t>
  </si>
  <si>
    <t>21224701</t>
  </si>
  <si>
    <t>21230268</t>
  </si>
  <si>
    <t>21235835</t>
  </si>
  <si>
    <t>21240785</t>
  </si>
  <si>
    <t>21247004</t>
  </si>
  <si>
    <t>21252312</t>
  </si>
  <si>
    <t>21257585</t>
  </si>
  <si>
    <t>21263106</t>
  </si>
  <si>
    <t>21268401</t>
  </si>
  <si>
    <t>21273025</t>
  </si>
  <si>
    <t>21277887</t>
  </si>
  <si>
    <t>21283043</t>
  </si>
  <si>
    <t>21287812</t>
  </si>
  <si>
    <t>21292732</t>
  </si>
  <si>
    <t>21297283</t>
  </si>
  <si>
    <t>21302400</t>
  </si>
  <si>
    <t>21307516</t>
  </si>
  <si>
    <t>21312305</t>
  </si>
  <si>
    <t>21317628</t>
  </si>
  <si>
    <t>21322688</t>
  </si>
  <si>
    <t>21327488</t>
  </si>
  <si>
    <t>06953822</t>
  </si>
  <si>
    <t>06957154</t>
  </si>
  <si>
    <t>06960460</t>
  </si>
  <si>
    <t>06964050</t>
  </si>
  <si>
    <t>06969617</t>
  </si>
  <si>
    <t>06972421</t>
  </si>
  <si>
    <t>06975495</t>
  </si>
  <si>
    <t>06979270</t>
  </si>
  <si>
    <t>06982486</t>
  </si>
  <si>
    <t>06986571</t>
  </si>
  <si>
    <t>06988910</t>
  </si>
  <si>
    <t>06991248</t>
  </si>
  <si>
    <t>06993689</t>
  </si>
  <si>
    <t>06997165</t>
  </si>
  <si>
    <t>07000629</t>
  </si>
  <si>
    <t>07003942</t>
  </si>
  <si>
    <t>07007604</t>
  </si>
  <si>
    <t>07010612</t>
  </si>
  <si>
    <t>07012956</t>
  </si>
  <si>
    <t>07015690</t>
  </si>
  <si>
    <t>07019096</t>
  </si>
  <si>
    <t>07022221</t>
  </si>
  <si>
    <t>07025566</t>
  </si>
  <si>
    <t>07028732</t>
  </si>
  <si>
    <t>07031611</t>
  </si>
  <si>
    <t>07034490</t>
  </si>
  <si>
    <t>07036959</t>
  </si>
  <si>
    <t>07040348</t>
  </si>
  <si>
    <t>07043636</t>
  </si>
  <si>
    <t>07046674</t>
  </si>
  <si>
    <t>00272738</t>
  </si>
  <si>
    <t>00272855</t>
  </si>
  <si>
    <t>00272973</t>
  </si>
  <si>
    <t>00273101</t>
  </si>
  <si>
    <t>00273208</t>
  </si>
  <si>
    <t>00273315</t>
  </si>
  <si>
    <t>00273433</t>
  </si>
  <si>
    <t>00273545</t>
  </si>
  <si>
    <t>00273683</t>
  </si>
  <si>
    <t>00273797</t>
  </si>
  <si>
    <t>00273940</t>
  </si>
  <si>
    <t>00274035</t>
  </si>
  <si>
    <t>00274131</t>
  </si>
  <si>
    <t>00274238</t>
  </si>
  <si>
    <t>00274360</t>
  </si>
  <si>
    <t>00274480</t>
  </si>
  <si>
    <t>00274592</t>
  </si>
  <si>
    <t>00274717</t>
  </si>
  <si>
    <t>00274824</t>
  </si>
  <si>
    <t>00274911</t>
  </si>
  <si>
    <t>00275015</t>
  </si>
  <si>
    <t>00275131</t>
  </si>
  <si>
    <t>00275241</t>
  </si>
  <si>
    <t>00275359</t>
  </si>
  <si>
    <t>00275467</t>
  </si>
  <si>
    <t>00275565</t>
  </si>
  <si>
    <t>00275664</t>
  </si>
  <si>
    <t>00275763</t>
  </si>
  <si>
    <t>00275882</t>
  </si>
  <si>
    <t>00275998</t>
  </si>
  <si>
    <t>00276106</t>
  </si>
  <si>
    <r>
      <t xml:space="preserve">      +5724570 dm</t>
    </r>
    <r>
      <rPr>
        <vertAlign val="superscript"/>
        <sz val="10"/>
        <color rgb="FF000000"/>
        <rFont val="Calibri"/>
        <family val="2"/>
      </rPr>
      <t>3</t>
    </r>
  </si>
  <si>
    <r>
      <t xml:space="preserve">      +5735695 dm</t>
    </r>
    <r>
      <rPr>
        <vertAlign val="superscript"/>
        <sz val="10"/>
        <color rgb="FF000000"/>
        <rFont val="Calibri"/>
        <family val="2"/>
      </rPr>
      <t>3</t>
    </r>
  </si>
  <si>
    <r>
      <t xml:space="preserve">      +5757184 dm</t>
    </r>
    <r>
      <rPr>
        <vertAlign val="superscript"/>
        <sz val="10"/>
        <color rgb="FF000000"/>
        <rFont val="Calibri"/>
        <family val="2"/>
      </rPr>
      <t>3</t>
    </r>
  </si>
  <si>
    <r>
      <t xml:space="preserve">      +5757192 dm</t>
    </r>
    <r>
      <rPr>
        <vertAlign val="superscript"/>
        <sz val="10"/>
        <color rgb="FF000000"/>
        <rFont val="Calibri"/>
        <family val="2"/>
      </rPr>
      <t>3</t>
    </r>
  </si>
  <si>
    <r>
      <t xml:space="preserve">      +5768164 dm</t>
    </r>
    <r>
      <rPr>
        <vertAlign val="superscript"/>
        <sz val="10"/>
        <color rgb="FF000000"/>
        <rFont val="Calibri"/>
        <family val="2"/>
      </rPr>
      <t>3</t>
    </r>
  </si>
  <si>
    <r>
      <t xml:space="preserve">      +5831010 dm</t>
    </r>
    <r>
      <rPr>
        <vertAlign val="superscript"/>
        <sz val="10"/>
        <color rgb="FF000000"/>
        <rFont val="Calibri"/>
        <family val="2"/>
      </rPr>
      <t>3</t>
    </r>
  </si>
  <si>
    <r>
      <t xml:space="preserve">      +5852210 dm</t>
    </r>
    <r>
      <rPr>
        <vertAlign val="superscript"/>
        <sz val="10"/>
        <color rgb="FF000000"/>
        <rFont val="Calibri"/>
        <family val="2"/>
      </rPr>
      <t>3</t>
    </r>
  </si>
  <si>
    <r>
      <t xml:space="preserve">      +5880073 dm</t>
    </r>
    <r>
      <rPr>
        <vertAlign val="superscript"/>
        <sz val="10"/>
        <color rgb="FF000000"/>
        <rFont val="Calibri"/>
        <family val="2"/>
      </rPr>
      <t>3</t>
    </r>
  </si>
  <si>
    <r>
      <t xml:space="preserve">      +5882006 dm</t>
    </r>
    <r>
      <rPr>
        <vertAlign val="superscript"/>
        <sz val="10"/>
        <color rgb="FF000000"/>
        <rFont val="Calibri"/>
        <family val="2"/>
      </rPr>
      <t>3</t>
    </r>
  </si>
  <si>
    <r>
      <t xml:space="preserve">      +6039054 dm</t>
    </r>
    <r>
      <rPr>
        <vertAlign val="superscript"/>
        <sz val="10"/>
        <color rgb="FF000000"/>
        <rFont val="Calibri"/>
        <family val="2"/>
      </rPr>
      <t>3</t>
    </r>
  </si>
  <si>
    <r>
      <t xml:space="preserve">      +6061303 dm</t>
    </r>
    <r>
      <rPr>
        <vertAlign val="superscript"/>
        <sz val="10"/>
        <color rgb="FF000000"/>
        <rFont val="Calibri"/>
        <family val="2"/>
      </rPr>
      <t>3</t>
    </r>
  </si>
  <si>
    <r>
      <t xml:space="preserve">      +6134335 dm</t>
    </r>
    <r>
      <rPr>
        <vertAlign val="superscript"/>
        <sz val="10"/>
        <color rgb="FF000000"/>
        <rFont val="Calibri"/>
        <family val="2"/>
      </rPr>
      <t>3</t>
    </r>
  </si>
  <si>
    <t>45832 L</t>
  </si>
  <si>
    <t>45816 L</t>
  </si>
  <si>
    <t>00367738</t>
  </si>
  <si>
    <t>00367966</t>
  </si>
  <si>
    <t>00368195</t>
  </si>
  <si>
    <t>00368399</t>
  </si>
  <si>
    <t>00368624</t>
  </si>
  <si>
    <t>00368843</t>
  </si>
  <si>
    <t>00369087</t>
  </si>
  <si>
    <t>00369313</t>
  </si>
  <si>
    <t>00369514</t>
  </si>
  <si>
    <t>00369730</t>
  </si>
  <si>
    <t>00369960</t>
  </si>
  <si>
    <t>00370201</t>
  </si>
  <si>
    <t>00370540</t>
  </si>
  <si>
    <t>00370645</t>
  </si>
  <si>
    <t>00370866</t>
  </si>
  <si>
    <t>00371079</t>
  </si>
  <si>
    <t>00371292</t>
  </si>
  <si>
    <t>00371544</t>
  </si>
  <si>
    <t>00371742</t>
  </si>
  <si>
    <t>00371986</t>
  </si>
  <si>
    <t>372636</t>
  </si>
  <si>
    <t>10278569</t>
  </si>
  <si>
    <t>10285706</t>
  </si>
  <si>
    <t>10292842</t>
  </si>
  <si>
    <t>10298934</t>
  </si>
  <si>
    <t>10305838</t>
  </si>
  <si>
    <t>10312518</t>
  </si>
  <si>
    <t>10319874</t>
  </si>
  <si>
    <t>10326827</t>
  </si>
  <si>
    <t>10333535</t>
  </si>
  <si>
    <t>10340243</t>
  </si>
  <si>
    <t>10346951</t>
  </si>
  <si>
    <t>10354987</t>
  </si>
  <si>
    <t>10366214</t>
  </si>
  <si>
    <t>10369602</t>
  </si>
  <si>
    <t>10376210</t>
  </si>
  <si>
    <t>10382798</t>
  </si>
  <si>
    <t>10389385</t>
  </si>
  <si>
    <t>10396964</t>
  </si>
  <si>
    <t>10402668</t>
  </si>
  <si>
    <t>10410328</t>
  </si>
  <si>
    <t>10430516</t>
  </si>
  <si>
    <t>04881520</t>
  </si>
  <si>
    <t>04884335</t>
  </si>
  <si>
    <t>04887150</t>
  </si>
  <si>
    <t>04889705</t>
  </si>
  <si>
    <t>04892827</t>
  </si>
  <si>
    <t>04895785</t>
  </si>
  <si>
    <t>04899270</t>
  </si>
  <si>
    <t>04902346</t>
  </si>
  <si>
    <t>04904972</t>
  </si>
  <si>
    <t>04907598</t>
  </si>
  <si>
    <t>04910435</t>
  </si>
  <si>
    <t>04913644</t>
  </si>
  <si>
    <t>04917676</t>
  </si>
  <si>
    <t>04918930</t>
  </si>
  <si>
    <t>04921907</t>
  </si>
  <si>
    <t>04924465</t>
  </si>
  <si>
    <t>04927023</t>
  </si>
  <si>
    <t>04930071</t>
  </si>
  <si>
    <t>04932637</t>
  </si>
  <si>
    <t>04935917</t>
  </si>
  <si>
    <t>4944213</t>
  </si>
  <si>
    <t>10430257</t>
  </si>
  <si>
    <t>10437775</t>
  </si>
  <si>
    <t>10445293</t>
  </si>
  <si>
    <t>10448385</t>
  </si>
  <si>
    <t>10455337</t>
  </si>
  <si>
    <t>10461837</t>
  </si>
  <si>
    <t>10469134</t>
  </si>
  <si>
    <t>10475848</t>
  </si>
  <si>
    <t>10482157</t>
  </si>
  <si>
    <t>10488466</t>
  </si>
  <si>
    <t>10495123</t>
  </si>
  <si>
    <t>10502143</t>
  </si>
  <si>
    <t>10512668</t>
  </si>
  <si>
    <t>10515910</t>
  </si>
  <si>
    <t>10523084</t>
  </si>
  <si>
    <t>10530481</t>
  </si>
  <si>
    <t>10537878</t>
  </si>
  <si>
    <t>10545998</t>
  </si>
  <si>
    <t>10552067</t>
  </si>
  <si>
    <t>10560110</t>
  </si>
  <si>
    <t>10567113</t>
  </si>
  <si>
    <t>03533978</t>
  </si>
  <si>
    <t>3538866</t>
  </si>
  <si>
    <t>21332772</t>
  </si>
  <si>
    <t>21338170</t>
  </si>
  <si>
    <t>21343567</t>
  </si>
  <si>
    <t>21348151</t>
  </si>
  <si>
    <t>21353591</t>
  </si>
  <si>
    <t>21358605</t>
  </si>
  <si>
    <t>21364030</t>
  </si>
  <si>
    <t>21369233</t>
  </si>
  <si>
    <t>21373972</t>
  </si>
  <si>
    <t>21378710</t>
  </si>
  <si>
    <t>21383739</t>
  </si>
  <si>
    <t>21388825</t>
  </si>
  <si>
    <t>21396643</t>
  </si>
  <si>
    <t>21398982</t>
  </si>
  <si>
    <t>21404372</t>
  </si>
  <si>
    <t>21409526</t>
  </si>
  <si>
    <t>21414679</t>
  </si>
  <si>
    <t>21420435</t>
  </si>
  <si>
    <t>21424619</t>
  </si>
  <si>
    <t>21430044</t>
  </si>
  <si>
    <t>21444510</t>
  </si>
  <si>
    <t>07050007</t>
  </si>
  <si>
    <t>07052934</t>
  </si>
  <si>
    <t>07055861</t>
  </si>
  <si>
    <t>07058293</t>
  </si>
  <si>
    <t>07061627</t>
  </si>
  <si>
    <t>07064618</t>
  </si>
  <si>
    <t>07068191</t>
  </si>
  <si>
    <t>07071492</t>
  </si>
  <si>
    <t>07074134</t>
  </si>
  <si>
    <t>07076775</t>
  </si>
  <si>
    <t>07079491</t>
  </si>
  <si>
    <t>07082986</t>
  </si>
  <si>
    <t>07087913</t>
  </si>
  <si>
    <t>07089410</t>
  </si>
  <si>
    <t>07092777</t>
  </si>
  <si>
    <t>07095857</t>
  </si>
  <si>
    <t>07098937</t>
  </si>
  <si>
    <t>07102360</t>
  </si>
  <si>
    <t>07105331</t>
  </si>
  <si>
    <t>07109012</t>
  </si>
  <si>
    <t>7117807</t>
  </si>
  <si>
    <t>00276225</t>
  </si>
  <si>
    <t>00276330</t>
  </si>
  <si>
    <t>00276436</t>
  </si>
  <si>
    <t>00276532</t>
  </si>
  <si>
    <t>00276647</t>
  </si>
  <si>
    <t>00276756</t>
  </si>
  <si>
    <t>00276883</t>
  </si>
  <si>
    <t>00277001</t>
  </si>
  <si>
    <t>00277100</t>
  </si>
  <si>
    <t>00277199</t>
  </si>
  <si>
    <t>00277307</t>
  </si>
  <si>
    <t>0277434</t>
  </si>
  <si>
    <t>00277598</t>
  </si>
  <si>
    <t>00277648</t>
  </si>
  <si>
    <t>00277765</t>
  </si>
  <si>
    <t>00277868</t>
  </si>
  <si>
    <t>00277971</t>
  </si>
  <si>
    <t>00278099</t>
  </si>
  <si>
    <t>00278202</t>
  </si>
  <si>
    <t>00278330</t>
  </si>
  <si>
    <t>278646</t>
  </si>
  <si>
    <t>K22223190003505907 (Irrigatation Water Tank Room)</t>
  </si>
  <si>
    <t>45791 L</t>
  </si>
  <si>
    <t>374207</t>
  </si>
  <si>
    <t>375766</t>
  </si>
  <si>
    <t>10478243</t>
  </si>
  <si>
    <t>10525598</t>
  </si>
  <si>
    <t>4964591</t>
  </si>
  <si>
    <t>4984221</t>
  </si>
  <si>
    <t>10612786</t>
  </si>
  <si>
    <t>10660847</t>
  </si>
  <si>
    <t>3541302</t>
  </si>
  <si>
    <t>3541352</t>
  </si>
  <si>
    <t>21477699</t>
  </si>
  <si>
    <t>21513058</t>
  </si>
  <si>
    <t>7138575</t>
  </si>
  <si>
    <t>7157914</t>
  </si>
  <si>
    <t>279429</t>
  </si>
  <si>
    <t>280204</t>
  </si>
  <si>
    <t>45281 L</t>
  </si>
  <si>
    <t>45272 L</t>
  </si>
  <si>
    <t>2960 L</t>
  </si>
  <si>
    <t>383747</t>
  </si>
  <si>
    <t>387005</t>
  </si>
  <si>
    <t>10762248</t>
  </si>
  <si>
    <t>10852435</t>
  </si>
  <si>
    <t>5081286</t>
  </si>
  <si>
    <t>5120459</t>
  </si>
  <si>
    <t>10808040</t>
  </si>
  <si>
    <t>10862063</t>
  </si>
  <si>
    <t>3573374</t>
  </si>
  <si>
    <t>3589258</t>
  </si>
  <si>
    <t>21699431</t>
  </si>
  <si>
    <t>21781095</t>
  </si>
  <si>
    <t>7253854</t>
  </si>
  <si>
    <t>7293984</t>
  </si>
  <si>
    <t>283941</t>
  </si>
  <si>
    <t>285416</t>
  </si>
  <si>
    <t>388665</t>
  </si>
  <si>
    <t>389625</t>
  </si>
  <si>
    <t>390113</t>
  </si>
  <si>
    <t>392110</t>
  </si>
  <si>
    <t>395675</t>
  </si>
  <si>
    <t>10898755</t>
  </si>
  <si>
    <t>10926312</t>
  </si>
  <si>
    <t>10948000</t>
  </si>
  <si>
    <t>10995920</t>
  </si>
  <si>
    <t>11093754</t>
  </si>
  <si>
    <t>5141206</t>
  </si>
  <si>
    <t>5153241</t>
  </si>
  <si>
    <t>5162403</t>
  </si>
  <si>
    <t>5183788</t>
  </si>
  <si>
    <t>5228833</t>
  </si>
  <si>
    <t>10862565</t>
  </si>
  <si>
    <t>10890388</t>
  </si>
  <si>
    <t>10918213</t>
  </si>
  <si>
    <t>10981866</t>
  </si>
  <si>
    <t>11002138</t>
  </si>
  <si>
    <t>3609119</t>
  </si>
  <si>
    <t>3611905</t>
  </si>
  <si>
    <t>3611969</t>
  </si>
  <si>
    <t>3650536</t>
  </si>
  <si>
    <t>21825094</t>
  </si>
  <si>
    <t>21853269</t>
  </si>
  <si>
    <t>21875234</t>
  </si>
  <si>
    <t>21920859</t>
  </si>
  <si>
    <t>22009422</t>
  </si>
  <si>
    <t>7315874</t>
  </si>
  <si>
    <t>7328483</t>
  </si>
  <si>
    <t>7338678</t>
  </si>
  <si>
    <t>7362489</t>
  </si>
  <si>
    <t>7415532</t>
  </si>
  <si>
    <t>286171</t>
  </si>
  <si>
    <t>286590</t>
  </si>
  <si>
    <t>286922</t>
  </si>
  <si>
    <t>287790</t>
  </si>
  <si>
    <t>289466</t>
  </si>
  <si>
    <t>45325 L</t>
  </si>
  <si>
    <t>2920 L</t>
  </si>
  <si>
    <t xml:space="preserve"> </t>
  </si>
  <si>
    <t>45930L</t>
  </si>
  <si>
    <t>2500L</t>
  </si>
  <si>
    <t>428196</t>
  </si>
  <si>
    <t>433343</t>
  </si>
  <si>
    <t>11975216</t>
  </si>
  <si>
    <t>12124290</t>
  </si>
  <si>
    <t>5611600</t>
  </si>
  <si>
    <t>5674125</t>
  </si>
  <si>
    <t>11801622</t>
  </si>
  <si>
    <t>728</t>
  </si>
  <si>
    <t>3908693</t>
  </si>
  <si>
    <t>52055</t>
  </si>
  <si>
    <t>23003692</t>
  </si>
  <si>
    <t>35318</t>
  </si>
  <si>
    <t>7906595</t>
  </si>
  <si>
    <t>7987576</t>
  </si>
  <si>
    <t>305268</t>
  </si>
  <si>
    <t>307962</t>
  </si>
  <si>
    <t>2700L</t>
  </si>
  <si>
    <t>45756L</t>
  </si>
  <si>
    <t>45716L</t>
  </si>
  <si>
    <t>45350L</t>
  </si>
  <si>
    <t>1500L</t>
  </si>
  <si>
    <t>Energy &amp; Flow Meters / Location</t>
  </si>
  <si>
    <t>CHW-Loop 1</t>
  </si>
  <si>
    <t>CHW-Loop 2</t>
  </si>
  <si>
    <t>CHW-Loop 3</t>
  </si>
  <si>
    <t>Makeup-KAHRAMMA</t>
  </si>
  <si>
    <t>Makeup-RO</t>
  </si>
  <si>
    <t>Storm Water</t>
  </si>
  <si>
    <t>Coling Tower- Blowdown</t>
  </si>
  <si>
    <t>45356L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</si>
</sst>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h:mm\ AM/PM;@"/>
    <numFmt numFmtId="165" formatCode="[$-409]d\-mmm;@"/>
    <numFmt numFmtId="166" formatCode="00000000"/>
    <numFmt numFmtId="167" formatCode="0.0"/>
    <numFmt numFmtId="168" formatCode="0000000"/>
    <numFmt numFmtId="169" formatCode="000000000"/>
  </numFmts>
  <fonts count="76">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name val="Georgia"/>
      <family val="1"/>
    </font>
    <font>
      <b/>
      <sz val="9"/>
      <name val="Georgia"/>
      <family val="1"/>
    </font>
    <font>
      <b/>
      <sz val="11"/>
      <name val="Arial"/>
      <family val="2"/>
    </font>
    <font>
      <sz val="12"/>
      <name val="Arial"/>
      <family val="2"/>
    </font>
    <font>
      <b/>
      <sz val="12"/>
      <name val="Arial"/>
      <family val="2"/>
    </font>
    <font>
      <sz val="12"/>
      <color theme="1"/>
      <name val="Calibri"/>
      <family val="2"/>
      <scheme val="minor"/>
    </font>
    <font>
      <sz val="12"/>
      <color theme="1"/>
      <name val="Arial"/>
      <family val="2"/>
    </font>
    <font>
      <sz val="12"/>
      <color rgb="FFFF0000"/>
      <name val="Arial"/>
      <family val="2"/>
    </font>
    <font>
      <b/>
      <sz val="14"/>
      <color theme="1"/>
      <name val="Calibri"/>
      <family val="2"/>
      <scheme val="minor"/>
    </font>
    <font>
      <b/>
      <sz val="11"/>
      <color theme="1"/>
      <name val="Calibri"/>
      <family val="2"/>
    </font>
    <font>
      <sz val="11"/>
      <color theme="1"/>
      <name val="Calibri"/>
      <family val="2"/>
    </font>
    <font>
      <sz val="11"/>
      <name val="Arial"/>
      <family val="2"/>
    </font>
    <font>
      <sz val="11"/>
      <color theme="1"/>
      <name val="Aril"/>
    </font>
    <font>
      <sz val="12"/>
      <color rgb="FF0070C0"/>
      <name val="Calibri"/>
      <family val="2"/>
      <scheme val="minor"/>
    </font>
    <font>
      <sz val="12"/>
      <color rgb="FF0070C0"/>
      <name val="Arial"/>
      <family val="2"/>
    </font>
    <font>
      <sz val="12"/>
      <name val="Calibri"/>
      <family val="2"/>
      <scheme val="minor"/>
    </font>
    <font>
      <sz val="11"/>
      <name val="Calibri"/>
      <family val="2"/>
      <scheme val="minor"/>
    </font>
    <font>
      <sz val="11"/>
      <color rgb="FF00B050"/>
      <name val="Calibri"/>
      <family val="2"/>
      <scheme val="minor"/>
    </font>
    <font>
      <b/>
      <sz val="11"/>
      <name val="Calibri"/>
      <family val="2"/>
      <scheme val="minor"/>
    </font>
    <font>
      <b/>
      <sz val="12"/>
      <color theme="1"/>
      <name val="Calibri"/>
      <family val="2"/>
      <scheme val="minor"/>
    </font>
    <font>
      <b/>
      <sz val="10"/>
      <name val="Calibri"/>
      <family val="2"/>
    </font>
    <font>
      <b/>
      <sz val="6"/>
      <name val="Calibri"/>
      <family val="2"/>
    </font>
    <font>
      <b/>
      <sz val="6"/>
      <name val="Calibri"/>
      <family val="2"/>
    </font>
    <font>
      <b/>
      <sz val="6"/>
      <color rgb="FFFF0000"/>
      <name val="Calibri"/>
      <family val="2"/>
    </font>
    <font>
      <b/>
      <sz val="10"/>
      <color rgb="FF000000"/>
      <name val="Calibri"/>
      <family val="2"/>
    </font>
    <font>
      <sz val="8"/>
      <name val="Times New Roman"/>
      <family val="2"/>
    </font>
    <font>
      <sz val="8"/>
      <name val="Calibri"/>
      <family val="2"/>
      <scheme val="minor"/>
    </font>
    <font>
      <sz val="8"/>
      <name val="Times New Roman"/>
      <family val="1"/>
    </font>
    <font>
      <sz val="8"/>
      <color rgb="FF000000"/>
      <name val="Times New Roman"/>
      <family val="2"/>
    </font>
    <font>
      <b/>
      <sz val="10"/>
      <color theme="1"/>
      <name val="Calibri"/>
      <family val="2"/>
      <scheme val="minor"/>
    </font>
    <font>
      <b/>
      <sz val="8"/>
      <name val="Calibri"/>
      <family val="2"/>
      <scheme val="minor"/>
    </font>
    <font>
      <b/>
      <sz val="8"/>
      <name val="Times New Roman"/>
      <family val="1"/>
    </font>
    <font>
      <b/>
      <sz val="8"/>
      <color theme="1"/>
      <name val="Calibri"/>
      <family val="2"/>
      <scheme val="minor"/>
    </font>
    <font>
      <sz val="6"/>
      <name val="Calibri"/>
      <family val="2"/>
    </font>
    <font>
      <sz val="6"/>
      <color rgb="FF000000"/>
      <name val="Calibri"/>
      <family val="2"/>
    </font>
    <font>
      <sz val="6"/>
      <name val="Times New Roman"/>
      <family val="1"/>
    </font>
    <font>
      <sz val="6"/>
      <name val="Calibri"/>
      <family val="2"/>
      <scheme val="minor"/>
    </font>
    <font>
      <b/>
      <sz val="12"/>
      <name val="Calibri"/>
      <family val="2"/>
      <scheme val="minor"/>
    </font>
    <font>
      <sz val="7.5"/>
      <color rgb="FF000000"/>
      <name val="Times New Roman"/>
      <family val="2"/>
    </font>
    <font>
      <sz val="6"/>
      <name val="Calibri"/>
      <family val="2"/>
    </font>
    <font>
      <sz val="6.5"/>
      <color rgb="FF000000"/>
      <name val="Times New Roman"/>
      <family val="2"/>
    </font>
    <font>
      <b/>
      <sz val="5.5"/>
      <name val="Calibri"/>
      <family val="2"/>
    </font>
    <font>
      <b/>
      <sz val="5.5"/>
      <name val="Calibri"/>
      <family val="2"/>
    </font>
    <font>
      <sz val="5.5"/>
      <color rgb="FF000000"/>
      <name val="Calibri"/>
      <family val="2"/>
    </font>
    <font>
      <sz val="5.5"/>
      <name val="Calibri"/>
      <family val="2"/>
    </font>
    <font>
      <sz val="5.5"/>
      <name val="Calibri"/>
      <family val="2"/>
    </font>
    <font>
      <sz val="7"/>
      <color rgb="FF000000"/>
      <name val="Times New Roman"/>
      <family val="2"/>
    </font>
    <font>
      <b/>
      <sz val="7"/>
      <name val="Calibri"/>
      <family val="2"/>
    </font>
    <font>
      <sz val="7"/>
      <color theme="1"/>
      <name val="Calibri"/>
      <family val="2"/>
      <scheme val="minor"/>
    </font>
    <font>
      <sz val="7"/>
      <color rgb="FF000000"/>
      <name val="Calibri"/>
      <family val="2"/>
    </font>
    <font>
      <sz val="7"/>
      <name val="Calibri"/>
      <family val="2"/>
    </font>
    <font>
      <vertAlign val="superscript"/>
      <sz val="7"/>
      <name val="Calibri"/>
      <family val="2"/>
    </font>
    <font>
      <b/>
      <sz val="5.5"/>
      <name val="Calibri"/>
      <family val="2"/>
    </font>
    <font>
      <vertAlign val="superscript"/>
      <sz val="5.5"/>
      <color rgb="FF000000"/>
      <name val="Calibri"/>
      <family val="2"/>
    </font>
    <font>
      <sz val="5.5"/>
      <name val="Calibri"/>
      <family val="2"/>
    </font>
    <font>
      <sz val="7"/>
      <color rgb="FF000000"/>
      <name val="Times New Roman"/>
      <family val="1"/>
    </font>
    <font>
      <vertAlign val="superscript"/>
      <sz val="10"/>
      <color rgb="FF000000"/>
      <name val="Calibri"/>
      <family val="2"/>
    </font>
    <font>
      <sz val="7"/>
      <name val="Times New Roman"/>
      <family val="1"/>
    </font>
    <font>
      <sz val="7"/>
      <color theme="1"/>
      <name val="Times New Roman"/>
      <family val="1"/>
    </font>
    <font>
      <sz val="10"/>
      <color rgb="FF000000"/>
      <name val="Times New Roman"/>
      <charset val="204"/>
    </font>
    <font>
      <sz val="5"/>
      <color rgb="FF000000"/>
      <name val="Times New Roman"/>
      <family val="2"/>
    </font>
    <font>
      <b/>
      <sz val="3.5"/>
      <name val="Calibri"/>
      <family val="2"/>
    </font>
    <font>
      <sz val="3.5"/>
      <color rgb="FF000000"/>
      <name val="Calibri"/>
      <family val="2"/>
    </font>
    <font>
      <sz val="5.5"/>
      <color theme="1"/>
      <name val="Calibri"/>
      <family val="2"/>
    </font>
    <font>
      <sz val="3.5"/>
      <name val="Calibri"/>
      <family val="2"/>
    </font>
    <font>
      <vertAlign val="superscript"/>
      <sz val="2.5"/>
      <name val="Calibri"/>
      <family val="2"/>
    </font>
    <font>
      <sz val="10"/>
      <color rgb="FF000000"/>
      <name val="Times New Roman"/>
      <family val="1"/>
    </font>
    <font>
      <sz val="7"/>
      <name val="Times New Roman"/>
      <family val="2"/>
    </font>
    <font>
      <sz val="8"/>
      <color rgb="FF000000"/>
      <name val="Calibri"/>
      <family val="2"/>
      <scheme val="minor"/>
    </font>
    <font>
      <sz val="10"/>
      <name val="Arial"/>
      <family val="2"/>
    </font>
    <font>
      <sz val="11"/>
      <color theme="1"/>
      <name val="Calibri"/>
      <family val="2"/>
      <scheme val="minor"/>
    </font>
    <font>
      <sz val="5.5"/>
      <color rgb="FFFF0000"/>
      <name val="Calibri"/>
      <family val="2"/>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s>
  <borders count="4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rgb="FF000000"/>
      </top>
      <bottom style="thin">
        <color rgb="FF000000"/>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medium">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medium">
        <color indexed="64"/>
      </right>
      <top style="thin">
        <color indexed="64"/>
      </top>
      <bottom/>
      <diagonal/>
    </border>
    <border>
      <left style="medium">
        <color indexed="64"/>
      </left>
      <right/>
      <top/>
      <bottom/>
      <diagonal/>
    </border>
    <border>
      <left/>
      <right style="thin">
        <color rgb="FF000000"/>
      </right>
      <top style="thin">
        <color rgb="FF000000"/>
      </top>
      <bottom style="thin">
        <color rgb="FF000000"/>
      </bottom>
      <diagonal/>
    </border>
  </borders>
  <cellStyleXfs count="17">
    <xf numFmtId="0" fontId="0" fillId="0" borderId="0"/>
    <xf numFmtId="0" fontId="63" fillId="0" borderId="0"/>
    <xf numFmtId="0" fontId="70" fillId="0" borderId="0"/>
    <xf numFmtId="0" fontId="70" fillId="0" borderId="0"/>
    <xf numFmtId="0" fontId="70" fillId="0" borderId="0"/>
    <xf numFmtId="0" fontId="70" fillId="0" borderId="0"/>
    <xf numFmtId="0" fontId="73"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cellStyleXfs>
  <cellXfs count="567">
    <xf numFmtId="0" fontId="0" fillId="0" borderId="0" xfId="0"/>
    <xf numFmtId="0" fontId="4" fillId="0" borderId="0" xfId="0" applyFont="1" applyAlignment="1">
      <alignment vertical="center" wrapText="1"/>
    </xf>
    <xf numFmtId="164" fontId="5" fillId="2" borderId="4"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0" borderId="0" xfId="0" applyFont="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165" fontId="6" fillId="3" borderId="10" xfId="0" applyNumberFormat="1" applyFont="1" applyFill="1" applyBorder="1" applyAlignment="1">
      <alignment horizontal="left" vertical="center"/>
    </xf>
    <xf numFmtId="1" fontId="7" fillId="0" borderId="11" xfId="0" applyNumberFormat="1" applyFont="1" applyBorder="1" applyAlignment="1">
      <alignment horizontal="center" vertical="center" wrapText="1"/>
    </xf>
    <xf numFmtId="1" fontId="7" fillId="0" borderId="12" xfId="0" applyNumberFormat="1" applyFont="1" applyBorder="1" applyAlignment="1">
      <alignment horizontal="center" vertical="center" wrapText="1"/>
    </xf>
    <xf numFmtId="1" fontId="7" fillId="0" borderId="13" xfId="0" applyNumberFormat="1" applyFont="1" applyBorder="1" applyAlignment="1">
      <alignment horizontal="center" vertical="center" wrapText="1"/>
    </xf>
    <xf numFmtId="1" fontId="7" fillId="0" borderId="0" xfId="0" applyNumberFormat="1" applyFont="1" applyAlignment="1">
      <alignment horizontal="center" vertical="center" wrapText="1"/>
    </xf>
    <xf numFmtId="165" fontId="6" fillId="3" borderId="14" xfId="0" applyNumberFormat="1" applyFont="1" applyFill="1" applyBorder="1" applyAlignment="1">
      <alignment horizontal="left" vertical="center"/>
    </xf>
    <xf numFmtId="1" fontId="7" fillId="0" borderId="15" xfId="0" applyNumberFormat="1" applyFont="1" applyBorder="1" applyAlignment="1">
      <alignment horizontal="center" vertical="center" wrapText="1"/>
    </xf>
    <xf numFmtId="1" fontId="7" fillId="0" borderId="16" xfId="0" applyNumberFormat="1" applyFont="1" applyBorder="1" applyAlignment="1">
      <alignment horizontal="center" vertical="center" wrapText="1"/>
    </xf>
    <xf numFmtId="1" fontId="7" fillId="0" borderId="17" xfId="0" applyNumberFormat="1" applyFont="1" applyBorder="1" applyAlignment="1">
      <alignment horizontal="center" vertical="center" wrapText="1"/>
    </xf>
    <xf numFmtId="165" fontId="6" fillId="0" borderId="10" xfId="0" applyNumberFormat="1" applyFont="1" applyBorder="1" applyAlignment="1">
      <alignment horizontal="left" vertical="center"/>
    </xf>
    <xf numFmtId="1" fontId="8" fillId="0" borderId="13" xfId="0" applyNumberFormat="1" applyFont="1" applyBorder="1" applyAlignment="1">
      <alignment horizontal="center" vertical="center" wrapText="1"/>
    </xf>
    <xf numFmtId="0" fontId="0" fillId="0" borderId="0" xfId="0" applyAlignment="1">
      <alignment horizontal="left"/>
    </xf>
    <xf numFmtId="0" fontId="0" fillId="0" borderId="11" xfId="0" applyBorder="1" applyAlignment="1">
      <alignment horizontal="center"/>
    </xf>
    <xf numFmtId="0" fontId="9" fillId="0" borderId="11" xfId="0" applyFont="1" applyBorder="1" applyAlignment="1">
      <alignment horizontal="center"/>
    </xf>
    <xf numFmtId="0" fontId="0" fillId="0" borderId="11" xfId="0" applyBorder="1"/>
    <xf numFmtId="1" fontId="0" fillId="0" borderId="11" xfId="0" applyNumberFormat="1" applyBorder="1"/>
    <xf numFmtId="1" fontId="7" fillId="0" borderId="0" xfId="0" applyNumberFormat="1" applyFont="1" applyAlignment="1">
      <alignment horizontal="left" vertical="center" wrapText="1"/>
    </xf>
    <xf numFmtId="0" fontId="2" fillId="0" borderId="0" xfId="0" applyFont="1" applyAlignment="1">
      <alignment wrapText="1"/>
    </xf>
    <xf numFmtId="0" fontId="2" fillId="0" borderId="11" xfId="0" applyFont="1" applyBorder="1" applyAlignment="1">
      <alignment wrapText="1"/>
    </xf>
    <xf numFmtId="0" fontId="2" fillId="0" borderId="11" xfId="0" applyFont="1" applyBorder="1" applyAlignment="1">
      <alignment vertical="center" wrapText="1"/>
    </xf>
    <xf numFmtId="0" fontId="10" fillId="0" borderId="11" xfId="0" applyFont="1" applyBorder="1" applyAlignment="1">
      <alignment horizontal="center"/>
    </xf>
    <xf numFmtId="3" fontId="10" fillId="0" borderId="11" xfId="0" applyNumberFormat="1" applyFont="1" applyBorder="1" applyAlignment="1">
      <alignment horizontal="center"/>
    </xf>
    <xf numFmtId="1" fontId="11" fillId="0" borderId="11"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0" fontId="11" fillId="0" borderId="11" xfId="0" applyFont="1" applyBorder="1" applyAlignment="1">
      <alignment horizontal="center"/>
    </xf>
    <xf numFmtId="0" fontId="2" fillId="2" borderId="0" xfId="0" applyFont="1" applyFill="1" applyAlignment="1">
      <alignment vertical="center" wrapText="1"/>
    </xf>
    <xf numFmtId="0" fontId="0" fillId="2" borderId="11" xfId="0" applyFill="1" applyBorder="1" applyAlignment="1">
      <alignment vertical="center" wrapText="1"/>
    </xf>
    <xf numFmtId="0" fontId="2" fillId="2" borderId="11" xfId="0" applyFont="1" applyFill="1" applyBorder="1" applyAlignment="1">
      <alignment vertical="top" wrapText="1"/>
    </xf>
    <xf numFmtId="0" fontId="15" fillId="0" borderId="11" xfId="0" applyFont="1" applyBorder="1" applyAlignment="1">
      <alignment horizontal="left" vertical="center"/>
    </xf>
    <xf numFmtId="0" fontId="9" fillId="0" borderId="11" xfId="0" applyFont="1" applyBorder="1" applyAlignment="1">
      <alignment horizontal="left"/>
    </xf>
    <xf numFmtId="0" fontId="16" fillId="0" borderId="0" xfId="0" applyFont="1" applyAlignment="1">
      <alignment horizontal="left"/>
    </xf>
    <xf numFmtId="3" fontId="9" fillId="0" borderId="11" xfId="0" applyNumberFormat="1" applyFont="1" applyBorder="1" applyAlignment="1">
      <alignment horizontal="left"/>
    </xf>
    <xf numFmtId="1" fontId="7" fillId="0" borderId="11" xfId="0" applyNumberFormat="1" applyFont="1" applyBorder="1" applyAlignment="1">
      <alignment horizontal="left" vertical="center" wrapText="1"/>
    </xf>
    <xf numFmtId="1" fontId="7" fillId="0" borderId="12" xfId="0" applyNumberFormat="1" applyFont="1" applyBorder="1" applyAlignment="1">
      <alignment horizontal="left" vertical="center" wrapText="1"/>
    </xf>
    <xf numFmtId="0" fontId="15" fillId="0" borderId="23" xfId="0" applyFont="1" applyBorder="1" applyAlignment="1">
      <alignment horizontal="left" vertical="center"/>
    </xf>
    <xf numFmtId="1" fontId="7" fillId="0" borderId="23" xfId="0" applyNumberFormat="1" applyFont="1" applyBorder="1" applyAlignment="1">
      <alignment horizontal="left" vertical="center" wrapText="1"/>
    </xf>
    <xf numFmtId="3" fontId="10" fillId="0" borderId="11" xfId="0" applyNumberFormat="1" applyFont="1" applyBorder="1" applyAlignment="1">
      <alignment horizontal="left"/>
    </xf>
    <xf numFmtId="0" fontId="10" fillId="0" borderId="11" xfId="0" applyFont="1" applyBorder="1" applyAlignment="1">
      <alignment horizontal="left"/>
    </xf>
    <xf numFmtId="1" fontId="10" fillId="0" borderId="11" xfId="0" applyNumberFormat="1" applyFont="1" applyBorder="1" applyAlignment="1">
      <alignment horizontal="left"/>
    </xf>
    <xf numFmtId="1" fontId="0" fillId="0" borderId="0" xfId="0" applyNumberFormat="1"/>
    <xf numFmtId="0" fontId="17" fillId="0" borderId="11" xfId="0" applyFont="1" applyBorder="1" applyAlignment="1">
      <alignment horizontal="left"/>
    </xf>
    <xf numFmtId="1" fontId="18" fillId="0" borderId="11" xfId="0" applyNumberFormat="1" applyFont="1" applyBorder="1" applyAlignment="1">
      <alignment horizontal="center" vertical="center" wrapText="1"/>
    </xf>
    <xf numFmtId="0" fontId="1" fillId="0" borderId="11" xfId="0" applyFont="1" applyBorder="1" applyAlignment="1">
      <alignment horizontal="center"/>
    </xf>
    <xf numFmtId="3" fontId="17" fillId="0" borderId="11" xfId="0" applyNumberFormat="1" applyFont="1" applyBorder="1" applyAlignment="1">
      <alignment horizontal="left"/>
    </xf>
    <xf numFmtId="1" fontId="18" fillId="0" borderId="11" xfId="0" applyNumberFormat="1" applyFont="1" applyBorder="1" applyAlignment="1">
      <alignment horizontal="left" vertical="center" wrapText="1"/>
    </xf>
    <xf numFmtId="3" fontId="17" fillId="0" borderId="12" xfId="0" applyNumberFormat="1" applyFont="1" applyBorder="1" applyAlignment="1">
      <alignment horizontal="left"/>
    </xf>
    <xf numFmtId="0" fontId="18" fillId="0" borderId="11" xfId="0" applyFont="1" applyBorder="1" applyAlignment="1">
      <alignment horizontal="left"/>
    </xf>
    <xf numFmtId="3" fontId="15" fillId="0" borderId="11" xfId="0" applyNumberFormat="1" applyFont="1" applyBorder="1" applyAlignment="1">
      <alignment horizontal="left" vertical="center"/>
    </xf>
    <xf numFmtId="0" fontId="0" fillId="2" borderId="11" xfId="0" applyFill="1" applyBorder="1" applyAlignment="1">
      <alignment horizontal="left" vertical="center" wrapText="1"/>
    </xf>
    <xf numFmtId="0" fontId="19" fillId="0" borderId="11" xfId="0" applyFont="1" applyBorder="1" applyAlignment="1">
      <alignment horizontal="left"/>
    </xf>
    <xf numFmtId="0" fontId="20" fillId="0" borderId="11" xfId="0" applyFont="1" applyBorder="1" applyAlignment="1">
      <alignment horizontal="left"/>
    </xf>
    <xf numFmtId="3" fontId="20" fillId="0" borderId="11" xfId="0" applyNumberFormat="1" applyFont="1" applyBorder="1" applyAlignment="1">
      <alignment horizontal="left"/>
    </xf>
    <xf numFmtId="1" fontId="20" fillId="0" borderId="11" xfId="0" applyNumberFormat="1" applyFont="1" applyBorder="1" applyAlignment="1">
      <alignment horizontal="left"/>
    </xf>
    <xf numFmtId="3" fontId="7" fillId="0" borderId="11" xfId="0" applyNumberFormat="1" applyFont="1" applyBorder="1" applyAlignment="1">
      <alignment horizontal="left"/>
    </xf>
    <xf numFmtId="1" fontId="7" fillId="0" borderId="11" xfId="0" applyNumberFormat="1" applyFont="1" applyBorder="1" applyAlignment="1">
      <alignment horizontal="left"/>
    </xf>
    <xf numFmtId="0" fontId="7" fillId="0" borderId="11" xfId="0" applyFont="1" applyBorder="1" applyAlignment="1">
      <alignment horizontal="left"/>
    </xf>
    <xf numFmtId="0" fontId="2" fillId="2" borderId="11" xfId="0" applyFont="1" applyFill="1" applyBorder="1" applyAlignment="1">
      <alignment horizontal="left" vertical="top" wrapText="1"/>
    </xf>
    <xf numFmtId="3" fontId="21" fillId="0" borderId="11" xfId="0" applyNumberFormat="1" applyFont="1" applyBorder="1" applyAlignment="1">
      <alignment horizontal="left"/>
    </xf>
    <xf numFmtId="0" fontId="2" fillId="2" borderId="26" xfId="0" applyFont="1" applyFill="1" applyBorder="1" applyAlignment="1">
      <alignment vertical="center" wrapText="1"/>
    </xf>
    <xf numFmtId="0" fontId="2" fillId="2" borderId="27" xfId="0" applyFont="1" applyFill="1" applyBorder="1" applyAlignment="1">
      <alignment horizontal="left" vertical="center" wrapText="1"/>
    </xf>
    <xf numFmtId="0" fontId="2" fillId="2" borderId="7" xfId="0" applyFont="1" applyFill="1" applyBorder="1" applyAlignment="1">
      <alignment vertical="center" wrapText="1"/>
    </xf>
    <xf numFmtId="0" fontId="2" fillId="2" borderId="6" xfId="0" applyFont="1" applyFill="1" applyBorder="1" applyAlignment="1">
      <alignment vertical="top" wrapText="1"/>
    </xf>
    <xf numFmtId="0" fontId="2" fillId="2" borderId="27" xfId="0" applyFont="1" applyFill="1" applyBorder="1" applyAlignment="1">
      <alignment vertical="top" wrapText="1"/>
    </xf>
    <xf numFmtId="0" fontId="2" fillId="2" borderId="7" xfId="0" applyFont="1" applyFill="1" applyBorder="1" applyAlignment="1">
      <alignment vertical="top" wrapText="1"/>
    </xf>
    <xf numFmtId="0" fontId="22" fillId="2" borderId="27" xfId="0" applyFont="1" applyFill="1" applyBorder="1" applyAlignment="1">
      <alignment horizontal="left" vertical="top" wrapText="1"/>
    </xf>
    <xf numFmtId="0" fontId="22" fillId="2" borderId="7" xfId="0" applyFont="1" applyFill="1" applyBorder="1" applyAlignment="1">
      <alignment vertical="top" wrapText="1"/>
    </xf>
    <xf numFmtId="1" fontId="3" fillId="0" borderId="28" xfId="0" applyNumberFormat="1" applyFont="1" applyBorder="1" applyAlignment="1">
      <alignment horizontal="center" vertical="center" wrapText="1"/>
    </xf>
    <xf numFmtId="3" fontId="0" fillId="0" borderId="0" xfId="0" applyNumberFormat="1"/>
    <xf numFmtId="1" fontId="3" fillId="0" borderId="28" xfId="0" applyNumberFormat="1" applyFont="1" applyBorder="1" applyAlignment="1">
      <alignment horizontal="left" vertical="center" wrapText="1"/>
    </xf>
    <xf numFmtId="1" fontId="3" fillId="0" borderId="29" xfId="0" applyNumberFormat="1" applyFont="1" applyBorder="1" applyAlignment="1">
      <alignment horizontal="left" vertical="center" wrapText="1"/>
    </xf>
    <xf numFmtId="0" fontId="7" fillId="0" borderId="11" xfId="0" applyFont="1" applyBorder="1" applyAlignment="1">
      <alignment horizontal="center"/>
    </xf>
    <xf numFmtId="3" fontId="19" fillId="0" borderId="11" xfId="0" applyNumberFormat="1" applyFont="1" applyBorder="1" applyAlignment="1">
      <alignment horizontal="left"/>
    </xf>
    <xf numFmtId="3" fontId="19" fillId="0" borderId="12" xfId="0" applyNumberFormat="1" applyFont="1" applyBorder="1" applyAlignment="1">
      <alignment horizontal="left"/>
    </xf>
    <xf numFmtId="0" fontId="23" fillId="2" borderId="27" xfId="0" applyFont="1" applyFill="1" applyBorder="1" applyAlignment="1">
      <alignment horizontal="left"/>
    </xf>
    <xf numFmtId="16" fontId="23" fillId="2" borderId="30" xfId="0" applyNumberFormat="1" applyFont="1" applyFill="1" applyBorder="1" applyAlignment="1">
      <alignment horizontal="left"/>
    </xf>
    <xf numFmtId="16" fontId="23" fillId="2" borderId="5" xfId="0" applyNumberFormat="1" applyFont="1" applyFill="1" applyBorder="1" applyAlignment="1">
      <alignment horizontal="left"/>
    </xf>
    <xf numFmtId="16" fontId="23" fillId="2" borderId="30" xfId="0" applyNumberFormat="1" applyFont="1" applyFill="1" applyBorder="1" applyAlignment="1">
      <alignment horizontal="center"/>
    </xf>
    <xf numFmtId="16" fontId="23" fillId="2" borderId="7" xfId="0" applyNumberFormat="1" applyFont="1" applyFill="1" applyBorder="1" applyAlignment="1">
      <alignment horizontal="center" vertical="center"/>
    </xf>
    <xf numFmtId="0" fontId="24" fillId="4" borderId="21" xfId="0" applyFont="1" applyFill="1" applyBorder="1" applyAlignment="1">
      <alignment horizontal="left" vertical="top" wrapText="1"/>
    </xf>
    <xf numFmtId="0" fontId="25" fillId="3" borderId="11" xfId="0" applyFont="1" applyFill="1" applyBorder="1" applyAlignment="1">
      <alignment horizontal="center" vertical="top" wrapText="1"/>
    </xf>
    <xf numFmtId="0" fontId="27" fillId="3" borderId="11" xfId="0" applyFont="1" applyFill="1" applyBorder="1" applyAlignment="1">
      <alignment horizontal="center" vertical="top" wrapText="1"/>
    </xf>
    <xf numFmtId="0" fontId="25" fillId="3" borderId="25" xfId="0" applyFont="1" applyFill="1" applyBorder="1" applyAlignment="1">
      <alignment horizontal="center" vertical="top" wrapText="1"/>
    </xf>
    <xf numFmtId="0" fontId="26" fillId="3" borderId="11" xfId="0" applyFont="1" applyFill="1" applyBorder="1" applyAlignment="1">
      <alignment horizontal="center" vertical="top" wrapText="1"/>
    </xf>
    <xf numFmtId="0" fontId="25" fillId="3" borderId="24" xfId="0" applyFont="1" applyFill="1" applyBorder="1" applyAlignment="1">
      <alignment horizontal="center" vertical="top" wrapText="1"/>
    </xf>
    <xf numFmtId="0" fontId="26" fillId="3" borderId="24" xfId="0" applyFont="1" applyFill="1" applyBorder="1" applyAlignment="1">
      <alignment horizontal="center" vertical="center" wrapText="1"/>
    </xf>
    <xf numFmtId="1" fontId="28" fillId="4" borderId="21" xfId="0" applyNumberFormat="1" applyFont="1" applyFill="1" applyBorder="1" applyAlignment="1">
      <alignment horizontal="left" vertical="top" shrinkToFit="1"/>
    </xf>
    <xf numFmtId="166" fontId="29" fillId="0" borderId="11" xfId="0" applyNumberFormat="1" applyFont="1" applyBorder="1" applyAlignment="1">
      <alignment horizontal="center" vertical="center" shrinkToFit="1"/>
    </xf>
    <xf numFmtId="0" fontId="30" fillId="0" borderId="11" xfId="0" applyFont="1" applyBorder="1" applyAlignment="1">
      <alignment horizontal="center" vertical="center"/>
    </xf>
    <xf numFmtId="166" fontId="29" fillId="0" borderId="25" xfId="0" applyNumberFormat="1" applyFont="1" applyBorder="1" applyAlignment="1">
      <alignment horizontal="center" vertical="center" shrinkToFit="1"/>
    </xf>
    <xf numFmtId="1" fontId="31" fillId="0" borderId="11" xfId="0" applyNumberFormat="1" applyFont="1" applyBorder="1" applyAlignment="1">
      <alignment horizontal="center" vertical="center"/>
    </xf>
    <xf numFmtId="166" fontId="29" fillId="0" borderId="24" xfId="0" applyNumberFormat="1" applyFont="1" applyBorder="1" applyAlignment="1">
      <alignment horizontal="center" vertical="center" shrinkToFit="1"/>
    </xf>
    <xf numFmtId="166" fontId="32" fillId="0" borderId="24" xfId="0" applyNumberFormat="1" applyFont="1" applyBorder="1" applyAlignment="1">
      <alignment horizontal="center" vertical="center" shrinkToFit="1"/>
    </xf>
    <xf numFmtId="166" fontId="0" fillId="0" borderId="0" xfId="0" applyNumberFormat="1"/>
    <xf numFmtId="166" fontId="32" fillId="0" borderId="0" xfId="0" applyNumberFormat="1" applyFont="1" applyAlignment="1">
      <alignment horizontal="center" vertical="top" shrinkToFit="1"/>
    </xf>
    <xf numFmtId="1" fontId="33" fillId="4" borderId="21" xfId="0" applyNumberFormat="1" applyFont="1" applyFill="1" applyBorder="1" applyAlignment="1">
      <alignment horizontal="right" vertical="center" wrapText="1"/>
    </xf>
    <xf numFmtId="1" fontId="34" fillId="0" borderId="11" xfId="0" applyNumberFormat="1" applyFont="1" applyBorder="1" applyAlignment="1">
      <alignment horizontal="center" vertical="center" wrapText="1"/>
    </xf>
    <xf numFmtId="1" fontId="34" fillId="0" borderId="11" xfId="0" applyNumberFormat="1" applyFont="1" applyBorder="1" applyAlignment="1">
      <alignment horizontal="center" vertical="center"/>
    </xf>
    <xf numFmtId="1" fontId="35" fillId="0" borderId="11" xfId="0" applyNumberFormat="1" applyFont="1" applyBorder="1" applyAlignment="1">
      <alignment horizontal="center" vertical="center" wrapText="1"/>
    </xf>
    <xf numFmtId="1" fontId="20" fillId="0" borderId="31" xfId="0" applyNumberFormat="1" applyFont="1" applyBorder="1" applyAlignment="1">
      <alignment horizontal="center" vertical="center" wrapText="1"/>
    </xf>
    <xf numFmtId="166" fontId="0" fillId="0" borderId="31" xfId="0" applyNumberFormat="1" applyBorder="1" applyAlignment="1">
      <alignment horizontal="center" vertical="center" wrapText="1"/>
    </xf>
    <xf numFmtId="1" fontId="36" fillId="0" borderId="0" xfId="0" applyNumberFormat="1" applyFont="1" applyAlignment="1">
      <alignment vertical="center"/>
    </xf>
    <xf numFmtId="0" fontId="26" fillId="3" borderId="11" xfId="0" applyFont="1" applyFill="1" applyBorder="1" applyAlignment="1">
      <alignment horizontal="center" vertical="center" wrapText="1"/>
    </xf>
    <xf numFmtId="0" fontId="26" fillId="3" borderId="25" xfId="0" applyFont="1" applyFill="1" applyBorder="1" applyAlignment="1">
      <alignment horizontal="center" vertical="center" wrapText="1"/>
    </xf>
    <xf numFmtId="2" fontId="37" fillId="0" borderId="11" xfId="0" applyNumberFormat="1" applyFont="1" applyBorder="1" applyAlignment="1">
      <alignment horizontal="center" vertical="center" shrinkToFit="1"/>
    </xf>
    <xf numFmtId="2" fontId="37" fillId="0" borderId="25" xfId="0" applyNumberFormat="1" applyFont="1" applyBorder="1" applyAlignment="1">
      <alignment horizontal="center" vertical="center" shrinkToFit="1"/>
    </xf>
    <xf numFmtId="2" fontId="37" fillId="0" borderId="24" xfId="0" applyNumberFormat="1" applyFont="1" applyBorder="1" applyAlignment="1">
      <alignment horizontal="center" vertical="center" shrinkToFit="1"/>
    </xf>
    <xf numFmtId="2" fontId="38" fillId="0" borderId="24" xfId="0" applyNumberFormat="1" applyFont="1" applyBorder="1" applyAlignment="1">
      <alignment horizontal="center" vertical="center" shrinkToFit="1"/>
    </xf>
    <xf numFmtId="1" fontId="37" fillId="0" borderId="11" xfId="0" applyNumberFormat="1" applyFont="1" applyBorder="1" applyAlignment="1">
      <alignment horizontal="center" vertical="center" shrinkToFit="1"/>
    </xf>
    <xf numFmtId="1" fontId="37" fillId="0" borderId="25" xfId="0" applyNumberFormat="1" applyFont="1" applyBorder="1" applyAlignment="1">
      <alignment horizontal="center" vertical="center" shrinkToFit="1"/>
    </xf>
    <xf numFmtId="1" fontId="37" fillId="0" borderId="24" xfId="0" applyNumberFormat="1" applyFont="1" applyBorder="1" applyAlignment="1">
      <alignment horizontal="center" vertical="center" shrinkToFit="1"/>
    </xf>
    <xf numFmtId="1" fontId="38" fillId="0" borderId="24" xfId="0" applyNumberFormat="1" applyFont="1" applyBorder="1" applyAlignment="1">
      <alignment horizontal="center" vertical="center" shrinkToFit="1"/>
    </xf>
    <xf numFmtId="0" fontId="39" fillId="0" borderId="11" xfId="0" applyFont="1" applyBorder="1" applyAlignment="1">
      <alignment horizontal="center" vertical="center"/>
    </xf>
    <xf numFmtId="0" fontId="33" fillId="4" borderId="21" xfId="0" applyFont="1" applyFill="1" applyBorder="1" applyAlignment="1">
      <alignment horizontal="left" wrapText="1"/>
    </xf>
    <xf numFmtId="0" fontId="20" fillId="0" borderId="11" xfId="0" applyFont="1" applyBorder="1" applyAlignment="1">
      <alignment horizontal="center" vertical="center" wrapText="1"/>
    </xf>
    <xf numFmtId="0" fontId="20" fillId="0" borderId="11" xfId="0" applyFont="1" applyBorder="1" applyAlignment="1">
      <alignment horizontal="center" vertical="center"/>
    </xf>
    <xf numFmtId="0" fontId="20" fillId="0" borderId="25" xfId="0" applyFont="1" applyBorder="1" applyAlignment="1">
      <alignment horizontal="center" vertical="center" wrapText="1"/>
    </xf>
    <xf numFmtId="0" fontId="20" fillId="0" borderId="31" xfId="0" applyFont="1" applyBorder="1" applyAlignment="1">
      <alignment horizontal="center" vertical="center" wrapText="1"/>
    </xf>
    <xf numFmtId="0" fontId="0" fillId="0" borderId="31" xfId="0" applyBorder="1" applyAlignment="1">
      <alignment horizontal="center" vertical="center" wrapText="1"/>
    </xf>
    <xf numFmtId="0" fontId="24" fillId="4" borderId="21" xfId="0" applyFont="1" applyFill="1" applyBorder="1" applyAlignment="1">
      <alignment horizontal="left" vertical="center" wrapText="1"/>
    </xf>
    <xf numFmtId="167" fontId="37" fillId="0" borderId="11" xfId="0" applyNumberFormat="1" applyFont="1" applyBorder="1" applyAlignment="1">
      <alignment horizontal="center" vertical="center" shrinkToFit="1"/>
    </xf>
    <xf numFmtId="167" fontId="37" fillId="0" borderId="25" xfId="0" applyNumberFormat="1" applyFont="1" applyBorder="1" applyAlignment="1">
      <alignment horizontal="center" vertical="center" shrinkToFit="1"/>
    </xf>
    <xf numFmtId="0" fontId="40" fillId="0" borderId="11" xfId="0" applyFont="1" applyBorder="1" applyAlignment="1">
      <alignment horizontal="center" vertical="center"/>
    </xf>
    <xf numFmtId="167" fontId="37" fillId="0" borderId="24" xfId="0" applyNumberFormat="1" applyFont="1" applyBorder="1" applyAlignment="1">
      <alignment horizontal="center" vertical="center" shrinkToFit="1"/>
    </xf>
    <xf numFmtId="167" fontId="38" fillId="0" borderId="24" xfId="0" applyNumberFormat="1" applyFont="1" applyBorder="1" applyAlignment="1">
      <alignment horizontal="center" vertical="center" shrinkToFit="1"/>
    </xf>
    <xf numFmtId="0" fontId="37" fillId="0" borderId="11" xfId="0" applyFont="1" applyBorder="1" applyAlignment="1">
      <alignment horizontal="center" vertical="center" wrapText="1"/>
    </xf>
    <xf numFmtId="0" fontId="37" fillId="0" borderId="25" xfId="0" applyFont="1" applyBorder="1" applyAlignment="1">
      <alignment horizontal="center" vertical="center" wrapText="1"/>
    </xf>
    <xf numFmtId="0" fontId="39" fillId="0" borderId="11" xfId="0" applyFont="1" applyBorder="1" applyAlignment="1">
      <alignment horizontal="center" vertical="center" wrapText="1"/>
    </xf>
    <xf numFmtId="0" fontId="37" fillId="0" borderId="24" xfId="0" applyFont="1" applyBorder="1" applyAlignment="1">
      <alignment horizontal="center" vertical="center" wrapText="1"/>
    </xf>
    <xf numFmtId="1" fontId="39" fillId="0" borderId="11" xfId="0" applyNumberFormat="1" applyFont="1" applyBorder="1" applyAlignment="1">
      <alignment horizontal="center" vertical="center" shrinkToFit="1"/>
    </xf>
    <xf numFmtId="0" fontId="33" fillId="4" borderId="21" xfId="0" applyFont="1" applyFill="1" applyBorder="1" applyAlignment="1">
      <alignment horizontal="left" vertical="center" wrapText="1"/>
    </xf>
    <xf numFmtId="0" fontId="24" fillId="4" borderId="22" xfId="0" applyFont="1" applyFill="1" applyBorder="1" applyAlignment="1">
      <alignment horizontal="left" vertical="top" wrapText="1"/>
    </xf>
    <xf numFmtId="1" fontId="37" fillId="0" borderId="15" xfId="0" applyNumberFormat="1" applyFont="1" applyBorder="1" applyAlignment="1">
      <alignment horizontal="center" vertical="center" shrinkToFi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6" fontId="41" fillId="2" borderId="30" xfId="0" applyNumberFormat="1" applyFont="1" applyFill="1" applyBorder="1" applyAlignment="1">
      <alignment horizontal="left"/>
    </xf>
    <xf numFmtId="0" fontId="26" fillId="3" borderId="25" xfId="0" applyFont="1" applyFill="1" applyBorder="1" applyAlignment="1">
      <alignment horizontal="center" vertical="top" wrapText="1"/>
    </xf>
    <xf numFmtId="166" fontId="32" fillId="0" borderId="24" xfId="0" applyNumberFormat="1" applyFont="1" applyBorder="1" applyAlignment="1">
      <alignment horizontal="center" vertical="top" shrinkToFit="1"/>
    </xf>
    <xf numFmtId="166" fontId="42" fillId="0" borderId="24" xfId="0" applyNumberFormat="1" applyFont="1" applyBorder="1" applyAlignment="1">
      <alignment horizontal="center" vertical="top" shrinkToFit="1"/>
    </xf>
    <xf numFmtId="166" fontId="32" fillId="0" borderId="35" xfId="0" applyNumberFormat="1" applyFont="1" applyBorder="1" applyAlignment="1">
      <alignment horizontal="center" vertical="top" shrinkToFit="1"/>
    </xf>
    <xf numFmtId="166" fontId="29" fillId="0" borderId="36" xfId="0" applyNumberFormat="1" applyFont="1" applyBorder="1" applyAlignment="1">
      <alignment horizontal="center" vertical="center" shrinkToFit="1"/>
    </xf>
    <xf numFmtId="166" fontId="42" fillId="0" borderId="35" xfId="0" applyNumberFormat="1" applyFont="1" applyBorder="1" applyAlignment="1">
      <alignment horizontal="center" vertical="top" shrinkToFit="1"/>
    </xf>
    <xf numFmtId="166" fontId="0" fillId="0" borderId="11" xfId="0" applyNumberFormat="1" applyBorder="1" applyAlignment="1">
      <alignment wrapText="1"/>
    </xf>
    <xf numFmtId="166" fontId="20" fillId="0" borderId="11" xfId="0" applyNumberFormat="1" applyFont="1" applyBorder="1" applyAlignment="1">
      <alignment wrapText="1"/>
    </xf>
    <xf numFmtId="0" fontId="25" fillId="0" borderId="37" xfId="0" applyFont="1" applyBorder="1" applyAlignment="1">
      <alignment horizontal="center" vertical="top" wrapText="1"/>
    </xf>
    <xf numFmtId="0" fontId="26" fillId="0" borderId="38" xfId="0" applyFont="1" applyBorder="1" applyAlignment="1">
      <alignment horizontal="center" vertical="top" wrapText="1"/>
    </xf>
    <xf numFmtId="0" fontId="26" fillId="0" borderId="24" xfId="0" applyFont="1" applyBorder="1" applyAlignment="1">
      <alignment horizontal="center" vertical="top" wrapText="1"/>
    </xf>
    <xf numFmtId="0" fontId="25" fillId="0" borderId="24" xfId="0" applyFont="1" applyBorder="1" applyAlignment="1">
      <alignment horizontal="center" vertical="top" wrapText="1"/>
    </xf>
    <xf numFmtId="2" fontId="38" fillId="0" borderId="24" xfId="0" applyNumberFormat="1" applyFont="1" applyBorder="1" applyAlignment="1">
      <alignment horizontal="center" vertical="top" shrinkToFit="1"/>
    </xf>
    <xf numFmtId="2" fontId="37" fillId="0" borderId="24" xfId="0" applyNumberFormat="1" applyFont="1" applyBorder="1" applyAlignment="1">
      <alignment horizontal="center" vertical="top" shrinkToFit="1"/>
    </xf>
    <xf numFmtId="1" fontId="38" fillId="0" borderId="24" xfId="0" applyNumberFormat="1" applyFont="1" applyBorder="1" applyAlignment="1">
      <alignment horizontal="center" vertical="top" shrinkToFit="1"/>
    </xf>
    <xf numFmtId="1" fontId="37" fillId="0" borderId="24" xfId="0" applyNumberFormat="1" applyFont="1" applyBorder="1" applyAlignment="1">
      <alignment horizontal="center" vertical="top" shrinkToFit="1"/>
    </xf>
    <xf numFmtId="0" fontId="0" fillId="0" borderId="31" xfId="0" applyBorder="1" applyAlignment="1">
      <alignment wrapText="1"/>
    </xf>
    <xf numFmtId="0" fontId="26" fillId="0" borderId="11" xfId="0" applyFont="1" applyBorder="1" applyAlignment="1">
      <alignment horizontal="center" vertical="center" wrapText="1"/>
    </xf>
    <xf numFmtId="167" fontId="38" fillId="0" borderId="24" xfId="0" applyNumberFormat="1" applyFont="1" applyBorder="1" applyAlignment="1">
      <alignment horizontal="center" vertical="top" shrinkToFit="1"/>
    </xf>
    <xf numFmtId="0" fontId="37" fillId="0" borderId="0" xfId="0" applyFont="1" applyAlignment="1">
      <alignment horizontal="center" vertical="top" wrapText="1"/>
    </xf>
    <xf numFmtId="167" fontId="37" fillId="0" borderId="11" xfId="0" applyNumberFormat="1" applyFont="1" applyBorder="1" applyAlignment="1">
      <alignment horizontal="center" vertical="top" shrinkToFit="1"/>
    </xf>
    <xf numFmtId="0" fontId="43" fillId="0" borderId="24" xfId="0" applyFont="1" applyBorder="1" applyAlignment="1">
      <alignment horizontal="center" vertical="top" wrapText="1"/>
    </xf>
    <xf numFmtId="0" fontId="37" fillId="0" borderId="24" xfId="0" applyFont="1" applyBorder="1" applyAlignment="1">
      <alignment horizontal="center" vertical="top" wrapText="1"/>
    </xf>
    <xf numFmtId="0" fontId="0" fillId="0" borderId="24" xfId="0" applyBorder="1" applyAlignment="1">
      <alignment horizontal="left" wrapText="1"/>
    </xf>
    <xf numFmtId="1" fontId="37" fillId="0" borderId="11" xfId="0" applyNumberFormat="1" applyFont="1" applyBorder="1" applyAlignment="1">
      <alignment horizontal="center" vertical="top" shrinkToFit="1"/>
    </xf>
    <xf numFmtId="0" fontId="0" fillId="0" borderId="31" xfId="0" applyBorder="1" applyAlignment="1">
      <alignment vertical="center" wrapText="1"/>
    </xf>
    <xf numFmtId="0" fontId="26" fillId="0" borderId="11" xfId="0" applyFont="1" applyBorder="1" applyAlignment="1">
      <alignment horizontal="center" vertical="top" wrapText="1"/>
    </xf>
    <xf numFmtId="0" fontId="37" fillId="0" borderId="11" xfId="0" applyFont="1" applyBorder="1" applyAlignment="1">
      <alignment horizontal="center" vertical="top" wrapText="1"/>
    </xf>
    <xf numFmtId="0" fontId="20" fillId="0" borderId="0" xfId="0" applyFont="1" applyAlignment="1">
      <alignment horizontal="left"/>
    </xf>
    <xf numFmtId="0" fontId="26" fillId="3" borderId="24" xfId="0" applyFont="1" applyFill="1" applyBorder="1" applyAlignment="1">
      <alignment horizontal="center" vertical="top" wrapText="1"/>
    </xf>
    <xf numFmtId="166" fontId="44" fillId="0" borderId="24" xfId="0" applyNumberFormat="1" applyFont="1" applyBorder="1" applyAlignment="1">
      <alignment horizontal="center" vertical="top" shrinkToFit="1"/>
    </xf>
    <xf numFmtId="168" fontId="42" fillId="0" borderId="24" xfId="0" applyNumberFormat="1" applyFont="1" applyBorder="1" applyAlignment="1">
      <alignment horizontal="center" vertical="top" shrinkToFit="1"/>
    </xf>
    <xf numFmtId="1" fontId="42" fillId="0" borderId="24" xfId="0" applyNumberFormat="1" applyFont="1" applyBorder="1" applyAlignment="1">
      <alignment horizontal="center" vertical="top" shrinkToFit="1"/>
    </xf>
    <xf numFmtId="1" fontId="44" fillId="0" borderId="24" xfId="0" applyNumberFormat="1" applyFont="1" applyBorder="1" applyAlignment="1">
      <alignment horizontal="center" vertical="top" shrinkToFit="1"/>
    </xf>
    <xf numFmtId="166" fontId="2" fillId="0" borderId="31" xfId="0" applyNumberFormat="1" applyFont="1" applyBorder="1" applyAlignment="1">
      <alignment vertical="center" wrapText="1"/>
    </xf>
    <xf numFmtId="0" fontId="45" fillId="0" borderId="24" xfId="0" applyFont="1" applyBorder="1" applyAlignment="1">
      <alignment horizontal="center" vertical="top" wrapText="1"/>
    </xf>
    <xf numFmtId="2" fontId="47" fillId="0" borderId="24" xfId="0" applyNumberFormat="1" applyFont="1" applyBorder="1" applyAlignment="1">
      <alignment horizontal="center" vertical="top" shrinkToFit="1"/>
    </xf>
    <xf numFmtId="1" fontId="47" fillId="0" borderId="24" xfId="0" applyNumberFormat="1" applyFont="1" applyBorder="1" applyAlignment="1">
      <alignment horizontal="center" vertical="top" shrinkToFit="1"/>
    </xf>
    <xf numFmtId="166" fontId="0" fillId="0" borderId="31" xfId="0" applyNumberFormat="1" applyBorder="1" applyAlignment="1">
      <alignment wrapText="1"/>
    </xf>
    <xf numFmtId="1" fontId="0" fillId="0" borderId="31" xfId="0" applyNumberFormat="1" applyBorder="1" applyAlignment="1">
      <alignment wrapText="1"/>
    </xf>
    <xf numFmtId="167" fontId="47" fillId="0" borderId="24" xfId="0" applyNumberFormat="1" applyFont="1" applyBorder="1" applyAlignment="1">
      <alignment horizontal="center" vertical="top" shrinkToFit="1"/>
    </xf>
    <xf numFmtId="0" fontId="48" fillId="0" borderId="24" xfId="0" applyFont="1" applyBorder="1" applyAlignment="1">
      <alignment horizontal="center" vertical="top" wrapText="1"/>
    </xf>
    <xf numFmtId="0" fontId="49" fillId="0" borderId="24" xfId="0" applyFont="1" applyBorder="1" applyAlignment="1">
      <alignment horizontal="center" vertical="top" wrapText="1"/>
    </xf>
    <xf numFmtId="0" fontId="24" fillId="4" borderId="24" xfId="0" applyFont="1" applyFill="1" applyBorder="1" applyAlignment="1">
      <alignment horizontal="left" vertical="top" wrapText="1"/>
    </xf>
    <xf numFmtId="0" fontId="48" fillId="0" borderId="24" xfId="0" applyFont="1" applyBorder="1" applyAlignment="1">
      <alignment horizontal="center" vertical="center" wrapText="1"/>
    </xf>
    <xf numFmtId="0" fontId="49" fillId="0" borderId="24" xfId="0" applyFont="1" applyBorder="1" applyAlignment="1">
      <alignment horizontal="center" vertical="center" wrapText="1"/>
    </xf>
    <xf numFmtId="0" fontId="26" fillId="2" borderId="24" xfId="0" applyFont="1" applyFill="1" applyBorder="1" applyAlignment="1">
      <alignment horizontal="center" vertical="top" wrapText="1"/>
    </xf>
    <xf numFmtId="0" fontId="26" fillId="2" borderId="24" xfId="0" applyFont="1" applyFill="1" applyBorder="1" applyAlignment="1">
      <alignment horizontal="center" vertical="center" wrapText="1"/>
    </xf>
    <xf numFmtId="166" fontId="42" fillId="2" borderId="24" xfId="0" applyNumberFormat="1" applyFont="1" applyFill="1" applyBorder="1" applyAlignment="1">
      <alignment horizontal="center" vertical="top" shrinkToFit="1"/>
    </xf>
    <xf numFmtId="166" fontId="44" fillId="2" borderId="24" xfId="0" applyNumberFormat="1" applyFont="1" applyFill="1" applyBorder="1" applyAlignment="1">
      <alignment horizontal="center" vertical="top" shrinkToFit="1"/>
    </xf>
    <xf numFmtId="1" fontId="42" fillId="2" borderId="24" xfId="0" applyNumberFormat="1" applyFont="1" applyFill="1" applyBorder="1" applyAlignment="1">
      <alignment horizontal="center" vertical="top" shrinkToFit="1"/>
    </xf>
    <xf numFmtId="1" fontId="44" fillId="2" borderId="24" xfId="0" applyNumberFormat="1" applyFont="1" applyFill="1" applyBorder="1" applyAlignment="1">
      <alignment horizontal="center" vertical="top" shrinkToFit="1"/>
    </xf>
    <xf numFmtId="166" fontId="2" fillId="2" borderId="31" xfId="0" applyNumberFormat="1" applyFont="1" applyFill="1" applyBorder="1" applyAlignment="1">
      <alignment vertical="center" wrapText="1"/>
    </xf>
    <xf numFmtId="2" fontId="38" fillId="2" borderId="24" xfId="0" applyNumberFormat="1" applyFont="1" applyFill="1" applyBorder="1" applyAlignment="1">
      <alignment horizontal="center" vertical="top" shrinkToFit="1"/>
    </xf>
    <xf numFmtId="2" fontId="47" fillId="2" borderId="24" xfId="0" applyNumberFormat="1" applyFont="1" applyFill="1" applyBorder="1" applyAlignment="1">
      <alignment horizontal="center" vertical="top" shrinkToFit="1"/>
    </xf>
    <xf numFmtId="1" fontId="38" fillId="2" borderId="24" xfId="0" applyNumberFormat="1" applyFont="1" applyFill="1" applyBorder="1" applyAlignment="1">
      <alignment horizontal="center" vertical="top" shrinkToFit="1"/>
    </xf>
    <xf numFmtId="1" fontId="47" fillId="2" borderId="24" xfId="0" applyNumberFormat="1" applyFont="1" applyFill="1" applyBorder="1" applyAlignment="1">
      <alignment horizontal="center" vertical="top" shrinkToFit="1"/>
    </xf>
    <xf numFmtId="0" fontId="0" fillId="2" borderId="31" xfId="0" applyFill="1" applyBorder="1" applyAlignment="1">
      <alignment wrapText="1"/>
    </xf>
    <xf numFmtId="167" fontId="38" fillId="2" borderId="24" xfId="0" applyNumberFormat="1" applyFont="1" applyFill="1" applyBorder="1" applyAlignment="1">
      <alignment horizontal="center" vertical="top" shrinkToFit="1"/>
    </xf>
    <xf numFmtId="0" fontId="37" fillId="2" borderId="24" xfId="0" applyFont="1" applyFill="1" applyBorder="1" applyAlignment="1">
      <alignment horizontal="center" vertical="top" wrapText="1"/>
    </xf>
    <xf numFmtId="0" fontId="48" fillId="2" borderId="24" xfId="0" applyFont="1" applyFill="1" applyBorder="1" applyAlignment="1">
      <alignment horizontal="center" vertical="top" wrapText="1"/>
    </xf>
    <xf numFmtId="0" fontId="0" fillId="2" borderId="31" xfId="0" applyFill="1" applyBorder="1" applyAlignment="1">
      <alignment vertical="center" wrapText="1"/>
    </xf>
    <xf numFmtId="0" fontId="37" fillId="2" borderId="24" xfId="0" applyFont="1" applyFill="1" applyBorder="1" applyAlignment="1">
      <alignment horizontal="center" vertical="center" wrapText="1"/>
    </xf>
    <xf numFmtId="0" fontId="48" fillId="2" borderId="24" xfId="0" applyFont="1" applyFill="1" applyBorder="1" applyAlignment="1">
      <alignment horizontal="center" vertical="center" wrapText="1"/>
    </xf>
    <xf numFmtId="0" fontId="0" fillId="2" borderId="0" xfId="0" applyFill="1" applyAlignment="1">
      <alignment horizontal="center"/>
    </xf>
    <xf numFmtId="0" fontId="0" fillId="2" borderId="0" xfId="0" applyFill="1" applyAlignment="1">
      <alignment horizontal="center" vertical="center"/>
    </xf>
    <xf numFmtId="166" fontId="50" fillId="0" borderId="24" xfId="0" applyNumberFormat="1" applyFont="1" applyBorder="1" applyAlignment="1">
      <alignment horizontal="center" vertical="top" shrinkToFit="1"/>
    </xf>
    <xf numFmtId="169" fontId="50" fillId="0" borderId="24" xfId="0" applyNumberFormat="1" applyFont="1" applyBorder="1" applyAlignment="1">
      <alignment horizontal="center" vertical="top" shrinkToFit="1"/>
    </xf>
    <xf numFmtId="1" fontId="50" fillId="0" borderId="24" xfId="0" applyNumberFormat="1" applyFont="1" applyBorder="1" applyAlignment="1">
      <alignment horizontal="center" vertical="top" shrinkToFit="1"/>
    </xf>
    <xf numFmtId="0" fontId="46" fillId="0" borderId="24" xfId="0" applyFont="1" applyBorder="1" applyAlignment="1">
      <alignment horizontal="center" vertical="top" wrapText="1"/>
    </xf>
    <xf numFmtId="166" fontId="50" fillId="0" borderId="24" xfId="0" applyNumberFormat="1" applyFont="1" applyBorder="1" applyAlignment="1">
      <alignment vertical="top" shrinkToFit="1"/>
    </xf>
    <xf numFmtId="1" fontId="50" fillId="0" borderId="24" xfId="0" applyNumberFormat="1" applyFont="1" applyBorder="1" applyAlignment="1">
      <alignment vertical="top" shrinkToFit="1"/>
    </xf>
    <xf numFmtId="0" fontId="0" fillId="0" borderId="31" xfId="0" applyBorder="1" applyAlignment="1">
      <alignment horizontal="left" wrapText="1"/>
    </xf>
    <xf numFmtId="0" fontId="45" fillId="0" borderId="24" xfId="0" applyFont="1" applyBorder="1" applyAlignment="1">
      <alignment vertical="top" wrapText="1"/>
    </xf>
    <xf numFmtId="2" fontId="47" fillId="0" borderId="24" xfId="0" applyNumberFormat="1" applyFont="1" applyBorder="1" applyAlignment="1">
      <alignment vertical="top" shrinkToFit="1"/>
    </xf>
    <xf numFmtId="1" fontId="47" fillId="0" borderId="24" xfId="0" applyNumberFormat="1" applyFont="1" applyBorder="1" applyAlignment="1">
      <alignment vertical="top" shrinkToFit="1"/>
    </xf>
    <xf numFmtId="167" fontId="47" fillId="0" borderId="24" xfId="0" applyNumberFormat="1" applyFont="1" applyBorder="1" applyAlignment="1">
      <alignment vertical="top" shrinkToFit="1"/>
    </xf>
    <xf numFmtId="0" fontId="49" fillId="0" borderId="24" xfId="0" applyFont="1" applyBorder="1" applyAlignment="1">
      <alignment vertical="top" wrapText="1"/>
    </xf>
    <xf numFmtId="0" fontId="49" fillId="0" borderId="24" xfId="0" applyFont="1" applyBorder="1" applyAlignment="1">
      <alignment vertical="center" wrapText="1"/>
    </xf>
    <xf numFmtId="166" fontId="50" fillId="0" borderId="35" xfId="0" applyNumberFormat="1" applyFont="1" applyBorder="1" applyAlignment="1">
      <alignment horizontal="center" vertical="top" shrinkToFit="1"/>
    </xf>
    <xf numFmtId="166" fontId="50" fillId="0" borderId="35" xfId="0" applyNumberFormat="1" applyFont="1" applyBorder="1" applyAlignment="1">
      <alignment vertical="top" shrinkToFit="1"/>
    </xf>
    <xf numFmtId="0" fontId="46" fillId="0" borderId="37" xfId="0" applyFont="1" applyBorder="1" applyAlignment="1">
      <alignment horizontal="center" vertical="top" wrapText="1"/>
    </xf>
    <xf numFmtId="0" fontId="45" fillId="0" borderId="37" xfId="0" applyFont="1" applyBorder="1" applyAlignment="1">
      <alignment horizontal="center" vertical="top" wrapText="1"/>
    </xf>
    <xf numFmtId="0" fontId="45" fillId="0" borderId="37" xfId="0" applyFont="1" applyBorder="1" applyAlignment="1">
      <alignment vertical="top" wrapText="1"/>
    </xf>
    <xf numFmtId="166" fontId="2" fillId="0" borderId="11" xfId="0" applyNumberFormat="1" applyFont="1" applyBorder="1" applyAlignment="1">
      <alignment wrapText="1"/>
    </xf>
    <xf numFmtId="0" fontId="2" fillId="0" borderId="31" xfId="0" applyFont="1" applyBorder="1" applyAlignment="1">
      <alignment horizontal="left" wrapText="1"/>
    </xf>
    <xf numFmtId="0" fontId="0" fillId="0" borderId="31" xfId="0" applyBorder="1"/>
    <xf numFmtId="166" fontId="50" fillId="0" borderId="24" xfId="0" applyNumberFormat="1" applyFont="1" applyBorder="1" applyAlignment="1">
      <alignment horizontal="center" vertical="top" wrapText="1" shrinkToFit="1"/>
    </xf>
    <xf numFmtId="1" fontId="50" fillId="0" borderId="24" xfId="0" applyNumberFormat="1" applyFont="1" applyBorder="1" applyAlignment="1">
      <alignment horizontal="center" vertical="top" wrapText="1" shrinkToFit="1"/>
    </xf>
    <xf numFmtId="2" fontId="47" fillId="0" borderId="24" xfId="0" applyNumberFormat="1" applyFont="1" applyBorder="1" applyAlignment="1">
      <alignment horizontal="center" vertical="top" wrapText="1" shrinkToFit="1"/>
    </xf>
    <xf numFmtId="1" fontId="47" fillId="0" borderId="24" xfId="0" applyNumberFormat="1" applyFont="1" applyBorder="1" applyAlignment="1">
      <alignment horizontal="center" vertical="top" wrapText="1" shrinkToFit="1"/>
    </xf>
    <xf numFmtId="167" fontId="47" fillId="0" borderId="24" xfId="0" applyNumberFormat="1" applyFont="1" applyBorder="1" applyAlignment="1">
      <alignment horizontal="center" vertical="top" wrapText="1" shrinkToFit="1"/>
    </xf>
    <xf numFmtId="0" fontId="2" fillId="2" borderId="11" xfId="0" applyFont="1" applyFill="1" applyBorder="1" applyAlignment="1">
      <alignment vertical="center" wrapText="1"/>
    </xf>
    <xf numFmtId="0" fontId="20" fillId="0" borderId="11" xfId="0" applyFont="1" applyBorder="1" applyAlignment="1">
      <alignment horizontal="center"/>
    </xf>
    <xf numFmtId="166" fontId="20" fillId="0" borderId="24" xfId="0" applyNumberFormat="1" applyFont="1" applyBorder="1" applyAlignment="1">
      <alignment horizontal="left" vertical="center" wrapText="1"/>
    </xf>
    <xf numFmtId="3" fontId="20" fillId="0" borderId="25" xfId="0" applyNumberFormat="1" applyFont="1" applyBorder="1" applyAlignment="1">
      <alignment horizontal="left"/>
    </xf>
    <xf numFmtId="0" fontId="20" fillId="0" borderId="21" xfId="0" applyFont="1" applyBorder="1" applyAlignment="1">
      <alignment horizontal="left"/>
    </xf>
    <xf numFmtId="3" fontId="20" fillId="0" borderId="13" xfId="0" applyNumberFormat="1" applyFont="1" applyBorder="1" applyAlignment="1">
      <alignment horizontal="left"/>
    </xf>
    <xf numFmtId="3" fontId="3" fillId="0" borderId="28" xfId="0" applyNumberFormat="1" applyFont="1" applyBorder="1" applyAlignment="1">
      <alignment horizontal="left"/>
    </xf>
    <xf numFmtId="0" fontId="20" fillId="0" borderId="21" xfId="0" applyFont="1" applyBorder="1" applyAlignment="1">
      <alignment horizontal="left" vertical="center" wrapText="1"/>
    </xf>
    <xf numFmtId="1" fontId="20" fillId="0" borderId="13" xfId="0" applyNumberFormat="1" applyFont="1" applyBorder="1" applyAlignment="1">
      <alignment horizontal="center" vertical="center" wrapText="1"/>
    </xf>
    <xf numFmtId="0" fontId="20" fillId="0" borderId="13" xfId="0" applyFont="1" applyBorder="1" applyAlignment="1">
      <alignment horizontal="center"/>
    </xf>
    <xf numFmtId="3" fontId="20" fillId="0" borderId="21" xfId="0" applyNumberFormat="1" applyFont="1" applyBorder="1" applyAlignment="1">
      <alignment horizontal="left"/>
    </xf>
    <xf numFmtId="1" fontId="20" fillId="0" borderId="21" xfId="0" applyNumberFormat="1" applyFont="1" applyBorder="1" applyAlignment="1">
      <alignment horizontal="left"/>
    </xf>
    <xf numFmtId="0" fontId="20" fillId="0" borderId="21" xfId="0" applyFont="1" applyBorder="1" applyAlignment="1">
      <alignment horizontal="left" vertical="top"/>
    </xf>
    <xf numFmtId="1" fontId="20" fillId="0" borderId="21" xfId="0" applyNumberFormat="1" applyFont="1" applyBorder="1" applyAlignment="1">
      <alignment horizontal="left" vertical="center" wrapText="1"/>
    </xf>
    <xf numFmtId="0" fontId="20" fillId="0" borderId="21" xfId="0" applyFont="1" applyBorder="1" applyAlignment="1">
      <alignment horizontal="left" vertical="center"/>
    </xf>
    <xf numFmtId="0" fontId="3" fillId="0" borderId="28" xfId="0" applyFont="1" applyBorder="1" applyAlignment="1">
      <alignment horizontal="left"/>
    </xf>
    <xf numFmtId="3" fontId="20" fillId="0" borderId="21" xfId="0" applyNumberFormat="1" applyFont="1" applyBorder="1" applyAlignment="1">
      <alignment horizontal="left" vertical="center"/>
    </xf>
    <xf numFmtId="3" fontId="20" fillId="0" borderId="22" xfId="0" applyNumberFormat="1" applyFont="1" applyBorder="1" applyAlignment="1">
      <alignment horizontal="left"/>
    </xf>
    <xf numFmtId="3" fontId="20" fillId="0" borderId="17" xfId="0" applyNumberFormat="1" applyFont="1" applyBorder="1" applyAlignment="1">
      <alignment horizontal="left"/>
    </xf>
    <xf numFmtId="1" fontId="20" fillId="0" borderId="22" xfId="0" applyNumberFormat="1" applyFont="1" applyBorder="1" applyAlignment="1">
      <alignment horizontal="left" vertical="center" wrapText="1"/>
    </xf>
    <xf numFmtId="1" fontId="20" fillId="0" borderId="17" xfId="0" applyNumberFormat="1" applyFont="1" applyBorder="1" applyAlignment="1">
      <alignment horizontal="center" vertical="center" wrapText="1"/>
    </xf>
    <xf numFmtId="0" fontId="3" fillId="0" borderId="29" xfId="0" applyFont="1" applyBorder="1" applyAlignment="1">
      <alignment horizontal="center"/>
    </xf>
    <xf numFmtId="0" fontId="20" fillId="0" borderId="22" xfId="0" applyFont="1" applyBorder="1" applyAlignment="1">
      <alignment horizontal="left"/>
    </xf>
    <xf numFmtId="0" fontId="20" fillId="0" borderId="17" xfId="0" applyFont="1" applyBorder="1" applyAlignment="1">
      <alignment horizontal="center"/>
    </xf>
    <xf numFmtId="0" fontId="51" fillId="0" borderId="24" xfId="0" applyFont="1" applyBorder="1" applyAlignment="1">
      <alignment horizontal="center" vertical="top" wrapText="1"/>
    </xf>
    <xf numFmtId="0" fontId="51" fillId="2" borderId="24" xfId="0" applyFont="1" applyFill="1" applyBorder="1" applyAlignment="1">
      <alignment horizontal="center" vertical="top" wrapText="1"/>
    </xf>
    <xf numFmtId="0" fontId="51" fillId="0" borderId="24" xfId="0" applyFont="1" applyBorder="1" applyAlignment="1">
      <alignment horizontal="center" vertical="top"/>
    </xf>
    <xf numFmtId="0" fontId="0" fillId="0" borderId="31" xfId="0" applyBorder="1" applyAlignment="1">
      <alignment horizontal="left"/>
    </xf>
    <xf numFmtId="0" fontId="52" fillId="0" borderId="31" xfId="0" applyFont="1" applyBorder="1" applyAlignment="1">
      <alignment horizontal="left"/>
    </xf>
    <xf numFmtId="2" fontId="53" fillId="0" borderId="24" xfId="0" applyNumberFormat="1" applyFont="1" applyBorder="1" applyAlignment="1">
      <alignment horizontal="center" vertical="top" shrinkToFit="1"/>
    </xf>
    <xf numFmtId="1" fontId="53" fillId="0" borderId="24" xfId="0" applyNumberFormat="1" applyFont="1" applyBorder="1" applyAlignment="1">
      <alignment horizontal="center" vertical="top" shrinkToFit="1"/>
    </xf>
    <xf numFmtId="167" fontId="53" fillId="0" borderId="24" xfId="0" applyNumberFormat="1" applyFont="1" applyBorder="1" applyAlignment="1">
      <alignment horizontal="center" vertical="top" shrinkToFit="1"/>
    </xf>
    <xf numFmtId="0" fontId="54" fillId="0" borderId="24" xfId="0" applyFont="1" applyBorder="1" applyAlignment="1">
      <alignment horizontal="center" vertical="top" wrapText="1"/>
    </xf>
    <xf numFmtId="0" fontId="25" fillId="2" borderId="24" xfId="0" applyFont="1" applyFill="1" applyBorder="1" applyAlignment="1">
      <alignment horizontal="center" vertical="center" wrapText="1"/>
    </xf>
    <xf numFmtId="0" fontId="56" fillId="0" borderId="24" xfId="0" applyFont="1" applyBorder="1" applyAlignment="1">
      <alignment horizontal="center" vertical="top" wrapText="1"/>
    </xf>
    <xf numFmtId="0" fontId="58" fillId="0" borderId="24" xfId="0" applyFont="1" applyBorder="1" applyAlignment="1">
      <alignment horizontal="center" vertical="center" wrapText="1"/>
    </xf>
    <xf numFmtId="0" fontId="58" fillId="0" borderId="24" xfId="0" applyFont="1" applyBorder="1" applyAlignment="1">
      <alignment horizontal="center" vertical="top" wrapText="1"/>
    </xf>
    <xf numFmtId="2" fontId="0" fillId="0" borderId="0" xfId="0" applyNumberFormat="1"/>
    <xf numFmtId="0" fontId="58" fillId="0" borderId="24" xfId="0" applyFont="1" applyBorder="1" applyAlignment="1">
      <alignment horizontal="center" vertical="center"/>
    </xf>
    <xf numFmtId="0" fontId="58" fillId="0" borderId="24" xfId="0" applyFont="1" applyBorder="1" applyAlignment="1">
      <alignment horizontal="center" vertical="top"/>
    </xf>
    <xf numFmtId="0" fontId="25" fillId="2" borderId="24" xfId="0" applyFont="1" applyFill="1" applyBorder="1" applyAlignment="1">
      <alignment horizontal="center" vertical="top" wrapText="1"/>
    </xf>
    <xf numFmtId="0" fontId="25" fillId="3" borderId="24" xfId="0" applyFont="1" applyFill="1" applyBorder="1" applyAlignment="1">
      <alignment horizontal="center" vertical="center" wrapText="1"/>
    </xf>
    <xf numFmtId="0" fontId="23" fillId="2" borderId="27" xfId="0" applyFont="1" applyFill="1" applyBorder="1" applyAlignment="1">
      <alignment horizontal="center" vertical="center"/>
    </xf>
    <xf numFmtId="16" fontId="23" fillId="2" borderId="30" xfId="0" applyNumberFormat="1" applyFont="1" applyFill="1" applyBorder="1" applyAlignment="1">
      <alignment horizontal="center" vertical="center"/>
    </xf>
    <xf numFmtId="0" fontId="24" fillId="4" borderId="21" xfId="0" applyFont="1" applyFill="1" applyBorder="1" applyAlignment="1">
      <alignment horizontal="center" vertical="center" wrapText="1"/>
    </xf>
    <xf numFmtId="0" fontId="25" fillId="3" borderId="11" xfId="0" applyFont="1" applyFill="1" applyBorder="1" applyAlignment="1">
      <alignment horizontal="center" vertical="center" wrapText="1"/>
    </xf>
    <xf numFmtId="0" fontId="25" fillId="3" borderId="25" xfId="0" applyFont="1" applyFill="1" applyBorder="1" applyAlignment="1">
      <alignment horizontal="center" vertical="center" wrapText="1"/>
    </xf>
    <xf numFmtId="1" fontId="28" fillId="4" borderId="21" xfId="0" applyNumberFormat="1" applyFont="1" applyFill="1" applyBorder="1" applyAlignment="1">
      <alignment horizontal="center" vertical="center" shrinkToFit="1"/>
    </xf>
    <xf numFmtId="49" fontId="0" fillId="5" borderId="11" xfId="0" applyNumberFormat="1" applyFill="1" applyBorder="1" applyAlignment="1">
      <alignment horizontal="center" vertical="center"/>
    </xf>
    <xf numFmtId="166" fontId="44" fillId="2" borderId="24" xfId="0" applyNumberFormat="1" applyFont="1" applyFill="1" applyBorder="1" applyAlignment="1">
      <alignment horizontal="center" vertical="center" shrinkToFit="1"/>
    </xf>
    <xf numFmtId="166" fontId="32" fillId="0" borderId="0" xfId="0" applyNumberFormat="1" applyFont="1" applyAlignment="1">
      <alignment horizontal="center" vertical="center" shrinkToFit="1"/>
    </xf>
    <xf numFmtId="49" fontId="0" fillId="0" borderId="11" xfId="0" applyNumberFormat="1" applyBorder="1" applyAlignment="1">
      <alignment horizontal="center" vertical="center"/>
    </xf>
    <xf numFmtId="1" fontId="44" fillId="2" borderId="24" xfId="0" applyNumberFormat="1" applyFont="1" applyFill="1" applyBorder="1" applyAlignment="1">
      <alignment horizontal="center" vertical="center" shrinkToFit="1"/>
    </xf>
    <xf numFmtId="1" fontId="33" fillId="4" borderId="21" xfId="0" applyNumberFormat="1" applyFont="1" applyFill="1" applyBorder="1" applyAlignment="1">
      <alignment horizontal="center" vertical="center" wrapText="1"/>
    </xf>
    <xf numFmtId="0" fontId="0" fillId="0" borderId="28" xfId="0" applyBorder="1" applyAlignment="1">
      <alignment vertical="center"/>
    </xf>
    <xf numFmtId="166" fontId="2" fillId="2" borderId="31" xfId="0" applyNumberFormat="1" applyFont="1" applyFill="1" applyBorder="1" applyAlignment="1">
      <alignment horizontal="center" vertical="center" wrapText="1"/>
    </xf>
    <xf numFmtId="1" fontId="36" fillId="0" borderId="0" xfId="0" applyNumberFormat="1" applyFont="1" applyAlignment="1">
      <alignment horizontal="center" vertical="center"/>
    </xf>
    <xf numFmtId="0" fontId="2" fillId="0" borderId="11" xfId="0" applyFont="1" applyBorder="1" applyAlignment="1">
      <alignment horizontal="center"/>
    </xf>
    <xf numFmtId="0" fontId="51" fillId="2" borderId="24" xfId="0" applyFont="1" applyFill="1" applyBorder="1" applyAlignment="1">
      <alignment horizontal="center" vertical="center" wrapText="1"/>
    </xf>
    <xf numFmtId="0" fontId="0" fillId="5" borderId="11" xfId="0" applyFill="1" applyBorder="1" applyAlignment="1">
      <alignment horizontal="center"/>
    </xf>
    <xf numFmtId="2" fontId="59" fillId="2" borderId="39" xfId="0" applyNumberFormat="1" applyFont="1" applyFill="1" applyBorder="1" applyAlignment="1">
      <alignment horizontal="center" vertical="center" shrinkToFit="1"/>
    </xf>
    <xf numFmtId="2" fontId="0" fillId="0" borderId="0" xfId="0" applyNumberFormat="1" applyAlignment="1">
      <alignment horizontal="center" vertical="center"/>
    </xf>
    <xf numFmtId="0" fontId="25" fillId="3" borderId="38" xfId="0" applyFont="1" applyFill="1" applyBorder="1" applyAlignment="1">
      <alignment horizontal="center" vertical="center" wrapText="1"/>
    </xf>
    <xf numFmtId="1" fontId="59" fillId="2" borderId="39" xfId="0" applyNumberFormat="1" applyFont="1" applyFill="1" applyBorder="1" applyAlignment="1">
      <alignment horizontal="center" vertical="center" shrinkToFit="1"/>
    </xf>
    <xf numFmtId="2" fontId="47" fillId="0" borderId="24" xfId="0" applyNumberFormat="1" applyFont="1" applyBorder="1" applyAlignment="1">
      <alignment horizontal="center" vertical="center" shrinkToFit="1"/>
    </xf>
    <xf numFmtId="0" fontId="33" fillId="4" borderId="21" xfId="0" applyFont="1" applyFill="1" applyBorder="1" applyAlignment="1">
      <alignment horizontal="center" vertical="center" wrapText="1"/>
    </xf>
    <xf numFmtId="0" fontId="0" fillId="2" borderId="31" xfId="0" applyFill="1" applyBorder="1" applyAlignment="1">
      <alignment horizontal="center" vertical="center" wrapText="1"/>
    </xf>
    <xf numFmtId="0" fontId="51" fillId="2" borderId="39" xfId="0" applyFont="1" applyFill="1" applyBorder="1" applyAlignment="1">
      <alignment horizontal="center" vertical="center" wrapText="1"/>
    </xf>
    <xf numFmtId="0" fontId="20" fillId="5" borderId="11" xfId="0" applyFont="1" applyFill="1" applyBorder="1" applyAlignment="1">
      <alignment horizontal="center"/>
    </xf>
    <xf numFmtId="167" fontId="0" fillId="0" borderId="0" xfId="0" applyNumberFormat="1" applyAlignment="1">
      <alignment horizontal="center" vertical="center"/>
    </xf>
    <xf numFmtId="1" fontId="48" fillId="0" borderId="24" xfId="0" applyNumberFormat="1" applyFont="1" applyBorder="1" applyAlignment="1">
      <alignment horizontal="center" vertical="center" wrapText="1"/>
    </xf>
    <xf numFmtId="0" fontId="24" fillId="4" borderId="24" xfId="0" applyFont="1" applyFill="1" applyBorder="1" applyAlignment="1">
      <alignment horizontal="center" vertical="center" wrapText="1"/>
    </xf>
    <xf numFmtId="0" fontId="24" fillId="4" borderId="22" xfId="0" applyFont="1" applyFill="1" applyBorder="1" applyAlignment="1">
      <alignment horizontal="center" vertical="center" wrapText="1"/>
    </xf>
    <xf numFmtId="0" fontId="0" fillId="0" borderId="15" xfId="0" applyBorder="1" applyAlignment="1">
      <alignment horizontal="center"/>
    </xf>
    <xf numFmtId="0" fontId="20" fillId="0" borderId="0" xfId="0" applyFont="1" applyAlignment="1">
      <alignment horizontal="center" vertical="center"/>
    </xf>
    <xf numFmtId="49" fontId="20" fillId="0" borderId="11" xfId="0" applyNumberFormat="1" applyFont="1" applyBorder="1" applyAlignment="1">
      <alignment horizontal="center" vertical="center"/>
    </xf>
    <xf numFmtId="0" fontId="61" fillId="2" borderId="39" xfId="0" applyFont="1" applyFill="1" applyBorder="1" applyAlignment="1">
      <alignment horizontal="center" vertical="center" wrapText="1"/>
    </xf>
    <xf numFmtId="1" fontId="61" fillId="2" borderId="39" xfId="0" applyNumberFormat="1" applyFont="1" applyFill="1" applyBorder="1" applyAlignment="1">
      <alignment horizontal="center" vertical="center" wrapText="1"/>
    </xf>
    <xf numFmtId="0" fontId="62" fillId="2" borderId="31" xfId="0" applyFont="1" applyFill="1" applyBorder="1" applyAlignment="1">
      <alignment horizontal="center" vertical="center" wrapText="1"/>
    </xf>
    <xf numFmtId="0" fontId="25" fillId="2" borderId="0" xfId="0" applyFont="1" applyFill="1" applyAlignment="1">
      <alignment horizontal="center" vertical="center" wrapText="1"/>
    </xf>
    <xf numFmtId="166" fontId="0" fillId="0" borderId="0" xfId="0" applyNumberFormat="1" applyAlignment="1">
      <alignment horizontal="center" vertical="center"/>
    </xf>
    <xf numFmtId="2" fontId="47" fillId="2" borderId="24" xfId="0" applyNumberFormat="1" applyFont="1" applyFill="1" applyBorder="1" applyAlignment="1">
      <alignment horizontal="center" vertical="center" shrinkToFit="1"/>
    </xf>
    <xf numFmtId="1" fontId="47" fillId="2" borderId="24" xfId="0" applyNumberFormat="1" applyFont="1" applyFill="1" applyBorder="1" applyAlignment="1">
      <alignment horizontal="center" vertical="center" shrinkToFit="1"/>
    </xf>
    <xf numFmtId="1" fontId="38" fillId="2" borderId="24" xfId="0" applyNumberFormat="1" applyFont="1" applyFill="1" applyBorder="1" applyAlignment="1">
      <alignment horizontal="center" vertical="center" shrinkToFit="1"/>
    </xf>
    <xf numFmtId="0" fontId="47" fillId="0" borderId="24" xfId="0" applyFont="1" applyBorder="1" applyAlignment="1">
      <alignment horizontal="center" vertical="top" shrinkToFit="1"/>
    </xf>
    <xf numFmtId="1" fontId="37" fillId="2" borderId="24" xfId="0" applyNumberFormat="1" applyFont="1" applyFill="1" applyBorder="1" applyAlignment="1">
      <alignment horizontal="center" vertical="center" wrapText="1"/>
    </xf>
    <xf numFmtId="166" fontId="50" fillId="0" borderId="24" xfId="1" applyNumberFormat="1" applyFont="1" applyBorder="1" applyAlignment="1">
      <alignment horizontal="center" vertical="top" shrinkToFit="1"/>
    </xf>
    <xf numFmtId="166" fontId="64" fillId="0" borderId="24" xfId="0" applyNumberFormat="1" applyFont="1" applyBorder="1" applyAlignment="1">
      <alignment horizontal="center" vertical="top" shrinkToFit="1"/>
    </xf>
    <xf numFmtId="1" fontId="50" fillId="0" borderId="24" xfId="1" applyNumberFormat="1" applyFont="1" applyBorder="1" applyAlignment="1">
      <alignment horizontal="center" vertical="top" shrinkToFit="1"/>
    </xf>
    <xf numFmtId="1" fontId="64" fillId="0" borderId="24" xfId="0" applyNumberFormat="1" applyFont="1" applyBorder="1" applyAlignment="1">
      <alignment horizontal="center" vertical="top" shrinkToFit="1"/>
    </xf>
    <xf numFmtId="0" fontId="63" fillId="0" borderId="31" xfId="1" applyBorder="1" applyAlignment="1">
      <alignment wrapText="1"/>
    </xf>
    <xf numFmtId="0" fontId="45" fillId="0" borderId="24" xfId="1" applyFont="1" applyBorder="1" applyAlignment="1">
      <alignment horizontal="center" vertical="top" wrapText="1"/>
    </xf>
    <xf numFmtId="0" fontId="65" fillId="0" borderId="24" xfId="0" applyFont="1" applyBorder="1" applyAlignment="1">
      <alignment horizontal="center" vertical="top" wrapText="1"/>
    </xf>
    <xf numFmtId="2" fontId="47" fillId="0" borderId="24" xfId="1" applyNumberFormat="1" applyFont="1" applyBorder="1" applyAlignment="1">
      <alignment horizontal="center" vertical="top" shrinkToFit="1"/>
    </xf>
    <xf numFmtId="2" fontId="66" fillId="0" borderId="24" xfId="0" applyNumberFormat="1" applyFont="1" applyBorder="1" applyAlignment="1">
      <alignment horizontal="center" vertical="top" shrinkToFit="1"/>
    </xf>
    <xf numFmtId="1" fontId="47" fillId="0" borderId="24" xfId="1" applyNumberFormat="1" applyFont="1" applyBorder="1" applyAlignment="1">
      <alignment horizontal="center" vertical="top" shrinkToFit="1"/>
    </xf>
    <xf numFmtId="1" fontId="66" fillId="0" borderId="24" xfId="0" applyNumberFormat="1" applyFont="1" applyBorder="1" applyAlignment="1">
      <alignment horizontal="center" vertical="top" shrinkToFit="1"/>
    </xf>
    <xf numFmtId="1" fontId="67" fillId="0" borderId="24" xfId="1" applyNumberFormat="1" applyFont="1" applyBorder="1" applyAlignment="1">
      <alignment horizontal="center" vertical="top" shrinkToFit="1"/>
    </xf>
    <xf numFmtId="1" fontId="67" fillId="0" borderId="24" xfId="0" applyNumberFormat="1" applyFont="1" applyBorder="1" applyAlignment="1">
      <alignment horizontal="center" vertical="top" shrinkToFit="1"/>
    </xf>
    <xf numFmtId="167" fontId="47" fillId="0" borderId="24" xfId="1" applyNumberFormat="1" applyFont="1" applyBorder="1" applyAlignment="1">
      <alignment horizontal="center" vertical="top" shrinkToFit="1"/>
    </xf>
    <xf numFmtId="167" fontId="66" fillId="0" borderId="24" xfId="0" applyNumberFormat="1" applyFont="1" applyBorder="1" applyAlignment="1">
      <alignment horizontal="center" vertical="top" shrinkToFit="1"/>
    </xf>
    <xf numFmtId="0" fontId="0" fillId="0" borderId="24" xfId="0" applyBorder="1" applyAlignment="1">
      <alignment horizontal="center" vertical="top" wrapText="1"/>
    </xf>
    <xf numFmtId="0" fontId="47" fillId="0" borderId="24" xfId="1" applyFont="1" applyBorder="1" applyAlignment="1">
      <alignment horizontal="center" vertical="top" shrinkToFit="1"/>
    </xf>
    <xf numFmtId="0" fontId="70" fillId="0" borderId="31" xfId="2" applyBorder="1" applyAlignment="1">
      <alignment wrapText="1"/>
    </xf>
    <xf numFmtId="0" fontId="45" fillId="0" borderId="24" xfId="2" applyFont="1" applyBorder="1" applyAlignment="1">
      <alignment horizontal="center" vertical="top" wrapText="1"/>
    </xf>
    <xf numFmtId="0" fontId="48" fillId="0" borderId="24" xfId="1" applyFont="1" applyBorder="1" applyAlignment="1">
      <alignment horizontal="center" vertical="center" wrapText="1"/>
    </xf>
    <xf numFmtId="0" fontId="48" fillId="0" borderId="24" xfId="2" applyFont="1" applyBorder="1" applyAlignment="1">
      <alignment horizontal="center" vertical="center" wrapText="1"/>
    </xf>
    <xf numFmtId="0" fontId="68" fillId="0" borderId="24" xfId="0" applyFont="1" applyBorder="1" applyAlignment="1">
      <alignment horizontal="center" vertical="top" wrapText="1"/>
    </xf>
    <xf numFmtId="0" fontId="48" fillId="0" borderId="24" xfId="1" applyFont="1" applyBorder="1" applyAlignment="1">
      <alignment horizontal="center" vertical="top" wrapText="1"/>
    </xf>
    <xf numFmtId="0" fontId="48" fillId="0" borderId="24" xfId="2" applyFont="1" applyBorder="1" applyAlignment="1">
      <alignment horizontal="center" vertical="top" wrapText="1"/>
    </xf>
    <xf numFmtId="166" fontId="50" fillId="0" borderId="24" xfId="2" applyNumberFormat="1" applyFont="1" applyBorder="1" applyAlignment="1">
      <alignment horizontal="center" vertical="top" shrinkToFit="1"/>
    </xf>
    <xf numFmtId="166" fontId="50" fillId="0" borderId="24" xfId="3" applyNumberFormat="1" applyFont="1" applyBorder="1" applyAlignment="1">
      <alignment horizontal="center" vertical="top" shrinkToFit="1"/>
    </xf>
    <xf numFmtId="166" fontId="71" fillId="0" borderId="24" xfId="2" applyNumberFormat="1" applyFont="1" applyBorder="1" applyAlignment="1">
      <alignment horizontal="center" vertical="top" shrinkToFit="1"/>
    </xf>
    <xf numFmtId="1" fontId="50" fillId="0" borderId="24" xfId="2" applyNumberFormat="1" applyFont="1" applyBorder="1" applyAlignment="1">
      <alignment horizontal="center" vertical="top" shrinkToFit="1"/>
    </xf>
    <xf numFmtId="1" fontId="50" fillId="0" borderId="24" xfId="3" applyNumberFormat="1" applyFont="1" applyBorder="1" applyAlignment="1">
      <alignment horizontal="center" vertical="top" shrinkToFit="1"/>
    </xf>
    <xf numFmtId="0" fontId="70" fillId="0" borderId="31" xfId="3" applyBorder="1" applyAlignment="1">
      <alignment wrapText="1"/>
    </xf>
    <xf numFmtId="0" fontId="45" fillId="0" borderId="24" xfId="3" applyFont="1" applyBorder="1" applyAlignment="1">
      <alignment horizontal="center" vertical="top" wrapText="1"/>
    </xf>
    <xf numFmtId="2" fontId="47" fillId="0" borderId="24" xfId="2" applyNumberFormat="1" applyFont="1" applyBorder="1" applyAlignment="1">
      <alignment horizontal="center" vertical="top" shrinkToFit="1"/>
    </xf>
    <xf numFmtId="2" fontId="47" fillId="0" borderId="24" xfId="3" applyNumberFormat="1" applyFont="1" applyBorder="1" applyAlignment="1">
      <alignment horizontal="center" vertical="top" shrinkToFit="1"/>
    </xf>
    <xf numFmtId="1" fontId="47" fillId="0" borderId="24" xfId="2" applyNumberFormat="1" applyFont="1" applyBorder="1" applyAlignment="1">
      <alignment horizontal="center" vertical="top" shrinkToFit="1"/>
    </xf>
    <xf numFmtId="1" fontId="47" fillId="0" borderId="24" xfId="3" applyNumberFormat="1" applyFont="1" applyBorder="1" applyAlignment="1">
      <alignment horizontal="center" vertical="top" shrinkToFit="1"/>
    </xf>
    <xf numFmtId="1" fontId="67" fillId="0" borderId="24" xfId="2" applyNumberFormat="1" applyFont="1" applyBorder="1" applyAlignment="1">
      <alignment horizontal="center" vertical="top" shrinkToFit="1"/>
    </xf>
    <xf numFmtId="1" fontId="67" fillId="0" borderId="24" xfId="3" applyNumberFormat="1" applyFont="1" applyBorder="1" applyAlignment="1">
      <alignment horizontal="center" vertical="top" shrinkToFit="1"/>
    </xf>
    <xf numFmtId="167" fontId="47" fillId="0" borderId="24" xfId="2" applyNumberFormat="1" applyFont="1" applyBorder="1" applyAlignment="1">
      <alignment horizontal="center" vertical="top" shrinkToFit="1"/>
    </xf>
    <xf numFmtId="167" fontId="47" fillId="0" borderId="24" xfId="3" applyNumberFormat="1" applyFont="1" applyBorder="1" applyAlignment="1">
      <alignment horizontal="center" vertical="top" shrinkToFit="1"/>
    </xf>
    <xf numFmtId="0" fontId="47" fillId="0" borderId="24" xfId="2" applyFont="1" applyBorder="1" applyAlignment="1">
      <alignment horizontal="center" vertical="top" shrinkToFit="1"/>
    </xf>
    <xf numFmtId="0" fontId="47" fillId="0" borderId="24" xfId="3" applyFont="1" applyBorder="1" applyAlignment="1">
      <alignment horizontal="center" vertical="top" shrinkToFit="1"/>
    </xf>
    <xf numFmtId="0" fontId="48" fillId="0" borderId="24" xfId="3" applyFont="1" applyBorder="1" applyAlignment="1">
      <alignment horizontal="center" vertical="center" wrapText="1"/>
    </xf>
    <xf numFmtId="0" fontId="48" fillId="0" borderId="24" xfId="3" applyFont="1" applyBorder="1" applyAlignment="1">
      <alignment horizontal="center" vertical="top" wrapText="1"/>
    </xf>
    <xf numFmtId="166" fontId="50" fillId="0" borderId="24" xfId="4" applyNumberFormat="1" applyFont="1" applyBorder="1" applyAlignment="1">
      <alignment horizontal="center" vertical="top" shrinkToFit="1"/>
    </xf>
    <xf numFmtId="166" fontId="50" fillId="0" borderId="39" xfId="4" applyNumberFormat="1" applyFont="1" applyBorder="1" applyAlignment="1">
      <alignment horizontal="center" vertical="top" shrinkToFit="1"/>
    </xf>
    <xf numFmtId="1" fontId="50" fillId="0" borderId="24" xfId="4" applyNumberFormat="1" applyFont="1" applyBorder="1" applyAlignment="1">
      <alignment horizontal="center" vertical="top" shrinkToFit="1"/>
    </xf>
    <xf numFmtId="1" fontId="50" fillId="0" borderId="39" xfId="4" applyNumberFormat="1" applyFont="1" applyBorder="1" applyAlignment="1">
      <alignment horizontal="center" vertical="top" shrinkToFit="1"/>
    </xf>
    <xf numFmtId="0" fontId="70" fillId="0" borderId="31" xfId="4" applyBorder="1" applyAlignment="1">
      <alignment wrapText="1"/>
    </xf>
    <xf numFmtId="0" fontId="45" fillId="0" borderId="24" xfId="4" applyFont="1" applyBorder="1" applyAlignment="1">
      <alignment horizontal="center" vertical="top" wrapText="1"/>
    </xf>
    <xf numFmtId="2" fontId="47" fillId="0" borderId="24" xfId="4" applyNumberFormat="1" applyFont="1" applyBorder="1" applyAlignment="1">
      <alignment horizontal="center" vertical="top" shrinkToFit="1"/>
    </xf>
    <xf numFmtId="1" fontId="47" fillId="0" borderId="24" xfId="4" applyNumberFormat="1" applyFont="1" applyBorder="1" applyAlignment="1">
      <alignment horizontal="center" vertical="top" shrinkToFit="1"/>
    </xf>
    <xf numFmtId="1" fontId="67" fillId="0" borderId="24" xfId="4" applyNumberFormat="1" applyFont="1" applyBorder="1" applyAlignment="1">
      <alignment horizontal="center" vertical="top" shrinkToFit="1"/>
    </xf>
    <xf numFmtId="167" fontId="47" fillId="0" borderId="24" xfId="4" applyNumberFormat="1" applyFont="1" applyBorder="1" applyAlignment="1">
      <alignment horizontal="center" vertical="top" shrinkToFit="1"/>
    </xf>
    <xf numFmtId="0" fontId="47" fillId="0" borderId="24" xfId="4" applyFont="1" applyBorder="1" applyAlignment="1">
      <alignment horizontal="center" vertical="top" shrinkToFit="1"/>
    </xf>
    <xf numFmtId="0" fontId="48" fillId="0" borderId="24" xfId="4" applyFont="1" applyBorder="1" applyAlignment="1">
      <alignment horizontal="center" vertical="center" wrapText="1"/>
    </xf>
    <xf numFmtId="0" fontId="48" fillId="0" borderId="24" xfId="4" applyFont="1" applyBorder="1" applyAlignment="1">
      <alignment horizontal="center" vertical="top" wrapText="1"/>
    </xf>
    <xf numFmtId="1" fontId="0" fillId="0" borderId="0" xfId="0" applyNumberFormat="1" applyAlignment="1">
      <alignment horizontal="center" vertical="center"/>
    </xf>
    <xf numFmtId="0" fontId="52" fillId="0" borderId="31" xfId="0" applyFont="1" applyBorder="1" applyAlignment="1">
      <alignment wrapText="1"/>
    </xf>
    <xf numFmtId="0" fontId="52" fillId="0" borderId="24" xfId="0" applyFont="1" applyBorder="1" applyAlignment="1">
      <alignment horizontal="center" vertical="top" wrapText="1"/>
    </xf>
    <xf numFmtId="166" fontId="50" fillId="0" borderId="24" xfId="5" applyNumberFormat="1" applyFont="1" applyBorder="1" applyAlignment="1">
      <alignment horizontal="center" vertical="top" shrinkToFit="1"/>
    </xf>
    <xf numFmtId="1" fontId="50" fillId="0" borderId="24" xfId="5" applyNumberFormat="1" applyFont="1" applyBorder="1" applyAlignment="1">
      <alignment horizontal="center" vertical="top" shrinkToFit="1"/>
    </xf>
    <xf numFmtId="0" fontId="70" fillId="0" borderId="31" xfId="5" applyBorder="1" applyAlignment="1">
      <alignment wrapText="1"/>
    </xf>
    <xf numFmtId="0" fontId="45" fillId="0" borderId="24" xfId="5" applyFont="1" applyBorder="1" applyAlignment="1">
      <alignment horizontal="center" vertical="top" wrapText="1"/>
    </xf>
    <xf numFmtId="2" fontId="47" fillId="0" borderId="24" xfId="5" applyNumberFormat="1" applyFont="1" applyBorder="1" applyAlignment="1">
      <alignment horizontal="center" vertical="top" shrinkToFit="1"/>
    </xf>
    <xf numFmtId="1" fontId="47" fillId="0" borderId="24" xfId="5" applyNumberFormat="1" applyFont="1" applyBorder="1" applyAlignment="1">
      <alignment horizontal="center" vertical="top" shrinkToFit="1"/>
    </xf>
    <xf numFmtId="1" fontId="67" fillId="0" borderId="24" xfId="5" applyNumberFormat="1" applyFont="1" applyBorder="1" applyAlignment="1">
      <alignment horizontal="center" vertical="top" shrinkToFit="1"/>
    </xf>
    <xf numFmtId="167" fontId="47" fillId="0" borderId="24" xfId="5" applyNumberFormat="1" applyFont="1" applyBorder="1" applyAlignment="1">
      <alignment horizontal="center" vertical="top" shrinkToFit="1"/>
    </xf>
    <xf numFmtId="0" fontId="47" fillId="0" borderId="24" xfId="5" applyFont="1" applyBorder="1" applyAlignment="1">
      <alignment horizontal="center" vertical="top" shrinkToFit="1"/>
    </xf>
    <xf numFmtId="0" fontId="48" fillId="0" borderId="24" xfId="5" applyFont="1" applyBorder="1" applyAlignment="1">
      <alignment horizontal="center" vertical="center" wrapText="1"/>
    </xf>
    <xf numFmtId="0" fontId="48" fillId="0" borderId="24" xfId="5" applyFont="1" applyBorder="1" applyAlignment="1">
      <alignment horizontal="center" vertical="top" wrapText="1"/>
    </xf>
    <xf numFmtId="166" fontId="72" fillId="0" borderId="24" xfId="0" applyNumberFormat="1" applyFont="1" applyBorder="1" applyAlignment="1">
      <alignment horizontal="center" vertical="top" shrinkToFit="1"/>
    </xf>
    <xf numFmtId="1" fontId="72" fillId="0" borderId="24" xfId="0" applyNumberFormat="1" applyFont="1" applyBorder="1" applyAlignment="1">
      <alignment horizontal="center" vertical="top" shrinkToFit="1"/>
    </xf>
    <xf numFmtId="1" fontId="37" fillId="2" borderId="24" xfId="0" applyNumberFormat="1" applyFont="1" applyFill="1" applyBorder="1" applyAlignment="1">
      <alignment horizontal="center" vertical="top" wrapText="1"/>
    </xf>
    <xf numFmtId="166" fontId="50" fillId="0" borderId="24" xfId="0" applyNumberFormat="1" applyFont="1" applyBorder="1" applyAlignment="1">
      <alignment horizontal="center" vertical="center" shrinkToFit="1"/>
    </xf>
    <xf numFmtId="1" fontId="50" fillId="0" borderId="24" xfId="0" applyNumberFormat="1" applyFont="1" applyBorder="1" applyAlignment="1">
      <alignment horizontal="center" vertical="center" shrinkToFit="1"/>
    </xf>
    <xf numFmtId="0" fontId="45" fillId="0" borderId="24" xfId="0" applyFont="1" applyBorder="1" applyAlignment="1">
      <alignment horizontal="center" vertical="center" wrapText="1"/>
    </xf>
    <xf numFmtId="1" fontId="47" fillId="0" borderId="24" xfId="0" applyNumberFormat="1" applyFont="1" applyBorder="1" applyAlignment="1">
      <alignment horizontal="center" vertical="center" shrinkToFit="1"/>
    </xf>
    <xf numFmtId="167" fontId="47" fillId="0" borderId="24" xfId="0" applyNumberFormat="1" applyFont="1" applyBorder="1" applyAlignment="1">
      <alignment horizontal="center" vertical="center" shrinkToFit="1"/>
    </xf>
    <xf numFmtId="1" fontId="48" fillId="0" borderId="24" xfId="0" applyNumberFormat="1" applyFont="1" applyBorder="1" applyAlignment="1">
      <alignment horizontal="center" vertical="center" shrinkToFit="1"/>
    </xf>
    <xf numFmtId="166" fontId="71" fillId="0" borderId="24" xfId="5" applyNumberFormat="1" applyFont="1" applyBorder="1" applyAlignment="1">
      <alignment horizontal="center" vertical="top" shrinkToFit="1"/>
    </xf>
    <xf numFmtId="49" fontId="20" fillId="5" borderId="11" xfId="0" applyNumberFormat="1" applyFont="1" applyFill="1" applyBorder="1" applyAlignment="1">
      <alignment horizontal="center" vertical="center"/>
    </xf>
    <xf numFmtId="1" fontId="0" fillId="5" borderId="11" xfId="0" applyNumberFormat="1" applyFill="1" applyBorder="1" applyAlignment="1">
      <alignment horizontal="center" vertical="center"/>
    </xf>
    <xf numFmtId="1" fontId="0" fillId="0" borderId="28" xfId="0" applyNumberFormat="1" applyBorder="1" applyAlignment="1">
      <alignment vertical="center"/>
    </xf>
    <xf numFmtId="1" fontId="2" fillId="2" borderId="31" xfId="0" applyNumberFormat="1" applyFont="1" applyFill="1" applyBorder="1" applyAlignment="1">
      <alignment horizontal="center" vertical="center" wrapText="1"/>
    </xf>
    <xf numFmtId="1" fontId="2" fillId="0" borderId="11" xfId="0" applyNumberFormat="1" applyFont="1" applyBorder="1" applyAlignment="1">
      <alignment horizontal="center"/>
    </xf>
    <xf numFmtId="1" fontId="0" fillId="5" borderId="11" xfId="0" applyNumberFormat="1" applyFill="1" applyBorder="1" applyAlignment="1">
      <alignment horizontal="center"/>
    </xf>
    <xf numFmtId="0" fontId="25" fillId="3" borderId="0" xfId="0" applyFont="1" applyFill="1" applyAlignment="1">
      <alignment horizontal="center" vertical="center" wrapText="1"/>
    </xf>
    <xf numFmtId="2" fontId="47" fillId="0" borderId="0" xfId="0" applyNumberFormat="1" applyFont="1" applyAlignment="1">
      <alignment horizontal="center" vertical="center" shrinkToFit="1"/>
    </xf>
    <xf numFmtId="0" fontId="0" fillId="0" borderId="0" xfId="0" applyAlignment="1">
      <alignment vertical="center" wrapText="1"/>
    </xf>
    <xf numFmtId="1" fontId="20" fillId="5" borderId="11" xfId="0" applyNumberFormat="1" applyFont="1" applyFill="1" applyBorder="1" applyAlignment="1">
      <alignment horizontal="center"/>
    </xf>
    <xf numFmtId="0" fontId="48" fillId="0" borderId="0" xfId="0" applyFont="1" applyAlignment="1">
      <alignment horizontal="center" vertical="center" wrapText="1"/>
    </xf>
    <xf numFmtId="1" fontId="48" fillId="0" borderId="0" xfId="0" applyNumberFormat="1" applyFont="1" applyAlignment="1">
      <alignment horizontal="center" vertical="center" wrapText="1"/>
    </xf>
    <xf numFmtId="1" fontId="0" fillId="0" borderId="11" xfId="0" applyNumberFormat="1" applyBorder="1" applyAlignment="1">
      <alignment horizontal="center"/>
    </xf>
    <xf numFmtId="1" fontId="0" fillId="0" borderId="15" xfId="0" applyNumberFormat="1" applyBorder="1" applyAlignment="1">
      <alignment horizontal="center"/>
    </xf>
    <xf numFmtId="167" fontId="0" fillId="0" borderId="0" xfId="0" applyNumberFormat="1"/>
    <xf numFmtId="3" fontId="0" fillId="0" borderId="11" xfId="0" applyNumberFormat="1" applyBorder="1" applyAlignment="1">
      <alignment horizontal="center"/>
    </xf>
    <xf numFmtId="0" fontId="0" fillId="5" borderId="11" xfId="0" applyFill="1" applyBorder="1" applyAlignment="1">
      <alignment horizontal="center" vertical="center"/>
    </xf>
    <xf numFmtId="3" fontId="0" fillId="5" borderId="11" xfId="0" applyNumberFormat="1" applyFill="1" applyBorder="1" applyAlignment="1">
      <alignment horizontal="center" vertical="center"/>
    </xf>
    <xf numFmtId="3" fontId="0" fillId="0" borderId="0" xfId="0" applyNumberFormat="1" applyAlignment="1">
      <alignment horizontal="center"/>
    </xf>
    <xf numFmtId="0" fontId="0" fillId="0" borderId="11" xfId="0" applyBorder="1" applyAlignment="1">
      <alignment horizontal="center" vertical="center"/>
    </xf>
    <xf numFmtId="1" fontId="74" fillId="0" borderId="11" xfId="0" applyNumberFormat="1" applyFont="1" applyBorder="1" applyAlignment="1">
      <alignment horizontal="center"/>
    </xf>
    <xf numFmtId="1" fontId="74" fillId="0" borderId="11" xfId="0" applyNumberFormat="1" applyFont="1" applyBorder="1" applyAlignment="1">
      <alignment horizontal="center" vertical="center"/>
    </xf>
    <xf numFmtId="3" fontId="0" fillId="0" borderId="11" xfId="0" applyNumberFormat="1" applyBorder="1" applyAlignment="1">
      <alignment horizontal="center" vertical="center"/>
    </xf>
    <xf numFmtId="1" fontId="0" fillId="0" borderId="15" xfId="0" applyNumberFormat="1" applyBorder="1" applyAlignment="1">
      <alignment horizontal="center" vertical="center"/>
    </xf>
    <xf numFmtId="1" fontId="0" fillId="0" borderId="28" xfId="0" applyNumberFormat="1" applyBorder="1" applyAlignment="1">
      <alignment horizontal="center" vertical="center"/>
    </xf>
    <xf numFmtId="1" fontId="0" fillId="0" borderId="11" xfId="0" applyNumberFormat="1" applyBorder="1" applyAlignment="1">
      <alignment horizontal="center" vertical="center"/>
    </xf>
    <xf numFmtId="1" fontId="2" fillId="0" borderId="11" xfId="0" applyNumberFormat="1" applyFont="1" applyBorder="1" applyAlignment="1">
      <alignment horizontal="center" vertical="center"/>
    </xf>
    <xf numFmtId="0" fontId="25" fillId="3" borderId="13" xfId="0" applyFont="1" applyFill="1" applyBorder="1" applyAlignment="1">
      <alignment horizontal="center" vertical="center" wrapText="1"/>
    </xf>
    <xf numFmtId="0" fontId="0" fillId="5" borderId="13" xfId="0" applyFill="1" applyBorder="1" applyAlignment="1">
      <alignment horizontal="center" vertical="center"/>
    </xf>
    <xf numFmtId="1" fontId="74" fillId="0" borderId="11" xfId="0" applyNumberFormat="1" applyFont="1" applyBorder="1" applyAlignment="1">
      <alignment horizontal="center" wrapText="1"/>
    </xf>
    <xf numFmtId="1" fontId="2" fillId="0" borderId="13" xfId="0" applyNumberFormat="1" applyFont="1" applyBorder="1" applyAlignment="1">
      <alignment horizontal="center"/>
    </xf>
    <xf numFmtId="1" fontId="0" fillId="5" borderId="13" xfId="0" applyNumberFormat="1" applyFill="1" applyBorder="1" applyAlignment="1">
      <alignment horizontal="center"/>
    </xf>
    <xf numFmtId="0" fontId="25" fillId="0" borderId="0" xfId="0" applyFont="1" applyAlignment="1">
      <alignment horizontal="center" vertical="center" wrapText="1"/>
    </xf>
    <xf numFmtId="1" fontId="0" fillId="5" borderId="28" xfId="0" applyNumberFormat="1" applyFill="1" applyBorder="1" applyAlignment="1">
      <alignment vertical="center"/>
    </xf>
    <xf numFmtId="1" fontId="0" fillId="5" borderId="40" xfId="0" applyNumberFormat="1" applyFill="1" applyBorder="1" applyAlignment="1">
      <alignment vertical="center"/>
    </xf>
    <xf numFmtId="1" fontId="2" fillId="5" borderId="11" xfId="0" applyNumberFormat="1" applyFont="1" applyFill="1" applyBorder="1" applyAlignment="1">
      <alignment horizontal="center"/>
    </xf>
    <xf numFmtId="1" fontId="2" fillId="5" borderId="13" xfId="0" applyNumberFormat="1" applyFont="1" applyFill="1" applyBorder="1" applyAlignment="1">
      <alignment horizontal="center"/>
    </xf>
    <xf numFmtId="1" fontId="20" fillId="5" borderId="13" xfId="0" applyNumberFormat="1" applyFont="1" applyFill="1" applyBorder="1" applyAlignment="1">
      <alignment horizontal="center"/>
    </xf>
    <xf numFmtId="0" fontId="24" fillId="4" borderId="41" xfId="0" applyFont="1" applyFill="1" applyBorder="1" applyAlignment="1">
      <alignment horizontal="center" vertical="center" wrapText="1"/>
    </xf>
    <xf numFmtId="1" fontId="74" fillId="5" borderId="11" xfId="0" applyNumberFormat="1" applyFont="1" applyFill="1" applyBorder="1" applyAlignment="1">
      <alignment horizontal="center"/>
    </xf>
    <xf numFmtId="1" fontId="74" fillId="5" borderId="13" xfId="0" applyNumberFormat="1" applyFont="1" applyFill="1" applyBorder="1" applyAlignment="1">
      <alignment horizontal="center"/>
    </xf>
    <xf numFmtId="1" fontId="0" fillId="0" borderId="40" xfId="0" applyNumberFormat="1" applyBorder="1" applyAlignment="1">
      <alignment vertical="center"/>
    </xf>
    <xf numFmtId="1" fontId="0" fillId="5" borderId="15" xfId="0" applyNumberFormat="1" applyFill="1" applyBorder="1" applyAlignment="1">
      <alignment horizontal="center"/>
    </xf>
    <xf numFmtId="1" fontId="59" fillId="2" borderId="42" xfId="0" applyNumberFormat="1" applyFont="1" applyFill="1" applyBorder="1" applyAlignment="1">
      <alignment horizontal="center" vertical="center" shrinkToFit="1"/>
    </xf>
    <xf numFmtId="1" fontId="0" fillId="5" borderId="43" xfId="0" applyNumberFormat="1" applyFill="1" applyBorder="1" applyAlignment="1">
      <alignment horizontal="center"/>
    </xf>
    <xf numFmtId="0" fontId="0" fillId="4" borderId="44" xfId="0" applyFill="1" applyBorder="1" applyAlignment="1">
      <alignment horizontal="center" vertical="center"/>
    </xf>
    <xf numFmtId="1" fontId="74" fillId="5" borderId="36" xfId="0" applyNumberFormat="1" applyFont="1" applyFill="1" applyBorder="1" applyAlignment="1">
      <alignment horizontal="center"/>
    </xf>
    <xf numFmtId="0" fontId="0" fillId="0" borderId="13" xfId="0" applyBorder="1" applyAlignment="1">
      <alignment horizontal="center" vertical="center"/>
    </xf>
    <xf numFmtId="1" fontId="33" fillId="4" borderId="10" xfId="0" applyNumberFormat="1" applyFont="1" applyFill="1" applyBorder="1" applyAlignment="1">
      <alignment horizontal="left" vertical="center"/>
    </xf>
    <xf numFmtId="0" fontId="0" fillId="4" borderId="21" xfId="0" applyFill="1" applyBorder="1" applyAlignment="1">
      <alignment horizontal="left" vertical="center"/>
    </xf>
    <xf numFmtId="0" fontId="0" fillId="4" borderId="22" xfId="0" applyFill="1" applyBorder="1" applyAlignment="1">
      <alignment horizontal="left" vertical="center"/>
    </xf>
    <xf numFmtId="1" fontId="74" fillId="5" borderId="15" xfId="0" applyNumberFormat="1" applyFont="1" applyFill="1" applyBorder="1" applyAlignment="1">
      <alignment horizontal="center"/>
    </xf>
    <xf numFmtId="0" fontId="0" fillId="0" borderId="15" xfId="0" applyBorder="1" applyAlignment="1">
      <alignment horizontal="center" vertical="center"/>
    </xf>
    <xf numFmtId="0" fontId="75" fillId="0" borderId="0" xfId="0" applyFont="1" applyAlignment="1">
      <alignment horizontal="center" vertical="center" wrapText="1"/>
    </xf>
    <xf numFmtId="0" fontId="1" fillId="0" borderId="0" xfId="0" applyFont="1" applyAlignment="1">
      <alignment horizontal="center" vertical="center"/>
    </xf>
    <xf numFmtId="0" fontId="20" fillId="5" borderId="11" xfId="0" applyFont="1" applyFill="1" applyBorder="1" applyAlignment="1">
      <alignment horizontal="center" vertical="center"/>
    </xf>
    <xf numFmtId="1" fontId="0" fillId="0" borderId="0" xfId="0" applyNumberFormat="1" applyAlignment="1">
      <alignment horizontal="center"/>
    </xf>
    <xf numFmtId="167" fontId="1" fillId="0" borderId="0" xfId="0" applyNumberFormat="1" applyFont="1" applyAlignment="1">
      <alignment horizontal="center" vertical="center"/>
    </xf>
    <xf numFmtId="1" fontId="1" fillId="5" borderId="11" xfId="0" applyNumberFormat="1" applyFont="1" applyFill="1" applyBorder="1" applyAlignment="1">
      <alignment horizontal="center"/>
    </xf>
    <xf numFmtId="1" fontId="61" fillId="2" borderId="39" xfId="0" applyNumberFormat="1" applyFont="1" applyFill="1" applyBorder="1" applyAlignment="1">
      <alignment horizontal="center" vertical="center" shrinkToFi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17" fontId="4" fillId="2"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0" borderId="0" xfId="0" applyAlignment="1">
      <alignment horizontal="left"/>
    </xf>
    <xf numFmtId="0" fontId="13" fillId="3" borderId="21" xfId="0" applyFont="1" applyFill="1" applyBorder="1" applyAlignment="1">
      <alignment horizontal="left" vertical="center" wrapText="1"/>
    </xf>
    <xf numFmtId="0" fontId="13" fillId="3" borderId="11" xfId="0" applyFont="1" applyFill="1" applyBorder="1" applyAlignment="1">
      <alignment horizontal="left" vertical="center" wrapText="1"/>
    </xf>
    <xf numFmtId="0" fontId="14" fillId="0" borderId="22" xfId="0" applyFont="1" applyBorder="1" applyAlignment="1">
      <alignment horizontal="left" vertical="center" wrapText="1"/>
    </xf>
    <xf numFmtId="0" fontId="14" fillId="0" borderId="15" xfId="0" applyFont="1" applyBorder="1" applyAlignment="1">
      <alignment horizontal="left" vertical="center" wrapText="1"/>
    </xf>
    <xf numFmtId="0" fontId="4" fillId="4" borderId="18"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4" fillId="0" borderId="21" xfId="0" applyFont="1" applyBorder="1" applyAlignment="1">
      <alignment horizontal="left" vertical="center" wrapText="1"/>
    </xf>
    <xf numFmtId="0" fontId="14" fillId="0" borderId="11" xfId="0" applyFont="1" applyBorder="1" applyAlignment="1">
      <alignment horizontal="left" vertical="center" wrapText="1"/>
    </xf>
    <xf numFmtId="0" fontId="12" fillId="4" borderId="1" xfId="0" applyFont="1" applyFill="1" applyBorder="1" applyAlignment="1">
      <alignment horizontal="center"/>
    </xf>
    <xf numFmtId="0" fontId="12" fillId="4" borderId="2" xfId="0" applyFont="1" applyFill="1" applyBorder="1" applyAlignment="1">
      <alignment horizontal="center"/>
    </xf>
    <xf numFmtId="0" fontId="12" fillId="4" borderId="3" xfId="0" applyFont="1" applyFill="1" applyBorder="1" applyAlignment="1">
      <alignment horizontal="center"/>
    </xf>
    <xf numFmtId="0" fontId="12" fillId="4" borderId="34" xfId="0" applyFont="1" applyFill="1" applyBorder="1" applyAlignment="1">
      <alignment horizontal="center"/>
    </xf>
    <xf numFmtId="0" fontId="12" fillId="4" borderId="18" xfId="0" applyFont="1" applyFill="1" applyBorder="1" applyAlignment="1">
      <alignment horizontal="center"/>
    </xf>
    <xf numFmtId="0" fontId="12" fillId="4" borderId="34" xfId="0" applyFont="1" applyFill="1" applyBorder="1" applyAlignment="1">
      <alignment horizontal="center" vertical="center"/>
    </xf>
    <xf numFmtId="0" fontId="12" fillId="4" borderId="18" xfId="0" applyFont="1" applyFill="1" applyBorder="1" applyAlignment="1">
      <alignment horizontal="center" vertical="center"/>
    </xf>
    <xf numFmtId="0" fontId="70" fillId="0" borderId="11" xfId="14" applyBorder="1" applyAlignment="1">
      <alignment horizontal="center" vertical="center"/>
    </xf>
    <xf numFmtId="1" fontId="70" fillId="0" borderId="11" xfId="14" applyNumberFormat="1" applyBorder="1" applyAlignment="1">
      <alignment horizontal="center"/>
    </xf>
    <xf numFmtId="0" fontId="70" fillId="0" borderId="11" xfId="14" applyBorder="1" applyAlignment="1">
      <alignment horizontal="center"/>
    </xf>
    <xf numFmtId="1" fontId="74" fillId="0" borderId="11" xfId="14" applyNumberFormat="1" applyFont="1" applyBorder="1" applyAlignment="1">
      <alignment horizontal="center" wrapText="1"/>
    </xf>
    <xf numFmtId="0" fontId="70" fillId="0" borderId="12" xfId="14" applyBorder="1" applyAlignment="1">
      <alignment horizontal="center" vertical="center"/>
    </xf>
    <xf numFmtId="0" fontId="0" fillId="0" borderId="12" xfId="0" applyBorder="1" applyAlignment="1">
      <alignment horizontal="center" vertical="center"/>
    </xf>
    <xf numFmtId="1" fontId="2" fillId="0" borderId="11" xfId="14" applyNumberFormat="1" applyFont="1" applyBorder="1" applyAlignment="1">
      <alignment horizontal="center"/>
    </xf>
    <xf numFmtId="1" fontId="2" fillId="0" borderId="12" xfId="14" applyNumberFormat="1" applyFont="1" applyBorder="1" applyAlignment="1">
      <alignment horizontal="center"/>
    </xf>
    <xf numFmtId="1" fontId="2" fillId="0" borderId="12" xfId="0" applyNumberFormat="1" applyFont="1" applyBorder="1" applyAlignment="1">
      <alignment horizontal="center"/>
    </xf>
    <xf numFmtId="1" fontId="70" fillId="0" borderId="12" xfId="14" applyNumberFormat="1" applyBorder="1" applyAlignment="1">
      <alignment horizontal="center"/>
    </xf>
    <xf numFmtId="1" fontId="0" fillId="0" borderId="12" xfId="0" applyNumberFormat="1" applyBorder="1" applyAlignment="1">
      <alignment horizontal="center"/>
    </xf>
    <xf numFmtId="1" fontId="20" fillId="0" borderId="11" xfId="0" applyNumberFormat="1" applyFont="1" applyBorder="1" applyAlignment="1">
      <alignment horizontal="center"/>
    </xf>
    <xf numFmtId="1" fontId="44" fillId="2" borderId="45" xfId="0" applyNumberFormat="1" applyFont="1" applyFill="1" applyBorder="1" applyAlignment="1">
      <alignment horizontal="center" vertical="center" shrinkToFit="1"/>
    </xf>
    <xf numFmtId="1" fontId="70" fillId="0" borderId="28" xfId="14" applyNumberFormat="1" applyBorder="1" applyAlignment="1">
      <alignment vertical="center"/>
    </xf>
    <xf numFmtId="1" fontId="20" fillId="0" borderId="11" xfId="14" applyNumberFormat="1" applyFont="1" applyBorder="1" applyAlignment="1">
      <alignment horizontal="center"/>
    </xf>
    <xf numFmtId="1" fontId="20" fillId="0" borderId="12" xfId="14" applyNumberFormat="1" applyFont="1" applyBorder="1" applyAlignment="1">
      <alignment horizontal="center"/>
    </xf>
    <xf numFmtId="1" fontId="20" fillId="0" borderId="12" xfId="0" applyNumberFormat="1" applyFont="1" applyBorder="1" applyAlignment="1">
      <alignment horizontal="center"/>
    </xf>
    <xf numFmtId="1" fontId="74" fillId="0" borderId="11" xfId="14" applyNumberFormat="1" applyFont="1" applyBorder="1" applyAlignment="1">
      <alignment horizontal="center"/>
    </xf>
    <xf numFmtId="1" fontId="74" fillId="0" borderId="12" xfId="14" applyNumberFormat="1" applyFont="1" applyBorder="1" applyAlignment="1">
      <alignment horizontal="center"/>
    </xf>
    <xf numFmtId="0" fontId="70" fillId="0" borderId="0" xfId="14" applyAlignment="1">
      <alignment horizontal="center"/>
    </xf>
    <xf numFmtId="1" fontId="70" fillId="0" borderId="15" xfId="14" applyNumberFormat="1" applyBorder="1" applyAlignment="1">
      <alignment horizontal="center"/>
    </xf>
    <xf numFmtId="1" fontId="74" fillId="0" borderId="36" xfId="0" applyNumberFormat="1" applyFont="1" applyBorder="1" applyAlignment="1">
      <alignment horizontal="center"/>
    </xf>
    <xf numFmtId="1" fontId="74" fillId="0" borderId="36" xfId="14" applyNumberFormat="1" applyFont="1" applyBorder="1" applyAlignment="1">
      <alignment horizontal="center"/>
    </xf>
    <xf numFmtId="1" fontId="70" fillId="0" borderId="36" xfId="14" applyNumberFormat="1" applyBorder="1" applyAlignment="1">
      <alignment horizontal="center"/>
    </xf>
    <xf numFmtId="1" fontId="20" fillId="0" borderId="36" xfId="0" applyNumberFormat="1" applyFont="1" applyBorder="1" applyAlignment="1">
      <alignment horizontal="center"/>
    </xf>
    <xf numFmtId="1" fontId="0" fillId="0" borderId="36" xfId="0" applyNumberFormat="1" applyBorder="1" applyAlignment="1">
      <alignment horizontal="center"/>
    </xf>
    <xf numFmtId="1" fontId="74" fillId="0" borderId="15" xfId="0" applyNumberFormat="1" applyFont="1" applyBorder="1" applyAlignment="1">
      <alignment horizontal="center"/>
    </xf>
    <xf numFmtId="1" fontId="74" fillId="0" borderId="15" xfId="14" applyNumberFormat="1" applyFont="1" applyBorder="1" applyAlignment="1">
      <alignment horizontal="center"/>
    </xf>
    <xf numFmtId="1" fontId="20" fillId="5" borderId="11" xfId="0" applyNumberFormat="1" applyFont="1" applyFill="1" applyBorder="1" applyAlignment="1">
      <alignment horizontal="center" vertical="center"/>
    </xf>
    <xf numFmtId="1" fontId="74" fillId="5" borderId="23" xfId="0" applyNumberFormat="1" applyFont="1" applyFill="1" applyBorder="1" applyAlignment="1">
      <alignment horizontal="center"/>
    </xf>
    <xf numFmtId="0" fontId="0" fillId="5" borderId="23" xfId="0" applyFill="1" applyBorder="1" applyAlignment="1">
      <alignment horizontal="center"/>
    </xf>
    <xf numFmtId="0" fontId="0" fillId="5" borderId="23" xfId="0" applyFill="1" applyBorder="1" applyAlignment="1">
      <alignment horizontal="center" vertical="center"/>
    </xf>
    <xf numFmtId="0" fontId="0" fillId="0" borderId="0" xfId="0" applyAlignment="1">
      <alignment horizontal="center" vertical="center"/>
    </xf>
    <xf numFmtId="0" fontId="25" fillId="3" borderId="11" xfId="0" applyFont="1" applyFill="1" applyBorder="1" applyAlignment="1">
      <alignment horizontal="center" vertical="center" wrapText="1"/>
    </xf>
    <xf numFmtId="0" fontId="0" fillId="0" borderId="0" xfId="0" applyAlignment="1">
      <alignment horizontal="center"/>
    </xf>
    <xf numFmtId="0" fontId="25" fillId="2" borderId="24" xfId="0" applyFont="1" applyFill="1" applyBorder="1" applyAlignment="1">
      <alignment horizontal="center" vertical="center" wrapText="1"/>
    </xf>
    <xf numFmtId="0" fontId="0" fillId="0" borderId="11" xfId="0" applyBorder="1" applyAlignment="1">
      <alignment horizontal="center"/>
    </xf>
    <xf numFmtId="0" fontId="25" fillId="3" borderId="25" xfId="0" applyFont="1" applyFill="1" applyBorder="1" applyAlignment="1">
      <alignment horizontal="center" vertical="center" wrapText="1"/>
    </xf>
    <xf numFmtId="166" fontId="32" fillId="0" borderId="0" xfId="0" applyNumberFormat="1" applyFont="1" applyAlignment="1">
      <alignment horizontal="center" vertical="center" shrinkToFit="1"/>
    </xf>
    <xf numFmtId="1" fontId="44" fillId="2" borderId="24" xfId="0" applyNumberFormat="1" applyFont="1" applyFill="1" applyBorder="1" applyAlignment="1">
      <alignment horizontal="center" vertical="center" shrinkToFit="1"/>
    </xf>
    <xf numFmtId="16" fontId="23" fillId="2" borderId="30" xfId="0" applyNumberFormat="1" applyFont="1" applyFill="1" applyBorder="1" applyAlignment="1">
      <alignment horizontal="center" vertical="center"/>
    </xf>
    <xf numFmtId="0" fontId="23" fillId="2" borderId="27" xfId="0" applyFont="1" applyFill="1" applyBorder="1" applyAlignment="1">
      <alignment horizontal="center" vertical="center"/>
    </xf>
    <xf numFmtId="0" fontId="24" fillId="4" borderId="21" xfId="0" applyFont="1" applyFill="1" applyBorder="1" applyAlignment="1">
      <alignment horizontal="center" vertical="center" wrapText="1"/>
    </xf>
    <xf numFmtId="1" fontId="28" fillId="4" borderId="21" xfId="0" applyNumberFormat="1" applyFont="1" applyFill="1" applyBorder="1" applyAlignment="1">
      <alignment horizontal="center" vertical="center" shrinkToFit="1"/>
    </xf>
    <xf numFmtId="1" fontId="33" fillId="4" borderId="21" xfId="0" applyNumberFormat="1" applyFont="1" applyFill="1" applyBorder="1" applyAlignment="1">
      <alignment horizontal="center" vertical="center" wrapText="1"/>
    </xf>
    <xf numFmtId="1" fontId="36" fillId="0" borderId="0" xfId="0" applyNumberFormat="1" applyFont="1" applyAlignment="1">
      <alignment horizontal="center" vertical="center"/>
    </xf>
    <xf numFmtId="0" fontId="33" fillId="4" borderId="21" xfId="0" applyFont="1" applyFill="1" applyBorder="1" applyAlignment="1">
      <alignment horizontal="center" vertical="center" wrapText="1"/>
    </xf>
    <xf numFmtId="0" fontId="24" fillId="4" borderId="22" xfId="0" applyFont="1" applyFill="1" applyBorder="1" applyAlignment="1">
      <alignment horizontal="center" vertical="center" wrapText="1"/>
    </xf>
    <xf numFmtId="0" fontId="20" fillId="0" borderId="0" xfId="0" applyFont="1" applyAlignment="1">
      <alignment horizontal="center" vertical="center"/>
    </xf>
    <xf numFmtId="1" fontId="0" fillId="0" borderId="11" xfId="0" applyNumberFormat="1" applyBorder="1" applyAlignment="1">
      <alignment horizontal="center"/>
    </xf>
    <xf numFmtId="167" fontId="0" fillId="0" borderId="0" xfId="0" applyNumberFormat="1" applyAlignment="1">
      <alignment horizontal="center" vertical="center"/>
    </xf>
    <xf numFmtId="0" fontId="0" fillId="0" borderId="11" xfId="0" applyBorder="1" applyAlignment="1">
      <alignment horizontal="center" vertical="center"/>
    </xf>
    <xf numFmtId="1" fontId="0" fillId="0" borderId="11" xfId="0" applyNumberFormat="1" applyBorder="1" applyAlignment="1">
      <alignment horizontal="center" vertical="center"/>
    </xf>
    <xf numFmtId="2" fontId="0" fillId="0" borderId="0" xfId="0" applyNumberFormat="1" applyAlignment="1">
      <alignment horizontal="center" vertical="center"/>
    </xf>
    <xf numFmtId="1" fontId="0" fillId="0" borderId="28" xfId="0" applyNumberFormat="1" applyBorder="1" applyAlignment="1">
      <alignment vertical="center"/>
    </xf>
    <xf numFmtId="1" fontId="0" fillId="5" borderId="11" xfId="0" applyNumberFormat="1" applyFill="1" applyBorder="1" applyAlignment="1">
      <alignment horizontal="center"/>
    </xf>
    <xf numFmtId="1" fontId="20" fillId="5" borderId="11" xfId="0" applyNumberFormat="1" applyFont="1" applyFill="1" applyBorder="1" applyAlignment="1">
      <alignment horizontal="center"/>
    </xf>
    <xf numFmtId="1" fontId="2" fillId="0" borderId="11" xfId="0" applyNumberFormat="1" applyFont="1" applyBorder="1" applyAlignment="1">
      <alignment horizontal="center"/>
    </xf>
    <xf numFmtId="0" fontId="48" fillId="0" borderId="0" xfId="0" applyFont="1" applyAlignment="1">
      <alignment horizontal="center" vertical="center" wrapText="1"/>
    </xf>
    <xf numFmtId="1" fontId="48" fillId="0" borderId="0" xfId="0" applyNumberFormat="1" applyFont="1" applyAlignment="1">
      <alignment horizontal="center" vertical="center" wrapText="1"/>
    </xf>
    <xf numFmtId="0" fontId="25" fillId="0" borderId="0" xfId="0" applyFont="1" applyAlignment="1">
      <alignment horizontal="center" vertical="center" wrapText="1"/>
    </xf>
    <xf numFmtId="1" fontId="20" fillId="0" borderId="11" xfId="0" applyNumberFormat="1" applyFont="1" applyBorder="1" applyAlignment="1">
      <alignment horizontal="center"/>
    </xf>
    <xf numFmtId="0" fontId="0" fillId="5" borderId="11" xfId="0" applyFill="1" applyBorder="1" applyAlignment="1">
      <alignment horizontal="center" vertical="center"/>
    </xf>
    <xf numFmtId="1" fontId="0" fillId="5" borderId="28" xfId="0" applyNumberFormat="1" applyFill="1" applyBorder="1" applyAlignment="1">
      <alignment vertical="center"/>
    </xf>
    <xf numFmtId="1" fontId="2" fillId="5" borderId="11" xfId="0" applyNumberFormat="1" applyFont="1" applyFill="1" applyBorder="1" applyAlignment="1">
      <alignment horizontal="center"/>
    </xf>
    <xf numFmtId="1" fontId="74" fillId="5" borderId="11" xfId="0" applyNumberFormat="1" applyFont="1" applyFill="1" applyBorder="1" applyAlignment="1">
      <alignment horizontal="center"/>
    </xf>
    <xf numFmtId="2" fontId="47" fillId="0" borderId="0" xfId="0" applyNumberFormat="1" applyFont="1" applyAlignment="1">
      <alignment horizontal="center" vertical="center" shrinkToFit="1"/>
    </xf>
    <xf numFmtId="0" fontId="0" fillId="0" borderId="0" xfId="0" applyAlignment="1">
      <alignment vertical="center" wrapText="1"/>
    </xf>
    <xf numFmtId="1" fontId="0" fillId="5" borderId="15" xfId="0" applyNumberFormat="1" applyFill="1" applyBorder="1" applyAlignment="1">
      <alignment horizontal="center"/>
    </xf>
    <xf numFmtId="1" fontId="74" fillId="5" borderId="36" xfId="0" applyNumberFormat="1" applyFont="1" applyFill="1" applyBorder="1" applyAlignment="1">
      <alignment horizontal="center"/>
    </xf>
    <xf numFmtId="1" fontId="74" fillId="0" borderId="11" xfId="0" applyNumberFormat="1" applyFont="1" applyBorder="1" applyAlignment="1">
      <alignment horizontal="center"/>
    </xf>
    <xf numFmtId="1" fontId="74" fillId="5" borderId="15" xfId="0" applyNumberFormat="1" applyFont="1" applyFill="1" applyBorder="1" applyAlignment="1">
      <alignment horizontal="center"/>
    </xf>
    <xf numFmtId="0" fontId="0" fillId="4" borderId="44" xfId="0" applyFill="1" applyBorder="1" applyAlignment="1">
      <alignment horizontal="center" vertical="center"/>
    </xf>
    <xf numFmtId="1" fontId="33" fillId="4" borderId="10" xfId="0" applyNumberFormat="1" applyFont="1" applyFill="1" applyBorder="1" applyAlignment="1">
      <alignment horizontal="left" vertical="center"/>
    </xf>
    <xf numFmtId="0" fontId="24" fillId="4" borderId="41" xfId="0" applyFont="1" applyFill="1" applyBorder="1" applyAlignment="1">
      <alignment horizontal="center" vertical="center" wrapText="1"/>
    </xf>
    <xf numFmtId="0" fontId="0" fillId="4" borderId="21" xfId="0" applyFill="1" applyBorder="1" applyAlignment="1">
      <alignment horizontal="left" vertical="center"/>
    </xf>
    <xf numFmtId="0" fontId="0" fillId="4" borderId="22" xfId="0" applyFill="1" applyBorder="1" applyAlignment="1">
      <alignment horizontal="left" vertical="center"/>
    </xf>
  </cellXfs>
  <cellStyles count="17">
    <cellStyle name="Normal" xfId="0" builtinId="0"/>
    <cellStyle name="Normal 2" xfId="3" xr:uid="{454BF41A-9E2A-426B-B9CA-5098CCB0ADC1}"/>
    <cellStyle name="Normal 2 2" xfId="7" xr:uid="{32361298-1052-4936-A2CA-3B98802D1647}"/>
    <cellStyle name="Normal 2 2 2" xfId="8" xr:uid="{3AE89E28-57BB-419B-9307-8E45EB8D2AEA}"/>
    <cellStyle name="Normal 3" xfId="6" xr:uid="{3C41693C-38F2-4F56-A324-4283F3254A15}"/>
    <cellStyle name="Normal 4" xfId="5" xr:uid="{E978179B-7EBF-4B4F-9934-4B2864EB28DB}"/>
    <cellStyle name="Normal 4 2" xfId="10" xr:uid="{A7E6F606-C473-492D-8955-6DB0CD1D93D4}"/>
    <cellStyle name="Normal 5" xfId="4" xr:uid="{4C1CD490-3DD0-4E16-ABBE-91B6381574F0}"/>
    <cellStyle name="Normal 5 2" xfId="11" xr:uid="{F85C3A08-6DE5-4BFA-868D-94CA88BAF09E}"/>
    <cellStyle name="Normal 6" xfId="2" xr:uid="{CDA33CB9-A31B-4AD9-85B7-41CCD414AB64}"/>
    <cellStyle name="Normal 6 2" xfId="12" xr:uid="{7C8903E7-D72F-4A9C-9E16-7DA10E72A575}"/>
    <cellStyle name="Normal 7" xfId="1" xr:uid="{EB4A658C-AE92-489C-A767-E26475D7FD5F}"/>
    <cellStyle name="Normal 7 2" xfId="13" xr:uid="{BF5C5D38-321B-4B1F-B026-95BB7361BEAB}"/>
    <cellStyle name="Normal 7 2 2" xfId="15" xr:uid="{271D7744-2C83-485E-A3B6-AD003745EBE3}"/>
    <cellStyle name="Normal 7 2 3" xfId="16" xr:uid="{D21975B7-270A-4465-917B-D66AC8F48EBA}"/>
    <cellStyle name="Normal 7 3" xfId="9" xr:uid="{21E9A606-0349-46E5-92F7-A062203B1A80}"/>
    <cellStyle name="Normal 8" xfId="14" xr:uid="{516F4C5A-5914-484A-906A-D98500A342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5.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Power Consumption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'[1]Monthly Utility consumption'!$B$64</c:f>
              <c:strCache>
                <c:ptCount val="1"/>
                <c:pt idx="0">
                  <c:v>Power
Consumption
KWH</c:v>
                </c:pt>
              </c:strCache>
            </c:strRef>
          </c:tx>
          <c:spPr>
            <a:solidFill>
              <a:schemeClr val="accent1"/>
            </a:solidFill>
            <a:ln>
              <a:noFill/>
            </a:ln>
            <a:effectLst/>
            <a:sp3d/>
          </c:spPr>
          <c:invertIfNegative val="0"/>
          <c:cat>
            <c:numRef>
              <c:f>'[1]Monthly Utility consumption'!$A$65:$A$95</c:f>
              <c:numCache>
                <c:formatCode>General</c:formatCode>
                <c:ptCount val="31"/>
                <c:pt idx="0">
                  <c:v>43891</c:v>
                </c:pt>
                <c:pt idx="1">
                  <c:v>43892</c:v>
                </c:pt>
                <c:pt idx="2">
                  <c:v>43893</c:v>
                </c:pt>
                <c:pt idx="3">
                  <c:v>43894</c:v>
                </c:pt>
                <c:pt idx="4">
                  <c:v>43895</c:v>
                </c:pt>
                <c:pt idx="5">
                  <c:v>43896</c:v>
                </c:pt>
                <c:pt idx="6">
                  <c:v>43897</c:v>
                </c:pt>
                <c:pt idx="7">
                  <c:v>43898</c:v>
                </c:pt>
                <c:pt idx="8">
                  <c:v>43899</c:v>
                </c:pt>
                <c:pt idx="9">
                  <c:v>43900</c:v>
                </c:pt>
                <c:pt idx="10">
                  <c:v>43901</c:v>
                </c:pt>
                <c:pt idx="11">
                  <c:v>43902</c:v>
                </c:pt>
                <c:pt idx="12">
                  <c:v>43903</c:v>
                </c:pt>
                <c:pt idx="13">
                  <c:v>43904</c:v>
                </c:pt>
                <c:pt idx="14">
                  <c:v>43905</c:v>
                </c:pt>
                <c:pt idx="15">
                  <c:v>43906</c:v>
                </c:pt>
                <c:pt idx="16">
                  <c:v>43907</c:v>
                </c:pt>
                <c:pt idx="17">
                  <c:v>43908</c:v>
                </c:pt>
                <c:pt idx="18">
                  <c:v>43909</c:v>
                </c:pt>
                <c:pt idx="19">
                  <c:v>43910</c:v>
                </c:pt>
                <c:pt idx="20">
                  <c:v>43911</c:v>
                </c:pt>
                <c:pt idx="21">
                  <c:v>43912</c:v>
                </c:pt>
                <c:pt idx="22">
                  <c:v>43913</c:v>
                </c:pt>
                <c:pt idx="23">
                  <c:v>43914</c:v>
                </c:pt>
                <c:pt idx="24">
                  <c:v>43915</c:v>
                </c:pt>
                <c:pt idx="25">
                  <c:v>43916</c:v>
                </c:pt>
                <c:pt idx="26">
                  <c:v>43917</c:v>
                </c:pt>
                <c:pt idx="27">
                  <c:v>43918</c:v>
                </c:pt>
                <c:pt idx="28">
                  <c:v>43919</c:v>
                </c:pt>
                <c:pt idx="29">
                  <c:v>43920</c:v>
                </c:pt>
                <c:pt idx="30">
                  <c:v>43921</c:v>
                </c:pt>
              </c:numCache>
            </c:numRef>
          </c:cat>
          <c:val>
            <c:numRef>
              <c:f>'[1]Monthly Utility consumption'!$B$65:$B$95</c:f>
              <c:numCache>
                <c:formatCode>General</c:formatCode>
                <c:ptCount val="31"/>
                <c:pt idx="0">
                  <c:v>20342</c:v>
                </c:pt>
                <c:pt idx="1">
                  <c:v>21097</c:v>
                </c:pt>
                <c:pt idx="2">
                  <c:v>21591</c:v>
                </c:pt>
                <c:pt idx="3">
                  <c:v>20731</c:v>
                </c:pt>
                <c:pt idx="4">
                  <c:v>21530</c:v>
                </c:pt>
                <c:pt idx="5">
                  <c:v>21383</c:v>
                </c:pt>
                <c:pt idx="6">
                  <c:v>21383</c:v>
                </c:pt>
                <c:pt idx="7">
                  <c:v>21383</c:v>
                </c:pt>
                <c:pt idx="8">
                  <c:v>20506</c:v>
                </c:pt>
                <c:pt idx="9">
                  <c:v>21374</c:v>
                </c:pt>
                <c:pt idx="10">
                  <c:v>21266</c:v>
                </c:pt>
                <c:pt idx="11">
                  <c:v>22243</c:v>
                </c:pt>
                <c:pt idx="12">
                  <c:v>24583</c:v>
                </c:pt>
                <c:pt idx="13">
                  <c:v>24583</c:v>
                </c:pt>
                <c:pt idx="14">
                  <c:v>24583</c:v>
                </c:pt>
                <c:pt idx="15">
                  <c:v>26971</c:v>
                </c:pt>
                <c:pt idx="16">
                  <c:v>29964</c:v>
                </c:pt>
                <c:pt idx="17">
                  <c:v>29964</c:v>
                </c:pt>
                <c:pt idx="18">
                  <c:v>23093</c:v>
                </c:pt>
                <c:pt idx="19">
                  <c:v>28854</c:v>
                </c:pt>
                <c:pt idx="20">
                  <c:v>28854</c:v>
                </c:pt>
                <c:pt idx="21">
                  <c:v>26977</c:v>
                </c:pt>
                <c:pt idx="22">
                  <c:v>28254</c:v>
                </c:pt>
                <c:pt idx="23">
                  <c:v>26305</c:v>
                </c:pt>
                <c:pt idx="24">
                  <c:v>26087</c:v>
                </c:pt>
                <c:pt idx="25">
                  <c:v>29336</c:v>
                </c:pt>
                <c:pt idx="26">
                  <c:v>27618</c:v>
                </c:pt>
                <c:pt idx="27">
                  <c:v>27618</c:v>
                </c:pt>
                <c:pt idx="28">
                  <c:v>24583</c:v>
                </c:pt>
                <c:pt idx="29">
                  <c:v>26087</c:v>
                </c:pt>
                <c:pt idx="30">
                  <c:v>28854</c:v>
                </c:pt>
              </c:numCache>
            </c:numRef>
          </c:val>
          <c:extLst>
            <c:ext xmlns:c16="http://schemas.microsoft.com/office/drawing/2014/chart" uri="{C3380CC4-5D6E-409C-BE32-E72D297353CC}">
              <c16:uniqueId val="{00000000-314A-499F-99D1-26ADFE05EA14}"/>
            </c:ext>
          </c:extLst>
        </c:ser>
        <c:dLbls>
          <c:showLegendKey val="0"/>
          <c:showVal val="0"/>
          <c:showCatName val="0"/>
          <c:showSerName val="0"/>
          <c:showPercent val="0"/>
          <c:showBubbleSize val="0"/>
        </c:dLbls>
        <c:gapWidth val="150"/>
        <c:shape val="box"/>
        <c:axId val="557044760"/>
        <c:axId val="557045744"/>
        <c:axId val="0"/>
      </c:bar3DChart>
      <c:catAx>
        <c:axId val="557044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5744"/>
        <c:crosses val="autoZero"/>
        <c:auto val="1"/>
        <c:lblAlgn val="ctr"/>
        <c:lblOffset val="100"/>
        <c:noMultiLvlLbl val="0"/>
      </c:catAx>
      <c:valAx>
        <c:axId val="55704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4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TSE Water Cosumption
(1000 liters)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'[1]Monthly Utility consumption'!$C$64</c:f>
              <c:strCache>
                <c:ptCount val="1"/>
                <c:pt idx="0">
                  <c:v>TSE Water Cosumption
1000 liters</c:v>
                </c:pt>
              </c:strCache>
            </c:strRef>
          </c:tx>
          <c:spPr>
            <a:solidFill>
              <a:schemeClr val="accent1"/>
            </a:solidFill>
            <a:ln>
              <a:noFill/>
            </a:ln>
            <a:effectLst/>
            <a:sp3d/>
          </c:spPr>
          <c:invertIfNegative val="0"/>
          <c:cat>
            <c:numRef>
              <c:f>'[1]Monthly Utility consumption'!$A$65:$A$95</c:f>
              <c:numCache>
                <c:formatCode>General</c:formatCode>
                <c:ptCount val="31"/>
                <c:pt idx="0">
                  <c:v>43891</c:v>
                </c:pt>
                <c:pt idx="1">
                  <c:v>43892</c:v>
                </c:pt>
                <c:pt idx="2">
                  <c:v>43893</c:v>
                </c:pt>
                <c:pt idx="3">
                  <c:v>43894</c:v>
                </c:pt>
                <c:pt idx="4">
                  <c:v>43895</c:v>
                </c:pt>
                <c:pt idx="5">
                  <c:v>43896</c:v>
                </c:pt>
                <c:pt idx="6">
                  <c:v>43897</c:v>
                </c:pt>
                <c:pt idx="7">
                  <c:v>43898</c:v>
                </c:pt>
                <c:pt idx="8">
                  <c:v>43899</c:v>
                </c:pt>
                <c:pt idx="9">
                  <c:v>43900</c:v>
                </c:pt>
                <c:pt idx="10">
                  <c:v>43901</c:v>
                </c:pt>
                <c:pt idx="11">
                  <c:v>43902</c:v>
                </c:pt>
                <c:pt idx="12">
                  <c:v>43903</c:v>
                </c:pt>
                <c:pt idx="13">
                  <c:v>43904</c:v>
                </c:pt>
                <c:pt idx="14">
                  <c:v>43905</c:v>
                </c:pt>
                <c:pt idx="15">
                  <c:v>43906</c:v>
                </c:pt>
                <c:pt idx="16">
                  <c:v>43907</c:v>
                </c:pt>
                <c:pt idx="17">
                  <c:v>43908</c:v>
                </c:pt>
                <c:pt idx="18">
                  <c:v>43909</c:v>
                </c:pt>
                <c:pt idx="19">
                  <c:v>43910</c:v>
                </c:pt>
                <c:pt idx="20">
                  <c:v>43911</c:v>
                </c:pt>
                <c:pt idx="21">
                  <c:v>43912</c:v>
                </c:pt>
                <c:pt idx="22">
                  <c:v>43913</c:v>
                </c:pt>
                <c:pt idx="23">
                  <c:v>43914</c:v>
                </c:pt>
                <c:pt idx="24">
                  <c:v>43915</c:v>
                </c:pt>
                <c:pt idx="25">
                  <c:v>43916</c:v>
                </c:pt>
                <c:pt idx="26">
                  <c:v>43917</c:v>
                </c:pt>
                <c:pt idx="27">
                  <c:v>43918</c:v>
                </c:pt>
                <c:pt idx="28">
                  <c:v>43919</c:v>
                </c:pt>
                <c:pt idx="29">
                  <c:v>43920</c:v>
                </c:pt>
                <c:pt idx="30">
                  <c:v>43921</c:v>
                </c:pt>
              </c:numCache>
            </c:numRef>
          </c:cat>
          <c:val>
            <c:numRef>
              <c:f>'[1]Monthly Utility consumption'!$C$65:$C$95</c:f>
              <c:numCache>
                <c:formatCode>General</c:formatCode>
                <c:ptCount val="31"/>
                <c:pt idx="0">
                  <c:v>25</c:v>
                </c:pt>
                <c:pt idx="1">
                  <c:v>27</c:v>
                </c:pt>
                <c:pt idx="2">
                  <c:v>31</c:v>
                </c:pt>
                <c:pt idx="3">
                  <c:v>25</c:v>
                </c:pt>
                <c:pt idx="4">
                  <c:v>25</c:v>
                </c:pt>
                <c:pt idx="5">
                  <c:v>0</c:v>
                </c:pt>
                <c:pt idx="6">
                  <c:v>0</c:v>
                </c:pt>
                <c:pt idx="7">
                  <c:v>29</c:v>
                </c:pt>
                <c:pt idx="8">
                  <c:v>29</c:v>
                </c:pt>
                <c:pt idx="9">
                  <c:v>131</c:v>
                </c:pt>
                <c:pt idx="10">
                  <c:v>53</c:v>
                </c:pt>
                <c:pt idx="11">
                  <c:v>136</c:v>
                </c:pt>
                <c:pt idx="12">
                  <c:v>0</c:v>
                </c:pt>
                <c:pt idx="13">
                  <c:v>0</c:v>
                </c:pt>
                <c:pt idx="14">
                  <c:v>76</c:v>
                </c:pt>
                <c:pt idx="15">
                  <c:v>83</c:v>
                </c:pt>
                <c:pt idx="16">
                  <c:v>63</c:v>
                </c:pt>
                <c:pt idx="17">
                  <c:v>42</c:v>
                </c:pt>
                <c:pt idx="18">
                  <c:v>42</c:v>
                </c:pt>
                <c:pt idx="19">
                  <c:v>0</c:v>
                </c:pt>
                <c:pt idx="20">
                  <c:v>50</c:v>
                </c:pt>
                <c:pt idx="21">
                  <c:v>130</c:v>
                </c:pt>
                <c:pt idx="22">
                  <c:v>144</c:v>
                </c:pt>
                <c:pt idx="23">
                  <c:v>94</c:v>
                </c:pt>
                <c:pt idx="24">
                  <c:v>78</c:v>
                </c:pt>
                <c:pt idx="25">
                  <c:v>168</c:v>
                </c:pt>
                <c:pt idx="26">
                  <c:v>61</c:v>
                </c:pt>
                <c:pt idx="27">
                  <c:v>61</c:v>
                </c:pt>
                <c:pt idx="28">
                  <c:v>76</c:v>
                </c:pt>
                <c:pt idx="29">
                  <c:v>78</c:v>
                </c:pt>
                <c:pt idx="30">
                  <c:v>130</c:v>
                </c:pt>
              </c:numCache>
            </c:numRef>
          </c:val>
          <c:extLst>
            <c:ext xmlns:c16="http://schemas.microsoft.com/office/drawing/2014/chart" uri="{C3380CC4-5D6E-409C-BE32-E72D297353CC}">
              <c16:uniqueId val="{00000000-9E38-4B7C-8587-358E94F4E863}"/>
            </c:ext>
          </c:extLst>
        </c:ser>
        <c:dLbls>
          <c:showLegendKey val="0"/>
          <c:showVal val="0"/>
          <c:showCatName val="0"/>
          <c:showSerName val="0"/>
          <c:showPercent val="0"/>
          <c:showBubbleSize val="0"/>
        </c:dLbls>
        <c:gapWidth val="150"/>
        <c:shape val="box"/>
        <c:axId val="506834352"/>
        <c:axId val="506834680"/>
        <c:axId val="0"/>
      </c:bar3DChart>
      <c:catAx>
        <c:axId val="50683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680"/>
        <c:crosses val="autoZero"/>
        <c:auto val="1"/>
        <c:lblAlgn val="ctr"/>
        <c:lblOffset val="100"/>
        <c:noMultiLvlLbl val="0"/>
      </c:catAx>
      <c:valAx>
        <c:axId val="506834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Power Consumption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781194400860955E-2"/>
          <c:y val="0.17224171539961014"/>
          <c:w val="0.91044798185316578"/>
          <c:h val="0.65530874430169916"/>
        </c:manualLayout>
      </c:layout>
      <c:bar3DChart>
        <c:barDir val="col"/>
        <c:grouping val="clustered"/>
        <c:varyColors val="0"/>
        <c:ser>
          <c:idx val="0"/>
          <c:order val="0"/>
          <c:tx>
            <c:strRef>
              <c:f>'[2]Utility Data &amp; Graph'!$C$2</c:f>
              <c:strCache>
                <c:ptCount val="1"/>
                <c:pt idx="0">
                  <c:v>Power
Consumption
KWH</c:v>
                </c:pt>
              </c:strCache>
            </c:strRef>
          </c:tx>
          <c:spPr>
            <a:solidFill>
              <a:schemeClr val="accent1"/>
            </a:solidFill>
            <a:ln>
              <a:noFill/>
            </a:ln>
            <a:effectLst/>
            <a:sp3d/>
          </c:spPr>
          <c:invertIfNegative val="0"/>
          <c:cat>
            <c:numRef>
              <c:f>'[2]Utility Data &amp; Graph'!$A$3:$A$33</c:f>
              <c:numCache>
                <c:formatCode>General</c:formatCode>
                <c:ptCount val="31"/>
                <c:pt idx="0">
                  <c:v>43922</c:v>
                </c:pt>
                <c:pt idx="1">
                  <c:v>43923</c:v>
                </c:pt>
                <c:pt idx="2">
                  <c:v>43924</c:v>
                </c:pt>
                <c:pt idx="3">
                  <c:v>43925</c:v>
                </c:pt>
                <c:pt idx="4">
                  <c:v>43926</c:v>
                </c:pt>
                <c:pt idx="5">
                  <c:v>43927</c:v>
                </c:pt>
                <c:pt idx="6">
                  <c:v>43928</c:v>
                </c:pt>
                <c:pt idx="7">
                  <c:v>43929</c:v>
                </c:pt>
                <c:pt idx="8">
                  <c:v>43930</c:v>
                </c:pt>
                <c:pt idx="9">
                  <c:v>43931</c:v>
                </c:pt>
                <c:pt idx="10">
                  <c:v>43932</c:v>
                </c:pt>
                <c:pt idx="11">
                  <c:v>43933</c:v>
                </c:pt>
                <c:pt idx="12">
                  <c:v>43934</c:v>
                </c:pt>
                <c:pt idx="13">
                  <c:v>43935</c:v>
                </c:pt>
                <c:pt idx="14">
                  <c:v>43936</c:v>
                </c:pt>
                <c:pt idx="15">
                  <c:v>43937</c:v>
                </c:pt>
                <c:pt idx="16">
                  <c:v>43938</c:v>
                </c:pt>
                <c:pt idx="17">
                  <c:v>43939</c:v>
                </c:pt>
                <c:pt idx="18">
                  <c:v>43940</c:v>
                </c:pt>
                <c:pt idx="19">
                  <c:v>43941</c:v>
                </c:pt>
                <c:pt idx="20">
                  <c:v>43942</c:v>
                </c:pt>
                <c:pt idx="21">
                  <c:v>43943</c:v>
                </c:pt>
                <c:pt idx="22">
                  <c:v>43944</c:v>
                </c:pt>
                <c:pt idx="23">
                  <c:v>43945</c:v>
                </c:pt>
                <c:pt idx="24">
                  <c:v>43946</c:v>
                </c:pt>
                <c:pt idx="25">
                  <c:v>43947</c:v>
                </c:pt>
                <c:pt idx="26">
                  <c:v>43948</c:v>
                </c:pt>
                <c:pt idx="27">
                  <c:v>43949</c:v>
                </c:pt>
                <c:pt idx="28">
                  <c:v>43950</c:v>
                </c:pt>
                <c:pt idx="29">
                  <c:v>43951</c:v>
                </c:pt>
              </c:numCache>
            </c:numRef>
          </c:cat>
          <c:val>
            <c:numRef>
              <c:f>'[2]Utility Data &amp; Graph'!$C$3:$C$33</c:f>
              <c:numCache>
                <c:formatCode>General</c:formatCode>
                <c:ptCount val="31"/>
                <c:pt idx="0">
                  <c:v>24381</c:v>
                </c:pt>
                <c:pt idx="1">
                  <c:v>24619</c:v>
                </c:pt>
                <c:pt idx="2">
                  <c:v>24619</c:v>
                </c:pt>
                <c:pt idx="3">
                  <c:v>24619</c:v>
                </c:pt>
                <c:pt idx="4">
                  <c:v>25287</c:v>
                </c:pt>
                <c:pt idx="5">
                  <c:v>24955</c:v>
                </c:pt>
                <c:pt idx="6">
                  <c:v>24296</c:v>
                </c:pt>
                <c:pt idx="7">
                  <c:v>24175</c:v>
                </c:pt>
                <c:pt idx="8">
                  <c:v>26285</c:v>
                </c:pt>
                <c:pt idx="9">
                  <c:v>24406</c:v>
                </c:pt>
                <c:pt idx="10">
                  <c:v>24407</c:v>
                </c:pt>
                <c:pt idx="11">
                  <c:v>28918</c:v>
                </c:pt>
                <c:pt idx="12">
                  <c:v>33549</c:v>
                </c:pt>
                <c:pt idx="13">
                  <c:v>30136</c:v>
                </c:pt>
                <c:pt idx="14">
                  <c:v>30032</c:v>
                </c:pt>
                <c:pt idx="15">
                  <c:v>29883</c:v>
                </c:pt>
                <c:pt idx="16">
                  <c:v>31613</c:v>
                </c:pt>
                <c:pt idx="17">
                  <c:v>31613</c:v>
                </c:pt>
                <c:pt idx="18">
                  <c:v>29864</c:v>
                </c:pt>
                <c:pt idx="19">
                  <c:v>32113</c:v>
                </c:pt>
                <c:pt idx="20">
                  <c:v>33014</c:v>
                </c:pt>
                <c:pt idx="21">
                  <c:v>33671</c:v>
                </c:pt>
                <c:pt idx="22">
                  <c:v>35044</c:v>
                </c:pt>
                <c:pt idx="23">
                  <c:v>30412</c:v>
                </c:pt>
                <c:pt idx="24">
                  <c:v>30412</c:v>
                </c:pt>
                <c:pt idx="25">
                  <c:v>28104</c:v>
                </c:pt>
                <c:pt idx="26">
                  <c:v>28166</c:v>
                </c:pt>
                <c:pt idx="27">
                  <c:v>24892</c:v>
                </c:pt>
                <c:pt idx="28">
                  <c:v>26750</c:v>
                </c:pt>
                <c:pt idx="29">
                  <c:v>28166</c:v>
                </c:pt>
              </c:numCache>
            </c:numRef>
          </c:val>
          <c:extLst>
            <c:ext xmlns:c16="http://schemas.microsoft.com/office/drawing/2014/chart" uri="{C3380CC4-5D6E-409C-BE32-E72D297353CC}">
              <c16:uniqueId val="{00000000-9BF8-466C-8F8F-DD521425D44B}"/>
            </c:ext>
          </c:extLst>
        </c:ser>
        <c:dLbls>
          <c:showLegendKey val="0"/>
          <c:showVal val="0"/>
          <c:showCatName val="0"/>
          <c:showSerName val="0"/>
          <c:showPercent val="0"/>
          <c:showBubbleSize val="0"/>
        </c:dLbls>
        <c:gapWidth val="150"/>
        <c:shape val="box"/>
        <c:axId val="557044760"/>
        <c:axId val="557045744"/>
        <c:axId val="0"/>
      </c:bar3DChart>
      <c:catAx>
        <c:axId val="557044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5744"/>
        <c:crosses val="autoZero"/>
        <c:auto val="1"/>
        <c:lblAlgn val="ctr"/>
        <c:lblOffset val="100"/>
        <c:noMultiLvlLbl val="1"/>
      </c:catAx>
      <c:valAx>
        <c:axId val="55704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4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TSE Water Cosumption
(1000 liters)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016759372968288E-2"/>
          <c:y val="0.25083333333333335"/>
          <c:w val="0.9274694791591418"/>
          <c:h val="0.56753098571011962"/>
        </c:manualLayout>
      </c:layout>
      <c:bar3DChart>
        <c:barDir val="col"/>
        <c:grouping val="clustered"/>
        <c:varyColors val="0"/>
        <c:ser>
          <c:idx val="0"/>
          <c:order val="0"/>
          <c:tx>
            <c:strRef>
              <c:f>'[2]Utility Data &amp; Graph'!$E$2</c:f>
              <c:strCache>
                <c:ptCount val="1"/>
                <c:pt idx="0">
                  <c:v>TSE Water Cosumption
1000 liters</c:v>
                </c:pt>
              </c:strCache>
            </c:strRef>
          </c:tx>
          <c:spPr>
            <a:solidFill>
              <a:schemeClr val="accent1"/>
            </a:solidFill>
            <a:ln>
              <a:noFill/>
            </a:ln>
            <a:effectLst/>
            <a:sp3d/>
          </c:spPr>
          <c:invertIfNegative val="0"/>
          <c:cat>
            <c:numRef>
              <c:f>'[2]Utility Data &amp; Graph'!$A$3:$A$33</c:f>
              <c:numCache>
                <c:formatCode>General</c:formatCode>
                <c:ptCount val="31"/>
                <c:pt idx="0">
                  <c:v>43922</c:v>
                </c:pt>
                <c:pt idx="1">
                  <c:v>43923</c:v>
                </c:pt>
                <c:pt idx="2">
                  <c:v>43924</c:v>
                </c:pt>
                <c:pt idx="3">
                  <c:v>43925</c:v>
                </c:pt>
                <c:pt idx="4">
                  <c:v>43926</c:v>
                </c:pt>
                <c:pt idx="5">
                  <c:v>43927</c:v>
                </c:pt>
                <c:pt idx="6">
                  <c:v>43928</c:v>
                </c:pt>
                <c:pt idx="7">
                  <c:v>43929</c:v>
                </c:pt>
                <c:pt idx="8">
                  <c:v>43930</c:v>
                </c:pt>
                <c:pt idx="9">
                  <c:v>43931</c:v>
                </c:pt>
                <c:pt idx="10">
                  <c:v>43932</c:v>
                </c:pt>
                <c:pt idx="11">
                  <c:v>43933</c:v>
                </c:pt>
                <c:pt idx="12">
                  <c:v>43934</c:v>
                </c:pt>
                <c:pt idx="13">
                  <c:v>43935</c:v>
                </c:pt>
                <c:pt idx="14">
                  <c:v>43936</c:v>
                </c:pt>
                <c:pt idx="15">
                  <c:v>43937</c:v>
                </c:pt>
                <c:pt idx="16">
                  <c:v>43938</c:v>
                </c:pt>
                <c:pt idx="17">
                  <c:v>43939</c:v>
                </c:pt>
                <c:pt idx="18">
                  <c:v>43940</c:v>
                </c:pt>
                <c:pt idx="19">
                  <c:v>43941</c:v>
                </c:pt>
                <c:pt idx="20">
                  <c:v>43942</c:v>
                </c:pt>
                <c:pt idx="21">
                  <c:v>43943</c:v>
                </c:pt>
                <c:pt idx="22">
                  <c:v>43944</c:v>
                </c:pt>
                <c:pt idx="23">
                  <c:v>43945</c:v>
                </c:pt>
                <c:pt idx="24">
                  <c:v>43946</c:v>
                </c:pt>
                <c:pt idx="25">
                  <c:v>43947</c:v>
                </c:pt>
                <c:pt idx="26">
                  <c:v>43948</c:v>
                </c:pt>
                <c:pt idx="27">
                  <c:v>43949</c:v>
                </c:pt>
                <c:pt idx="28">
                  <c:v>43950</c:v>
                </c:pt>
                <c:pt idx="29">
                  <c:v>43951</c:v>
                </c:pt>
              </c:numCache>
            </c:numRef>
          </c:cat>
          <c:val>
            <c:numRef>
              <c:f>'[2]Utility Data &amp; Graph'!$E$3:$E$33</c:f>
              <c:numCache>
                <c:formatCode>General</c:formatCode>
                <c:ptCount val="31"/>
                <c:pt idx="0">
                  <c:v>69</c:v>
                </c:pt>
                <c:pt idx="1">
                  <c:v>22</c:v>
                </c:pt>
                <c:pt idx="2">
                  <c:v>22</c:v>
                </c:pt>
                <c:pt idx="3">
                  <c:v>22</c:v>
                </c:pt>
                <c:pt idx="4">
                  <c:v>123</c:v>
                </c:pt>
                <c:pt idx="5">
                  <c:v>133</c:v>
                </c:pt>
                <c:pt idx="6">
                  <c:v>138</c:v>
                </c:pt>
                <c:pt idx="7">
                  <c:v>134</c:v>
                </c:pt>
                <c:pt idx="8">
                  <c:v>142</c:v>
                </c:pt>
                <c:pt idx="9">
                  <c:v>40</c:v>
                </c:pt>
                <c:pt idx="10">
                  <c:v>40</c:v>
                </c:pt>
                <c:pt idx="11">
                  <c:v>114</c:v>
                </c:pt>
                <c:pt idx="12">
                  <c:v>69</c:v>
                </c:pt>
                <c:pt idx="13">
                  <c:v>89</c:v>
                </c:pt>
                <c:pt idx="14">
                  <c:v>144</c:v>
                </c:pt>
                <c:pt idx="15">
                  <c:v>34</c:v>
                </c:pt>
                <c:pt idx="16">
                  <c:v>19</c:v>
                </c:pt>
                <c:pt idx="17">
                  <c:v>19</c:v>
                </c:pt>
                <c:pt idx="18">
                  <c:v>106</c:v>
                </c:pt>
                <c:pt idx="19">
                  <c:v>164</c:v>
                </c:pt>
                <c:pt idx="20">
                  <c:v>153</c:v>
                </c:pt>
                <c:pt idx="21">
                  <c:v>132</c:v>
                </c:pt>
                <c:pt idx="22">
                  <c:v>93</c:v>
                </c:pt>
                <c:pt idx="23">
                  <c:v>59</c:v>
                </c:pt>
                <c:pt idx="24">
                  <c:v>59</c:v>
                </c:pt>
                <c:pt idx="25">
                  <c:v>160</c:v>
                </c:pt>
                <c:pt idx="26">
                  <c:v>85</c:v>
                </c:pt>
                <c:pt idx="27">
                  <c:v>116</c:v>
                </c:pt>
                <c:pt idx="28">
                  <c:v>183</c:v>
                </c:pt>
                <c:pt idx="29">
                  <c:v>160</c:v>
                </c:pt>
              </c:numCache>
            </c:numRef>
          </c:val>
          <c:extLst>
            <c:ext xmlns:c16="http://schemas.microsoft.com/office/drawing/2014/chart" uri="{C3380CC4-5D6E-409C-BE32-E72D297353CC}">
              <c16:uniqueId val="{00000000-5477-4069-9255-5A45E1DCD471}"/>
            </c:ext>
          </c:extLst>
        </c:ser>
        <c:dLbls>
          <c:showLegendKey val="0"/>
          <c:showVal val="0"/>
          <c:showCatName val="0"/>
          <c:showSerName val="0"/>
          <c:showPercent val="0"/>
          <c:showBubbleSize val="0"/>
        </c:dLbls>
        <c:gapWidth val="150"/>
        <c:shape val="box"/>
        <c:axId val="506834352"/>
        <c:axId val="506834680"/>
        <c:axId val="0"/>
      </c:bar3DChart>
      <c:catAx>
        <c:axId val="50683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680"/>
        <c:crosses val="autoZero"/>
        <c:auto val="1"/>
        <c:lblAlgn val="ctr"/>
        <c:lblOffset val="100"/>
        <c:noMultiLvlLbl val="1"/>
      </c:catAx>
      <c:valAx>
        <c:axId val="506834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Power Consumption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781194400860955E-2"/>
          <c:y val="0.17224171539961014"/>
          <c:w val="0.91044798185316578"/>
          <c:h val="0.65530874430169916"/>
        </c:manualLayout>
      </c:layout>
      <c:bar3DChart>
        <c:barDir val="col"/>
        <c:grouping val="clustered"/>
        <c:varyColors val="0"/>
        <c:ser>
          <c:idx val="0"/>
          <c:order val="0"/>
          <c:tx>
            <c:strRef>
              <c:f>'[3]Utility Data &amp; Graph'!$C$2</c:f>
              <c:strCache>
                <c:ptCount val="1"/>
                <c:pt idx="0">
                  <c:v>Power
Consumption
KWH</c:v>
                </c:pt>
              </c:strCache>
            </c:strRef>
          </c:tx>
          <c:spPr>
            <a:solidFill>
              <a:schemeClr val="accent1"/>
            </a:solidFill>
            <a:ln>
              <a:noFill/>
            </a:ln>
            <a:effectLst/>
            <a:sp3d/>
          </c:spPr>
          <c:invertIfNegative val="0"/>
          <c:cat>
            <c:numRef>
              <c:f>'[3]Utility Data &amp; Graph'!$A$3:$A$33</c:f>
              <c:numCache>
                <c:formatCode>General</c:formatCode>
                <c:ptCount val="31"/>
                <c:pt idx="0">
                  <c:v>43952</c:v>
                </c:pt>
                <c:pt idx="1">
                  <c:v>43953</c:v>
                </c:pt>
                <c:pt idx="2">
                  <c:v>43954</c:v>
                </c:pt>
                <c:pt idx="3">
                  <c:v>43955</c:v>
                </c:pt>
                <c:pt idx="4">
                  <c:v>43956</c:v>
                </c:pt>
                <c:pt idx="5">
                  <c:v>43957</c:v>
                </c:pt>
                <c:pt idx="6">
                  <c:v>43958</c:v>
                </c:pt>
                <c:pt idx="7">
                  <c:v>43959</c:v>
                </c:pt>
                <c:pt idx="8">
                  <c:v>43960</c:v>
                </c:pt>
                <c:pt idx="9">
                  <c:v>43961</c:v>
                </c:pt>
                <c:pt idx="10">
                  <c:v>43962</c:v>
                </c:pt>
                <c:pt idx="11">
                  <c:v>43963</c:v>
                </c:pt>
                <c:pt idx="12">
                  <c:v>43964</c:v>
                </c:pt>
                <c:pt idx="13">
                  <c:v>43965</c:v>
                </c:pt>
                <c:pt idx="14">
                  <c:v>43966</c:v>
                </c:pt>
                <c:pt idx="15">
                  <c:v>43967</c:v>
                </c:pt>
                <c:pt idx="16">
                  <c:v>43968</c:v>
                </c:pt>
                <c:pt idx="17">
                  <c:v>43969</c:v>
                </c:pt>
                <c:pt idx="18">
                  <c:v>43970</c:v>
                </c:pt>
                <c:pt idx="19">
                  <c:v>43971</c:v>
                </c:pt>
                <c:pt idx="20">
                  <c:v>43972</c:v>
                </c:pt>
                <c:pt idx="21">
                  <c:v>43973</c:v>
                </c:pt>
                <c:pt idx="22">
                  <c:v>43974</c:v>
                </c:pt>
                <c:pt idx="23">
                  <c:v>43975</c:v>
                </c:pt>
                <c:pt idx="24">
                  <c:v>43976</c:v>
                </c:pt>
                <c:pt idx="25">
                  <c:v>43977</c:v>
                </c:pt>
                <c:pt idx="26">
                  <c:v>43978</c:v>
                </c:pt>
                <c:pt idx="27">
                  <c:v>43979</c:v>
                </c:pt>
                <c:pt idx="28">
                  <c:v>43980</c:v>
                </c:pt>
                <c:pt idx="29">
                  <c:v>43981</c:v>
                </c:pt>
                <c:pt idx="30">
                  <c:v>43982</c:v>
                </c:pt>
              </c:numCache>
            </c:numRef>
          </c:cat>
          <c:val>
            <c:numRef>
              <c:f>'[3]Utility Data &amp; Graph'!$C$3:$C$33</c:f>
              <c:numCache>
                <c:formatCode>General</c:formatCode>
                <c:ptCount val="31"/>
                <c:pt idx="0">
                  <c:v>24381</c:v>
                </c:pt>
                <c:pt idx="1">
                  <c:v>24619</c:v>
                </c:pt>
                <c:pt idx="2">
                  <c:v>24619</c:v>
                </c:pt>
                <c:pt idx="3">
                  <c:v>24619</c:v>
                </c:pt>
                <c:pt idx="4">
                  <c:v>25287</c:v>
                </c:pt>
                <c:pt idx="5">
                  <c:v>24955</c:v>
                </c:pt>
                <c:pt idx="6">
                  <c:v>24296</c:v>
                </c:pt>
                <c:pt idx="7">
                  <c:v>24175</c:v>
                </c:pt>
                <c:pt idx="8">
                  <c:v>26285</c:v>
                </c:pt>
                <c:pt idx="9">
                  <c:v>24406</c:v>
                </c:pt>
                <c:pt idx="10">
                  <c:v>24407</c:v>
                </c:pt>
                <c:pt idx="11">
                  <c:v>28918</c:v>
                </c:pt>
                <c:pt idx="12">
                  <c:v>33549</c:v>
                </c:pt>
                <c:pt idx="13">
                  <c:v>30136</c:v>
                </c:pt>
                <c:pt idx="14">
                  <c:v>30032</c:v>
                </c:pt>
                <c:pt idx="15">
                  <c:v>29883</c:v>
                </c:pt>
                <c:pt idx="16">
                  <c:v>31613</c:v>
                </c:pt>
                <c:pt idx="17">
                  <c:v>31613</c:v>
                </c:pt>
                <c:pt idx="18">
                  <c:v>29864</c:v>
                </c:pt>
                <c:pt idx="19">
                  <c:v>32113</c:v>
                </c:pt>
                <c:pt idx="20">
                  <c:v>33014</c:v>
                </c:pt>
                <c:pt idx="21">
                  <c:v>33671</c:v>
                </c:pt>
                <c:pt idx="22">
                  <c:v>35044</c:v>
                </c:pt>
                <c:pt idx="23">
                  <c:v>30412</c:v>
                </c:pt>
                <c:pt idx="24">
                  <c:v>30412</c:v>
                </c:pt>
                <c:pt idx="25">
                  <c:v>28104</c:v>
                </c:pt>
                <c:pt idx="26">
                  <c:v>28166</c:v>
                </c:pt>
                <c:pt idx="27">
                  <c:v>24892</c:v>
                </c:pt>
                <c:pt idx="28">
                  <c:v>26750</c:v>
                </c:pt>
                <c:pt idx="29">
                  <c:v>28166</c:v>
                </c:pt>
              </c:numCache>
            </c:numRef>
          </c:val>
          <c:extLst>
            <c:ext xmlns:c16="http://schemas.microsoft.com/office/drawing/2014/chart" uri="{C3380CC4-5D6E-409C-BE32-E72D297353CC}">
              <c16:uniqueId val="{00000000-F3C7-4384-AF51-D82B41DA1581}"/>
            </c:ext>
          </c:extLst>
        </c:ser>
        <c:dLbls>
          <c:showLegendKey val="0"/>
          <c:showVal val="0"/>
          <c:showCatName val="0"/>
          <c:showSerName val="0"/>
          <c:showPercent val="0"/>
          <c:showBubbleSize val="0"/>
        </c:dLbls>
        <c:gapWidth val="150"/>
        <c:shape val="box"/>
        <c:axId val="557044760"/>
        <c:axId val="557045744"/>
        <c:axId val="0"/>
      </c:bar3DChart>
      <c:catAx>
        <c:axId val="557044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5744"/>
        <c:crosses val="autoZero"/>
        <c:auto val="1"/>
        <c:lblAlgn val="ctr"/>
        <c:lblOffset val="100"/>
        <c:noMultiLvlLbl val="0"/>
      </c:catAx>
      <c:valAx>
        <c:axId val="55704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4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TSE Water Cosumption
(1000 liters)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016759372968288E-2"/>
          <c:y val="0.25083333333333335"/>
          <c:w val="0.9274694791591418"/>
          <c:h val="0.56753098571011962"/>
        </c:manualLayout>
      </c:layout>
      <c:bar3DChart>
        <c:barDir val="col"/>
        <c:grouping val="clustered"/>
        <c:varyColors val="0"/>
        <c:ser>
          <c:idx val="0"/>
          <c:order val="0"/>
          <c:tx>
            <c:strRef>
              <c:f>'[3]Utility Data &amp; Graph'!$E$2</c:f>
              <c:strCache>
                <c:ptCount val="1"/>
                <c:pt idx="0">
                  <c:v>TSE Water Cosumption
1000 liters</c:v>
                </c:pt>
              </c:strCache>
            </c:strRef>
          </c:tx>
          <c:spPr>
            <a:solidFill>
              <a:schemeClr val="accent1"/>
            </a:solidFill>
            <a:ln>
              <a:noFill/>
            </a:ln>
            <a:effectLst/>
            <a:sp3d/>
          </c:spPr>
          <c:invertIfNegative val="0"/>
          <c:cat>
            <c:numRef>
              <c:f>'[3]Utility Data &amp; Graph'!$A$3:$A$33</c:f>
              <c:numCache>
                <c:formatCode>General</c:formatCode>
                <c:ptCount val="31"/>
                <c:pt idx="0">
                  <c:v>43952</c:v>
                </c:pt>
                <c:pt idx="1">
                  <c:v>43953</c:v>
                </c:pt>
                <c:pt idx="2">
                  <c:v>43954</c:v>
                </c:pt>
                <c:pt idx="3">
                  <c:v>43955</c:v>
                </c:pt>
                <c:pt idx="4">
                  <c:v>43956</c:v>
                </c:pt>
                <c:pt idx="5">
                  <c:v>43957</c:v>
                </c:pt>
                <c:pt idx="6">
                  <c:v>43958</c:v>
                </c:pt>
                <c:pt idx="7">
                  <c:v>43959</c:v>
                </c:pt>
                <c:pt idx="8">
                  <c:v>43960</c:v>
                </c:pt>
                <c:pt idx="9">
                  <c:v>43961</c:v>
                </c:pt>
                <c:pt idx="10">
                  <c:v>43962</c:v>
                </c:pt>
                <c:pt idx="11">
                  <c:v>43963</c:v>
                </c:pt>
                <c:pt idx="12">
                  <c:v>43964</c:v>
                </c:pt>
                <c:pt idx="13">
                  <c:v>43965</c:v>
                </c:pt>
                <c:pt idx="14">
                  <c:v>43966</c:v>
                </c:pt>
                <c:pt idx="15">
                  <c:v>43967</c:v>
                </c:pt>
                <c:pt idx="16">
                  <c:v>43968</c:v>
                </c:pt>
                <c:pt idx="17">
                  <c:v>43969</c:v>
                </c:pt>
                <c:pt idx="18">
                  <c:v>43970</c:v>
                </c:pt>
                <c:pt idx="19">
                  <c:v>43971</c:v>
                </c:pt>
                <c:pt idx="20">
                  <c:v>43972</c:v>
                </c:pt>
                <c:pt idx="21">
                  <c:v>43973</c:v>
                </c:pt>
                <c:pt idx="22">
                  <c:v>43974</c:v>
                </c:pt>
                <c:pt idx="23">
                  <c:v>43975</c:v>
                </c:pt>
                <c:pt idx="24">
                  <c:v>43976</c:v>
                </c:pt>
                <c:pt idx="25">
                  <c:v>43977</c:v>
                </c:pt>
                <c:pt idx="26">
                  <c:v>43978</c:v>
                </c:pt>
                <c:pt idx="27">
                  <c:v>43979</c:v>
                </c:pt>
                <c:pt idx="28">
                  <c:v>43980</c:v>
                </c:pt>
                <c:pt idx="29">
                  <c:v>43981</c:v>
                </c:pt>
                <c:pt idx="30">
                  <c:v>43982</c:v>
                </c:pt>
              </c:numCache>
            </c:numRef>
          </c:cat>
          <c:val>
            <c:numRef>
              <c:f>'[3]Utility Data &amp; Graph'!$E$3:$E$33</c:f>
              <c:numCache>
                <c:formatCode>General</c:formatCode>
                <c:ptCount val="31"/>
                <c:pt idx="0">
                  <c:v>69</c:v>
                </c:pt>
                <c:pt idx="1">
                  <c:v>22</c:v>
                </c:pt>
                <c:pt idx="2">
                  <c:v>22</c:v>
                </c:pt>
                <c:pt idx="3">
                  <c:v>22</c:v>
                </c:pt>
                <c:pt idx="4">
                  <c:v>123</c:v>
                </c:pt>
                <c:pt idx="5">
                  <c:v>133</c:v>
                </c:pt>
                <c:pt idx="6">
                  <c:v>138</c:v>
                </c:pt>
                <c:pt idx="7">
                  <c:v>134</c:v>
                </c:pt>
                <c:pt idx="8">
                  <c:v>142</c:v>
                </c:pt>
                <c:pt idx="9">
                  <c:v>40</c:v>
                </c:pt>
                <c:pt idx="10">
                  <c:v>40</c:v>
                </c:pt>
                <c:pt idx="11">
                  <c:v>114</c:v>
                </c:pt>
                <c:pt idx="12">
                  <c:v>69</c:v>
                </c:pt>
                <c:pt idx="13">
                  <c:v>89</c:v>
                </c:pt>
                <c:pt idx="14">
                  <c:v>144</c:v>
                </c:pt>
                <c:pt idx="15">
                  <c:v>34</c:v>
                </c:pt>
                <c:pt idx="16">
                  <c:v>19</c:v>
                </c:pt>
                <c:pt idx="17">
                  <c:v>19</c:v>
                </c:pt>
                <c:pt idx="18">
                  <c:v>106</c:v>
                </c:pt>
                <c:pt idx="19">
                  <c:v>164</c:v>
                </c:pt>
                <c:pt idx="20">
                  <c:v>153</c:v>
                </c:pt>
                <c:pt idx="21">
                  <c:v>132</c:v>
                </c:pt>
                <c:pt idx="22">
                  <c:v>93</c:v>
                </c:pt>
                <c:pt idx="23">
                  <c:v>59</c:v>
                </c:pt>
                <c:pt idx="24">
                  <c:v>59</c:v>
                </c:pt>
                <c:pt idx="25">
                  <c:v>160</c:v>
                </c:pt>
                <c:pt idx="26">
                  <c:v>85</c:v>
                </c:pt>
                <c:pt idx="27">
                  <c:v>116</c:v>
                </c:pt>
                <c:pt idx="28">
                  <c:v>183</c:v>
                </c:pt>
                <c:pt idx="29">
                  <c:v>160</c:v>
                </c:pt>
              </c:numCache>
            </c:numRef>
          </c:val>
          <c:extLst>
            <c:ext xmlns:c16="http://schemas.microsoft.com/office/drawing/2014/chart" uri="{C3380CC4-5D6E-409C-BE32-E72D297353CC}">
              <c16:uniqueId val="{00000000-BC56-4FFA-9DBF-1DEBE81F9EA6}"/>
            </c:ext>
          </c:extLst>
        </c:ser>
        <c:dLbls>
          <c:showLegendKey val="0"/>
          <c:showVal val="0"/>
          <c:showCatName val="0"/>
          <c:showSerName val="0"/>
          <c:showPercent val="0"/>
          <c:showBubbleSize val="0"/>
        </c:dLbls>
        <c:gapWidth val="150"/>
        <c:shape val="box"/>
        <c:axId val="506834352"/>
        <c:axId val="506834680"/>
        <c:axId val="0"/>
      </c:bar3DChart>
      <c:catAx>
        <c:axId val="50683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680"/>
        <c:crosses val="autoZero"/>
        <c:auto val="1"/>
        <c:lblAlgn val="ctr"/>
        <c:lblOffset val="100"/>
        <c:noMultiLvlLbl val="0"/>
      </c:catAx>
      <c:valAx>
        <c:axId val="506834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'[4]Utility Consumption'!$B$37</c:f>
              <c:strCache>
                <c:ptCount val="1"/>
                <c:pt idx="0">
                  <c:v>TSE Water Cosumption
1000 liters</c:v>
                </c:pt>
              </c:strCache>
            </c:strRef>
          </c:tx>
          <c:spPr>
            <a:solidFill>
              <a:schemeClr val="accent1"/>
            </a:solidFill>
            <a:ln>
              <a:noFill/>
            </a:ln>
            <a:effectLst/>
          </c:spPr>
          <c:invertIfNegative val="0"/>
          <c:cat>
            <c:numRef>
              <c:f>'[4]Utility Consumption'!$A$38:$A$68</c:f>
              <c:numCache>
                <c:formatCode>General</c:formatCode>
                <c:ptCount val="31"/>
                <c:pt idx="0">
                  <c:v>43952</c:v>
                </c:pt>
                <c:pt idx="1">
                  <c:v>43953</c:v>
                </c:pt>
                <c:pt idx="2">
                  <c:v>43954</c:v>
                </c:pt>
                <c:pt idx="3">
                  <c:v>43955</c:v>
                </c:pt>
                <c:pt idx="4">
                  <c:v>43956</c:v>
                </c:pt>
                <c:pt idx="5">
                  <c:v>43957</c:v>
                </c:pt>
                <c:pt idx="6">
                  <c:v>43958</c:v>
                </c:pt>
                <c:pt idx="7">
                  <c:v>43959</c:v>
                </c:pt>
                <c:pt idx="8">
                  <c:v>43960</c:v>
                </c:pt>
                <c:pt idx="9">
                  <c:v>43961</c:v>
                </c:pt>
                <c:pt idx="10">
                  <c:v>43962</c:v>
                </c:pt>
                <c:pt idx="11">
                  <c:v>43963</c:v>
                </c:pt>
                <c:pt idx="12">
                  <c:v>43964</c:v>
                </c:pt>
                <c:pt idx="13">
                  <c:v>43965</c:v>
                </c:pt>
                <c:pt idx="14">
                  <c:v>43966</c:v>
                </c:pt>
                <c:pt idx="15">
                  <c:v>43967</c:v>
                </c:pt>
                <c:pt idx="16">
                  <c:v>43968</c:v>
                </c:pt>
                <c:pt idx="17">
                  <c:v>43969</c:v>
                </c:pt>
                <c:pt idx="18">
                  <c:v>43970</c:v>
                </c:pt>
                <c:pt idx="19">
                  <c:v>43971</c:v>
                </c:pt>
                <c:pt idx="20">
                  <c:v>43972</c:v>
                </c:pt>
                <c:pt idx="21">
                  <c:v>43973</c:v>
                </c:pt>
                <c:pt idx="22">
                  <c:v>43974</c:v>
                </c:pt>
                <c:pt idx="23">
                  <c:v>43975</c:v>
                </c:pt>
                <c:pt idx="24">
                  <c:v>43976</c:v>
                </c:pt>
                <c:pt idx="25">
                  <c:v>43977</c:v>
                </c:pt>
                <c:pt idx="26">
                  <c:v>43978</c:v>
                </c:pt>
                <c:pt idx="27">
                  <c:v>43979</c:v>
                </c:pt>
                <c:pt idx="28">
                  <c:v>43980</c:v>
                </c:pt>
                <c:pt idx="29">
                  <c:v>43981</c:v>
                </c:pt>
                <c:pt idx="30">
                  <c:v>43982</c:v>
                </c:pt>
              </c:numCache>
            </c:numRef>
          </c:cat>
          <c:val>
            <c:numRef>
              <c:f>'[4]Utility Consumption'!$B$38:$B$68</c:f>
              <c:numCache>
                <c:formatCode>General</c:formatCode>
                <c:ptCount val="31"/>
                <c:pt idx="0">
                  <c:v>69</c:v>
                </c:pt>
                <c:pt idx="1">
                  <c:v>79</c:v>
                </c:pt>
                <c:pt idx="2">
                  <c:v>144</c:v>
                </c:pt>
                <c:pt idx="3">
                  <c:v>88</c:v>
                </c:pt>
                <c:pt idx="4">
                  <c:v>137</c:v>
                </c:pt>
                <c:pt idx="5">
                  <c:v>145</c:v>
                </c:pt>
                <c:pt idx="6">
                  <c:v>79</c:v>
                </c:pt>
                <c:pt idx="7">
                  <c:v>79</c:v>
                </c:pt>
                <c:pt idx="8">
                  <c:v>189</c:v>
                </c:pt>
                <c:pt idx="9">
                  <c:v>106</c:v>
                </c:pt>
                <c:pt idx="10">
                  <c:v>145</c:v>
                </c:pt>
                <c:pt idx="11">
                  <c:v>105</c:v>
                </c:pt>
                <c:pt idx="12">
                  <c:v>112</c:v>
                </c:pt>
                <c:pt idx="13">
                  <c:v>79</c:v>
                </c:pt>
                <c:pt idx="14">
                  <c:v>79</c:v>
                </c:pt>
                <c:pt idx="15">
                  <c:v>52</c:v>
                </c:pt>
                <c:pt idx="16">
                  <c:v>88</c:v>
                </c:pt>
                <c:pt idx="17">
                  <c:v>114</c:v>
                </c:pt>
                <c:pt idx="18">
                  <c:v>80</c:v>
                </c:pt>
                <c:pt idx="19">
                  <c:v>116</c:v>
                </c:pt>
                <c:pt idx="20">
                  <c:v>87</c:v>
                </c:pt>
                <c:pt idx="21">
                  <c:v>87</c:v>
                </c:pt>
                <c:pt idx="22">
                  <c:v>114</c:v>
                </c:pt>
                <c:pt idx="23">
                  <c:v>92</c:v>
                </c:pt>
                <c:pt idx="24">
                  <c:v>106</c:v>
                </c:pt>
                <c:pt idx="25">
                  <c:v>58</c:v>
                </c:pt>
                <c:pt idx="26">
                  <c:v>233</c:v>
                </c:pt>
                <c:pt idx="27">
                  <c:v>115</c:v>
                </c:pt>
                <c:pt idx="28">
                  <c:v>69</c:v>
                </c:pt>
                <c:pt idx="29">
                  <c:v>63</c:v>
                </c:pt>
                <c:pt idx="30">
                  <c:v>88</c:v>
                </c:pt>
              </c:numCache>
            </c:numRef>
          </c:val>
          <c:extLst>
            <c:ext xmlns:c16="http://schemas.microsoft.com/office/drawing/2014/chart" uri="{C3380CC4-5D6E-409C-BE32-E72D297353CC}">
              <c16:uniqueId val="{00000000-C71F-4F0F-AE19-ABC104B155C4}"/>
            </c:ext>
          </c:extLst>
        </c:ser>
        <c:dLbls>
          <c:showLegendKey val="0"/>
          <c:showVal val="0"/>
          <c:showCatName val="0"/>
          <c:showSerName val="0"/>
          <c:showPercent val="0"/>
          <c:showBubbleSize val="0"/>
        </c:dLbls>
        <c:gapWidth val="219"/>
        <c:overlap val="-27"/>
        <c:axId val="335373288"/>
        <c:axId val="335373616"/>
      </c:barChart>
      <c:catAx>
        <c:axId val="33537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616"/>
        <c:crosses val="autoZero"/>
        <c:auto val="1"/>
        <c:lblAlgn val="ctr"/>
        <c:lblOffset val="100"/>
        <c:noMultiLvlLbl val="1"/>
      </c:catAx>
      <c:valAx>
        <c:axId val="335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'[4]Utility Consumption'!$B$70</c:f>
              <c:strCache>
                <c:ptCount val="1"/>
                <c:pt idx="0">
                  <c:v>Power
Consumption
KWH</c:v>
                </c:pt>
              </c:strCache>
            </c:strRef>
          </c:tx>
          <c:spPr>
            <a:solidFill>
              <a:schemeClr val="accent1"/>
            </a:solidFill>
            <a:ln>
              <a:noFill/>
            </a:ln>
            <a:effectLst/>
          </c:spPr>
          <c:invertIfNegative val="0"/>
          <c:cat>
            <c:numRef>
              <c:f>'[4]Utility Consumption'!$A$71:$A$101</c:f>
              <c:numCache>
                <c:formatCode>General</c:formatCode>
                <c:ptCount val="31"/>
                <c:pt idx="0">
                  <c:v>43952</c:v>
                </c:pt>
                <c:pt idx="1">
                  <c:v>43953</c:v>
                </c:pt>
                <c:pt idx="2">
                  <c:v>43954</c:v>
                </c:pt>
                <c:pt idx="3">
                  <c:v>43955</c:v>
                </c:pt>
                <c:pt idx="4">
                  <c:v>43956</c:v>
                </c:pt>
                <c:pt idx="5">
                  <c:v>43957</c:v>
                </c:pt>
                <c:pt idx="6">
                  <c:v>43958</c:v>
                </c:pt>
                <c:pt idx="7">
                  <c:v>43959</c:v>
                </c:pt>
                <c:pt idx="8">
                  <c:v>43960</c:v>
                </c:pt>
                <c:pt idx="9">
                  <c:v>43961</c:v>
                </c:pt>
                <c:pt idx="10">
                  <c:v>43962</c:v>
                </c:pt>
                <c:pt idx="11">
                  <c:v>43963</c:v>
                </c:pt>
                <c:pt idx="12">
                  <c:v>43964</c:v>
                </c:pt>
                <c:pt idx="13">
                  <c:v>43965</c:v>
                </c:pt>
                <c:pt idx="14">
                  <c:v>43966</c:v>
                </c:pt>
                <c:pt idx="15">
                  <c:v>43967</c:v>
                </c:pt>
                <c:pt idx="16">
                  <c:v>43968</c:v>
                </c:pt>
                <c:pt idx="17">
                  <c:v>43969</c:v>
                </c:pt>
                <c:pt idx="18">
                  <c:v>43970</c:v>
                </c:pt>
                <c:pt idx="19">
                  <c:v>43971</c:v>
                </c:pt>
                <c:pt idx="20">
                  <c:v>43972</c:v>
                </c:pt>
                <c:pt idx="21">
                  <c:v>43973</c:v>
                </c:pt>
                <c:pt idx="22">
                  <c:v>43974</c:v>
                </c:pt>
                <c:pt idx="23">
                  <c:v>43975</c:v>
                </c:pt>
                <c:pt idx="24">
                  <c:v>43976</c:v>
                </c:pt>
                <c:pt idx="25">
                  <c:v>43977</c:v>
                </c:pt>
                <c:pt idx="26">
                  <c:v>43978</c:v>
                </c:pt>
                <c:pt idx="27">
                  <c:v>43979</c:v>
                </c:pt>
                <c:pt idx="28">
                  <c:v>43980</c:v>
                </c:pt>
                <c:pt idx="29">
                  <c:v>43981</c:v>
                </c:pt>
                <c:pt idx="30">
                  <c:v>43982</c:v>
                </c:pt>
              </c:numCache>
            </c:numRef>
          </c:cat>
          <c:val>
            <c:numRef>
              <c:f>'[4]Utility Consumption'!$B$71:$B$101</c:f>
              <c:numCache>
                <c:formatCode>General</c:formatCode>
                <c:ptCount val="31"/>
                <c:pt idx="0">
                  <c:v>23097</c:v>
                </c:pt>
                <c:pt idx="1">
                  <c:v>34355</c:v>
                </c:pt>
                <c:pt idx="2">
                  <c:v>34355</c:v>
                </c:pt>
                <c:pt idx="3">
                  <c:v>28437</c:v>
                </c:pt>
                <c:pt idx="4">
                  <c:v>26699</c:v>
                </c:pt>
                <c:pt idx="5">
                  <c:v>27125</c:v>
                </c:pt>
                <c:pt idx="6">
                  <c:v>28198</c:v>
                </c:pt>
                <c:pt idx="7">
                  <c:v>28198</c:v>
                </c:pt>
                <c:pt idx="8">
                  <c:v>26973</c:v>
                </c:pt>
                <c:pt idx="9">
                  <c:v>33203</c:v>
                </c:pt>
                <c:pt idx="10">
                  <c:v>34761</c:v>
                </c:pt>
                <c:pt idx="11">
                  <c:v>33464</c:v>
                </c:pt>
                <c:pt idx="12">
                  <c:v>32768</c:v>
                </c:pt>
                <c:pt idx="13">
                  <c:v>33146</c:v>
                </c:pt>
                <c:pt idx="14">
                  <c:v>33146</c:v>
                </c:pt>
                <c:pt idx="15">
                  <c:v>34277</c:v>
                </c:pt>
                <c:pt idx="16">
                  <c:v>33871</c:v>
                </c:pt>
                <c:pt idx="17">
                  <c:v>33349</c:v>
                </c:pt>
                <c:pt idx="18">
                  <c:v>35540</c:v>
                </c:pt>
                <c:pt idx="19">
                  <c:v>29707</c:v>
                </c:pt>
                <c:pt idx="20">
                  <c:v>29003</c:v>
                </c:pt>
                <c:pt idx="21">
                  <c:v>29003</c:v>
                </c:pt>
                <c:pt idx="22">
                  <c:v>31000</c:v>
                </c:pt>
                <c:pt idx="23">
                  <c:v>27576</c:v>
                </c:pt>
                <c:pt idx="24">
                  <c:v>33349</c:v>
                </c:pt>
                <c:pt idx="25">
                  <c:v>23205</c:v>
                </c:pt>
                <c:pt idx="26">
                  <c:v>29904</c:v>
                </c:pt>
                <c:pt idx="27">
                  <c:v>32942</c:v>
                </c:pt>
                <c:pt idx="28">
                  <c:v>35540</c:v>
                </c:pt>
                <c:pt idx="29">
                  <c:v>24611</c:v>
                </c:pt>
                <c:pt idx="30">
                  <c:v>33349</c:v>
                </c:pt>
              </c:numCache>
            </c:numRef>
          </c:val>
          <c:extLst>
            <c:ext xmlns:c16="http://schemas.microsoft.com/office/drawing/2014/chart" uri="{C3380CC4-5D6E-409C-BE32-E72D297353CC}">
              <c16:uniqueId val="{00000000-ED23-4759-8C09-364CD5887711}"/>
            </c:ext>
          </c:extLst>
        </c:ser>
        <c:dLbls>
          <c:showLegendKey val="0"/>
          <c:showVal val="0"/>
          <c:showCatName val="0"/>
          <c:showSerName val="0"/>
          <c:showPercent val="0"/>
          <c:showBubbleSize val="0"/>
        </c:dLbls>
        <c:gapWidth val="219"/>
        <c:overlap val="-27"/>
        <c:axId val="583098320"/>
        <c:axId val="583098648"/>
      </c:barChart>
      <c:catAx>
        <c:axId val="5830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648"/>
        <c:crosses val="autoZero"/>
        <c:auto val="1"/>
        <c:lblAlgn val="ctr"/>
        <c:lblOffset val="100"/>
        <c:noMultiLvlLbl val="1"/>
      </c:catAx>
      <c:valAx>
        <c:axId val="5830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Power Consumption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781194400860955E-2"/>
          <c:y val="0.17224171539961014"/>
          <c:w val="0.91044798185316578"/>
          <c:h val="0.65530874430169916"/>
        </c:manualLayout>
      </c:layout>
      <c:bar3DChart>
        <c:barDir val="col"/>
        <c:grouping val="clustered"/>
        <c:varyColors val="0"/>
        <c:ser>
          <c:idx val="0"/>
          <c:order val="0"/>
          <c:tx>
            <c:strRef>
              <c:f>'[3]Utility Data &amp; Graph'!$C$2</c:f>
              <c:strCache>
                <c:ptCount val="1"/>
                <c:pt idx="0">
                  <c:v>Power
Consumption
KWH</c:v>
                </c:pt>
              </c:strCache>
            </c:strRef>
          </c:tx>
          <c:spPr>
            <a:solidFill>
              <a:schemeClr val="accent1"/>
            </a:solidFill>
            <a:ln>
              <a:noFill/>
            </a:ln>
            <a:effectLst/>
            <a:sp3d/>
          </c:spPr>
          <c:invertIfNegative val="0"/>
          <c:cat>
            <c:numRef>
              <c:f>'[3]Utility Data &amp; Graph'!$A$3:$A$33</c:f>
              <c:numCache>
                <c:formatCode>General</c:formatCode>
                <c:ptCount val="31"/>
                <c:pt idx="0">
                  <c:v>43952</c:v>
                </c:pt>
                <c:pt idx="1">
                  <c:v>43953</c:v>
                </c:pt>
                <c:pt idx="2">
                  <c:v>43954</c:v>
                </c:pt>
                <c:pt idx="3">
                  <c:v>43955</c:v>
                </c:pt>
                <c:pt idx="4">
                  <c:v>43956</c:v>
                </c:pt>
                <c:pt idx="5">
                  <c:v>43957</c:v>
                </c:pt>
                <c:pt idx="6">
                  <c:v>43958</c:v>
                </c:pt>
                <c:pt idx="7">
                  <c:v>43959</c:v>
                </c:pt>
                <c:pt idx="8">
                  <c:v>43960</c:v>
                </c:pt>
                <c:pt idx="9">
                  <c:v>43961</c:v>
                </c:pt>
                <c:pt idx="10">
                  <c:v>43962</c:v>
                </c:pt>
                <c:pt idx="11">
                  <c:v>43963</c:v>
                </c:pt>
                <c:pt idx="12">
                  <c:v>43964</c:v>
                </c:pt>
                <c:pt idx="13">
                  <c:v>43965</c:v>
                </c:pt>
                <c:pt idx="14">
                  <c:v>43966</c:v>
                </c:pt>
                <c:pt idx="15">
                  <c:v>43967</c:v>
                </c:pt>
                <c:pt idx="16">
                  <c:v>43968</c:v>
                </c:pt>
                <c:pt idx="17">
                  <c:v>43969</c:v>
                </c:pt>
                <c:pt idx="18">
                  <c:v>43970</c:v>
                </c:pt>
                <c:pt idx="19">
                  <c:v>43971</c:v>
                </c:pt>
                <c:pt idx="20">
                  <c:v>43972</c:v>
                </c:pt>
                <c:pt idx="21">
                  <c:v>43973</c:v>
                </c:pt>
                <c:pt idx="22">
                  <c:v>43974</c:v>
                </c:pt>
                <c:pt idx="23">
                  <c:v>43975</c:v>
                </c:pt>
                <c:pt idx="24">
                  <c:v>43976</c:v>
                </c:pt>
                <c:pt idx="25">
                  <c:v>43977</c:v>
                </c:pt>
                <c:pt idx="26">
                  <c:v>43978</c:v>
                </c:pt>
                <c:pt idx="27">
                  <c:v>43979</c:v>
                </c:pt>
                <c:pt idx="28">
                  <c:v>43980</c:v>
                </c:pt>
                <c:pt idx="29">
                  <c:v>43981</c:v>
                </c:pt>
                <c:pt idx="30">
                  <c:v>43982</c:v>
                </c:pt>
              </c:numCache>
            </c:numRef>
          </c:cat>
          <c:val>
            <c:numRef>
              <c:f>'[3]Utility Data &amp; Graph'!$C$3:$C$33</c:f>
              <c:numCache>
                <c:formatCode>General</c:formatCode>
                <c:ptCount val="31"/>
                <c:pt idx="0">
                  <c:v>24381</c:v>
                </c:pt>
                <c:pt idx="1">
                  <c:v>24619</c:v>
                </c:pt>
                <c:pt idx="2">
                  <c:v>24619</c:v>
                </c:pt>
                <c:pt idx="3">
                  <c:v>24619</c:v>
                </c:pt>
                <c:pt idx="4">
                  <c:v>25287</c:v>
                </c:pt>
                <c:pt idx="5">
                  <c:v>24955</c:v>
                </c:pt>
                <c:pt idx="6">
                  <c:v>24296</c:v>
                </c:pt>
                <c:pt idx="7">
                  <c:v>24175</c:v>
                </c:pt>
                <c:pt idx="8">
                  <c:v>26285</c:v>
                </c:pt>
                <c:pt idx="9">
                  <c:v>24406</c:v>
                </c:pt>
                <c:pt idx="10">
                  <c:v>24407</c:v>
                </c:pt>
                <c:pt idx="11">
                  <c:v>28918</c:v>
                </c:pt>
                <c:pt idx="12">
                  <c:v>33549</c:v>
                </c:pt>
                <c:pt idx="13">
                  <c:v>30136</c:v>
                </c:pt>
                <c:pt idx="14">
                  <c:v>30032</c:v>
                </c:pt>
                <c:pt idx="15">
                  <c:v>29883</c:v>
                </c:pt>
                <c:pt idx="16">
                  <c:v>31613</c:v>
                </c:pt>
                <c:pt idx="17">
                  <c:v>31613</c:v>
                </c:pt>
                <c:pt idx="18">
                  <c:v>29864</c:v>
                </c:pt>
                <c:pt idx="19">
                  <c:v>32113</c:v>
                </c:pt>
                <c:pt idx="20">
                  <c:v>33014</c:v>
                </c:pt>
                <c:pt idx="21">
                  <c:v>33671</c:v>
                </c:pt>
                <c:pt idx="22">
                  <c:v>35044</c:v>
                </c:pt>
                <c:pt idx="23">
                  <c:v>30412</c:v>
                </c:pt>
                <c:pt idx="24">
                  <c:v>30412</c:v>
                </c:pt>
                <c:pt idx="25">
                  <c:v>28104</c:v>
                </c:pt>
                <c:pt idx="26">
                  <c:v>28166</c:v>
                </c:pt>
                <c:pt idx="27">
                  <c:v>24892</c:v>
                </c:pt>
                <c:pt idx="28">
                  <c:v>26750</c:v>
                </c:pt>
                <c:pt idx="29">
                  <c:v>28166</c:v>
                </c:pt>
              </c:numCache>
            </c:numRef>
          </c:val>
          <c:extLst>
            <c:ext xmlns:c16="http://schemas.microsoft.com/office/drawing/2014/chart" uri="{C3380CC4-5D6E-409C-BE32-E72D297353CC}">
              <c16:uniqueId val="{00000000-BD85-4B33-B490-C24097A0824F}"/>
            </c:ext>
          </c:extLst>
        </c:ser>
        <c:dLbls>
          <c:showLegendKey val="0"/>
          <c:showVal val="0"/>
          <c:showCatName val="0"/>
          <c:showSerName val="0"/>
          <c:showPercent val="0"/>
          <c:showBubbleSize val="0"/>
        </c:dLbls>
        <c:gapWidth val="150"/>
        <c:shape val="box"/>
        <c:axId val="557044760"/>
        <c:axId val="557045744"/>
        <c:axId val="0"/>
      </c:bar3DChart>
      <c:catAx>
        <c:axId val="557044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5744"/>
        <c:crosses val="autoZero"/>
        <c:auto val="1"/>
        <c:lblAlgn val="ctr"/>
        <c:lblOffset val="100"/>
        <c:noMultiLvlLbl val="0"/>
      </c:catAx>
      <c:valAx>
        <c:axId val="55704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4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TSE Water Cosumption
(1000 liters)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016759372968288E-2"/>
          <c:y val="0.25083333333333335"/>
          <c:w val="0.9274694791591418"/>
          <c:h val="0.56753098571011962"/>
        </c:manualLayout>
      </c:layout>
      <c:bar3DChart>
        <c:barDir val="col"/>
        <c:grouping val="clustered"/>
        <c:varyColors val="0"/>
        <c:ser>
          <c:idx val="0"/>
          <c:order val="0"/>
          <c:tx>
            <c:strRef>
              <c:f>'[3]Utility Data &amp; Graph'!$E$2</c:f>
              <c:strCache>
                <c:ptCount val="1"/>
                <c:pt idx="0">
                  <c:v>TSE Water Cosumption
1000 liters</c:v>
                </c:pt>
              </c:strCache>
            </c:strRef>
          </c:tx>
          <c:spPr>
            <a:solidFill>
              <a:schemeClr val="accent1"/>
            </a:solidFill>
            <a:ln>
              <a:noFill/>
            </a:ln>
            <a:effectLst/>
            <a:sp3d/>
          </c:spPr>
          <c:invertIfNegative val="0"/>
          <c:cat>
            <c:numRef>
              <c:f>'[3]Utility Data &amp; Graph'!$A$3:$A$33</c:f>
              <c:numCache>
                <c:formatCode>General</c:formatCode>
                <c:ptCount val="31"/>
                <c:pt idx="0">
                  <c:v>43952</c:v>
                </c:pt>
                <c:pt idx="1">
                  <c:v>43953</c:v>
                </c:pt>
                <c:pt idx="2">
                  <c:v>43954</c:v>
                </c:pt>
                <c:pt idx="3">
                  <c:v>43955</c:v>
                </c:pt>
                <c:pt idx="4">
                  <c:v>43956</c:v>
                </c:pt>
                <c:pt idx="5">
                  <c:v>43957</c:v>
                </c:pt>
                <c:pt idx="6">
                  <c:v>43958</c:v>
                </c:pt>
                <c:pt idx="7">
                  <c:v>43959</c:v>
                </c:pt>
                <c:pt idx="8">
                  <c:v>43960</c:v>
                </c:pt>
                <c:pt idx="9">
                  <c:v>43961</c:v>
                </c:pt>
                <c:pt idx="10">
                  <c:v>43962</c:v>
                </c:pt>
                <c:pt idx="11">
                  <c:v>43963</c:v>
                </c:pt>
                <c:pt idx="12">
                  <c:v>43964</c:v>
                </c:pt>
                <c:pt idx="13">
                  <c:v>43965</c:v>
                </c:pt>
                <c:pt idx="14">
                  <c:v>43966</c:v>
                </c:pt>
                <c:pt idx="15">
                  <c:v>43967</c:v>
                </c:pt>
                <c:pt idx="16">
                  <c:v>43968</c:v>
                </c:pt>
                <c:pt idx="17">
                  <c:v>43969</c:v>
                </c:pt>
                <c:pt idx="18">
                  <c:v>43970</c:v>
                </c:pt>
                <c:pt idx="19">
                  <c:v>43971</c:v>
                </c:pt>
                <c:pt idx="20">
                  <c:v>43972</c:v>
                </c:pt>
                <c:pt idx="21">
                  <c:v>43973</c:v>
                </c:pt>
                <c:pt idx="22">
                  <c:v>43974</c:v>
                </c:pt>
                <c:pt idx="23">
                  <c:v>43975</c:v>
                </c:pt>
                <c:pt idx="24">
                  <c:v>43976</c:v>
                </c:pt>
                <c:pt idx="25">
                  <c:v>43977</c:v>
                </c:pt>
                <c:pt idx="26">
                  <c:v>43978</c:v>
                </c:pt>
                <c:pt idx="27">
                  <c:v>43979</c:v>
                </c:pt>
                <c:pt idx="28">
                  <c:v>43980</c:v>
                </c:pt>
                <c:pt idx="29">
                  <c:v>43981</c:v>
                </c:pt>
                <c:pt idx="30">
                  <c:v>43982</c:v>
                </c:pt>
              </c:numCache>
            </c:numRef>
          </c:cat>
          <c:val>
            <c:numRef>
              <c:f>'[3]Utility Data &amp; Graph'!$E$3:$E$33</c:f>
              <c:numCache>
                <c:formatCode>General</c:formatCode>
                <c:ptCount val="31"/>
                <c:pt idx="0">
                  <c:v>69</c:v>
                </c:pt>
                <c:pt idx="1">
                  <c:v>22</c:v>
                </c:pt>
                <c:pt idx="2">
                  <c:v>22</c:v>
                </c:pt>
                <c:pt idx="3">
                  <c:v>22</c:v>
                </c:pt>
                <c:pt idx="4">
                  <c:v>123</c:v>
                </c:pt>
                <c:pt idx="5">
                  <c:v>133</c:v>
                </c:pt>
                <c:pt idx="6">
                  <c:v>138</c:v>
                </c:pt>
                <c:pt idx="7">
                  <c:v>134</c:v>
                </c:pt>
                <c:pt idx="8">
                  <c:v>142</c:v>
                </c:pt>
                <c:pt idx="9">
                  <c:v>40</c:v>
                </c:pt>
                <c:pt idx="10">
                  <c:v>40</c:v>
                </c:pt>
                <c:pt idx="11">
                  <c:v>114</c:v>
                </c:pt>
                <c:pt idx="12">
                  <c:v>69</c:v>
                </c:pt>
                <c:pt idx="13">
                  <c:v>89</c:v>
                </c:pt>
                <c:pt idx="14">
                  <c:v>144</c:v>
                </c:pt>
                <c:pt idx="15">
                  <c:v>34</c:v>
                </c:pt>
                <c:pt idx="16">
                  <c:v>19</c:v>
                </c:pt>
                <c:pt idx="17">
                  <c:v>19</c:v>
                </c:pt>
                <c:pt idx="18">
                  <c:v>106</c:v>
                </c:pt>
                <c:pt idx="19">
                  <c:v>164</c:v>
                </c:pt>
                <c:pt idx="20">
                  <c:v>153</c:v>
                </c:pt>
                <c:pt idx="21">
                  <c:v>132</c:v>
                </c:pt>
                <c:pt idx="22">
                  <c:v>93</c:v>
                </c:pt>
                <c:pt idx="23">
                  <c:v>59</c:v>
                </c:pt>
                <c:pt idx="24">
                  <c:v>59</c:v>
                </c:pt>
                <c:pt idx="25">
                  <c:v>160</c:v>
                </c:pt>
                <c:pt idx="26">
                  <c:v>85</c:v>
                </c:pt>
                <c:pt idx="27">
                  <c:v>116</c:v>
                </c:pt>
                <c:pt idx="28">
                  <c:v>183</c:v>
                </c:pt>
                <c:pt idx="29">
                  <c:v>160</c:v>
                </c:pt>
              </c:numCache>
            </c:numRef>
          </c:val>
          <c:extLst>
            <c:ext xmlns:c16="http://schemas.microsoft.com/office/drawing/2014/chart" uri="{C3380CC4-5D6E-409C-BE32-E72D297353CC}">
              <c16:uniqueId val="{00000000-8526-44C8-86FE-1AF35CC0BF92}"/>
            </c:ext>
          </c:extLst>
        </c:ser>
        <c:dLbls>
          <c:showLegendKey val="0"/>
          <c:showVal val="0"/>
          <c:showCatName val="0"/>
          <c:showSerName val="0"/>
          <c:showPercent val="0"/>
          <c:showBubbleSize val="0"/>
        </c:dLbls>
        <c:gapWidth val="150"/>
        <c:shape val="box"/>
        <c:axId val="506834352"/>
        <c:axId val="506834680"/>
        <c:axId val="0"/>
      </c:bar3DChart>
      <c:catAx>
        <c:axId val="50683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680"/>
        <c:crosses val="autoZero"/>
        <c:auto val="1"/>
        <c:lblAlgn val="ctr"/>
        <c:lblOffset val="100"/>
        <c:noMultiLvlLbl val="0"/>
      </c:catAx>
      <c:valAx>
        <c:axId val="506834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'[5]Utility Consumption'!$B$37</c:f>
              <c:strCache>
                <c:ptCount val="1"/>
                <c:pt idx="0">
                  <c:v>TSE Water Cosumption
1000 liters</c:v>
                </c:pt>
              </c:strCache>
            </c:strRef>
          </c:tx>
          <c:spPr>
            <a:solidFill>
              <a:schemeClr val="accent1"/>
            </a:solidFill>
            <a:ln>
              <a:noFill/>
            </a:ln>
            <a:effectLst/>
          </c:spPr>
          <c:invertIfNegative val="0"/>
          <c:cat>
            <c:numRef>
              <c:f>'[5]Utility Consumption'!$A$38:$A$68</c:f>
              <c:numCache>
                <c:formatCode>General</c:formatCode>
                <c:ptCount val="31"/>
                <c:pt idx="0">
                  <c:v>43983</c:v>
                </c:pt>
                <c:pt idx="1">
                  <c:v>43984</c:v>
                </c:pt>
                <c:pt idx="2">
                  <c:v>43985</c:v>
                </c:pt>
                <c:pt idx="3">
                  <c:v>43986</c:v>
                </c:pt>
                <c:pt idx="4">
                  <c:v>43987</c:v>
                </c:pt>
                <c:pt idx="5">
                  <c:v>43988</c:v>
                </c:pt>
                <c:pt idx="6">
                  <c:v>43989</c:v>
                </c:pt>
                <c:pt idx="7">
                  <c:v>43990</c:v>
                </c:pt>
                <c:pt idx="8">
                  <c:v>43991</c:v>
                </c:pt>
                <c:pt idx="9">
                  <c:v>43992</c:v>
                </c:pt>
                <c:pt idx="10">
                  <c:v>43993</c:v>
                </c:pt>
                <c:pt idx="11">
                  <c:v>43994</c:v>
                </c:pt>
                <c:pt idx="12">
                  <c:v>43995</c:v>
                </c:pt>
                <c:pt idx="13">
                  <c:v>43996</c:v>
                </c:pt>
                <c:pt idx="14">
                  <c:v>43997</c:v>
                </c:pt>
                <c:pt idx="15">
                  <c:v>43998</c:v>
                </c:pt>
                <c:pt idx="16">
                  <c:v>43999</c:v>
                </c:pt>
                <c:pt idx="17">
                  <c:v>44000</c:v>
                </c:pt>
                <c:pt idx="18">
                  <c:v>44001</c:v>
                </c:pt>
                <c:pt idx="19">
                  <c:v>44002</c:v>
                </c:pt>
                <c:pt idx="20">
                  <c:v>44003</c:v>
                </c:pt>
                <c:pt idx="21">
                  <c:v>44004</c:v>
                </c:pt>
                <c:pt idx="22">
                  <c:v>44005</c:v>
                </c:pt>
                <c:pt idx="23">
                  <c:v>44006</c:v>
                </c:pt>
                <c:pt idx="24">
                  <c:v>44007</c:v>
                </c:pt>
                <c:pt idx="25">
                  <c:v>44008</c:v>
                </c:pt>
                <c:pt idx="26">
                  <c:v>44009</c:v>
                </c:pt>
                <c:pt idx="27">
                  <c:v>44010</c:v>
                </c:pt>
                <c:pt idx="28">
                  <c:v>44011</c:v>
                </c:pt>
                <c:pt idx="29">
                  <c:v>44012</c:v>
                </c:pt>
              </c:numCache>
            </c:numRef>
          </c:cat>
          <c:val>
            <c:numRef>
              <c:f>'[5]Utility Consumption'!$B$38:$B$68</c:f>
              <c:numCache>
                <c:formatCode>General</c:formatCode>
                <c:ptCount val="31"/>
                <c:pt idx="0">
                  <c:v>69</c:v>
                </c:pt>
                <c:pt idx="1">
                  <c:v>119</c:v>
                </c:pt>
                <c:pt idx="2">
                  <c:v>192</c:v>
                </c:pt>
                <c:pt idx="3">
                  <c:v>180</c:v>
                </c:pt>
                <c:pt idx="4">
                  <c:v>119</c:v>
                </c:pt>
                <c:pt idx="5">
                  <c:v>89</c:v>
                </c:pt>
                <c:pt idx="6">
                  <c:v>150</c:v>
                </c:pt>
                <c:pt idx="7">
                  <c:v>59</c:v>
                </c:pt>
                <c:pt idx="8">
                  <c:v>129</c:v>
                </c:pt>
                <c:pt idx="9">
                  <c:v>123</c:v>
                </c:pt>
                <c:pt idx="10">
                  <c:v>93</c:v>
                </c:pt>
                <c:pt idx="11">
                  <c:v>89</c:v>
                </c:pt>
                <c:pt idx="12">
                  <c:v>131</c:v>
                </c:pt>
                <c:pt idx="13">
                  <c:v>81</c:v>
                </c:pt>
                <c:pt idx="14">
                  <c:v>105</c:v>
                </c:pt>
                <c:pt idx="15">
                  <c:v>76</c:v>
                </c:pt>
                <c:pt idx="16">
                  <c:v>122</c:v>
                </c:pt>
                <c:pt idx="17">
                  <c:v>95</c:v>
                </c:pt>
                <c:pt idx="18">
                  <c:v>93</c:v>
                </c:pt>
                <c:pt idx="19">
                  <c:v>124</c:v>
                </c:pt>
                <c:pt idx="20">
                  <c:v>128</c:v>
                </c:pt>
                <c:pt idx="21">
                  <c:v>162</c:v>
                </c:pt>
                <c:pt idx="22">
                  <c:v>139</c:v>
                </c:pt>
                <c:pt idx="23">
                  <c:v>142</c:v>
                </c:pt>
                <c:pt idx="24">
                  <c:v>148</c:v>
                </c:pt>
                <c:pt idx="25">
                  <c:v>123</c:v>
                </c:pt>
                <c:pt idx="26">
                  <c:v>157</c:v>
                </c:pt>
                <c:pt idx="27">
                  <c:v>184</c:v>
                </c:pt>
                <c:pt idx="28">
                  <c:v>280</c:v>
                </c:pt>
                <c:pt idx="29">
                  <c:v>188</c:v>
                </c:pt>
              </c:numCache>
            </c:numRef>
          </c:val>
          <c:extLst>
            <c:ext xmlns:c16="http://schemas.microsoft.com/office/drawing/2014/chart" uri="{C3380CC4-5D6E-409C-BE32-E72D297353CC}">
              <c16:uniqueId val="{00000000-C4E3-4832-A682-4C493B99762E}"/>
            </c:ext>
          </c:extLst>
        </c:ser>
        <c:dLbls>
          <c:showLegendKey val="0"/>
          <c:showVal val="0"/>
          <c:showCatName val="0"/>
          <c:showSerName val="0"/>
          <c:showPercent val="0"/>
          <c:showBubbleSize val="0"/>
        </c:dLbls>
        <c:gapWidth val="219"/>
        <c:overlap val="-27"/>
        <c:axId val="335373288"/>
        <c:axId val="335373616"/>
      </c:barChart>
      <c:catAx>
        <c:axId val="33537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616"/>
        <c:crosses val="autoZero"/>
        <c:auto val="1"/>
        <c:lblAlgn val="ctr"/>
        <c:lblOffset val="100"/>
        <c:noMultiLvlLbl val="1"/>
      </c:catAx>
      <c:valAx>
        <c:axId val="335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'[5]Utility Consumption'!$B$70</c:f>
              <c:strCache>
                <c:ptCount val="1"/>
                <c:pt idx="0">
                  <c:v>Power
Consumption
KWH</c:v>
                </c:pt>
              </c:strCache>
            </c:strRef>
          </c:tx>
          <c:spPr>
            <a:solidFill>
              <a:schemeClr val="accent1"/>
            </a:solidFill>
            <a:ln>
              <a:noFill/>
            </a:ln>
            <a:effectLst/>
          </c:spPr>
          <c:invertIfNegative val="0"/>
          <c:cat>
            <c:numRef>
              <c:f>'[5]Utility Consumption'!$A$71:$A$101</c:f>
              <c:numCache>
                <c:formatCode>General</c:formatCode>
                <c:ptCount val="31"/>
                <c:pt idx="0">
                  <c:v>43983</c:v>
                </c:pt>
                <c:pt idx="1">
                  <c:v>43984</c:v>
                </c:pt>
                <c:pt idx="2">
                  <c:v>43985</c:v>
                </c:pt>
                <c:pt idx="3">
                  <c:v>43986</c:v>
                </c:pt>
                <c:pt idx="4">
                  <c:v>43987</c:v>
                </c:pt>
                <c:pt idx="5">
                  <c:v>43988</c:v>
                </c:pt>
                <c:pt idx="6">
                  <c:v>43989</c:v>
                </c:pt>
                <c:pt idx="7">
                  <c:v>43990</c:v>
                </c:pt>
                <c:pt idx="8">
                  <c:v>43991</c:v>
                </c:pt>
                <c:pt idx="9">
                  <c:v>43992</c:v>
                </c:pt>
                <c:pt idx="10">
                  <c:v>43993</c:v>
                </c:pt>
                <c:pt idx="11">
                  <c:v>43994</c:v>
                </c:pt>
                <c:pt idx="12">
                  <c:v>43995</c:v>
                </c:pt>
                <c:pt idx="13">
                  <c:v>43996</c:v>
                </c:pt>
                <c:pt idx="14">
                  <c:v>43997</c:v>
                </c:pt>
                <c:pt idx="15">
                  <c:v>43998</c:v>
                </c:pt>
                <c:pt idx="16">
                  <c:v>43999</c:v>
                </c:pt>
                <c:pt idx="17">
                  <c:v>44000</c:v>
                </c:pt>
                <c:pt idx="18">
                  <c:v>44001</c:v>
                </c:pt>
                <c:pt idx="19">
                  <c:v>44002</c:v>
                </c:pt>
                <c:pt idx="20">
                  <c:v>44003</c:v>
                </c:pt>
                <c:pt idx="21">
                  <c:v>44004</c:v>
                </c:pt>
                <c:pt idx="22">
                  <c:v>44005</c:v>
                </c:pt>
                <c:pt idx="23">
                  <c:v>44006</c:v>
                </c:pt>
                <c:pt idx="24">
                  <c:v>44007</c:v>
                </c:pt>
                <c:pt idx="25">
                  <c:v>44008</c:v>
                </c:pt>
                <c:pt idx="26">
                  <c:v>44009</c:v>
                </c:pt>
                <c:pt idx="27">
                  <c:v>44010</c:v>
                </c:pt>
                <c:pt idx="28">
                  <c:v>44011</c:v>
                </c:pt>
                <c:pt idx="29">
                  <c:v>44012</c:v>
                </c:pt>
              </c:numCache>
            </c:numRef>
          </c:cat>
          <c:val>
            <c:numRef>
              <c:f>'[5]Utility Consumption'!$B$71:$B$101</c:f>
              <c:numCache>
                <c:formatCode>General</c:formatCode>
                <c:ptCount val="31"/>
                <c:pt idx="0">
                  <c:v>43390</c:v>
                </c:pt>
                <c:pt idx="1">
                  <c:v>38957</c:v>
                </c:pt>
                <c:pt idx="2">
                  <c:v>38110</c:v>
                </c:pt>
                <c:pt idx="3">
                  <c:v>36890</c:v>
                </c:pt>
                <c:pt idx="4">
                  <c:v>41143</c:v>
                </c:pt>
                <c:pt idx="5">
                  <c:v>19424</c:v>
                </c:pt>
                <c:pt idx="6">
                  <c:v>43390</c:v>
                </c:pt>
                <c:pt idx="7">
                  <c:v>40154</c:v>
                </c:pt>
                <c:pt idx="8">
                  <c:v>41143</c:v>
                </c:pt>
                <c:pt idx="9">
                  <c:v>43635</c:v>
                </c:pt>
                <c:pt idx="10">
                  <c:v>44839</c:v>
                </c:pt>
                <c:pt idx="11">
                  <c:v>40154</c:v>
                </c:pt>
                <c:pt idx="12">
                  <c:v>41444</c:v>
                </c:pt>
                <c:pt idx="13">
                  <c:v>36279</c:v>
                </c:pt>
                <c:pt idx="14">
                  <c:v>38799</c:v>
                </c:pt>
                <c:pt idx="15">
                  <c:v>36050</c:v>
                </c:pt>
                <c:pt idx="16">
                  <c:v>37545</c:v>
                </c:pt>
                <c:pt idx="17">
                  <c:v>38085</c:v>
                </c:pt>
                <c:pt idx="18">
                  <c:v>36050</c:v>
                </c:pt>
                <c:pt idx="19">
                  <c:v>34419</c:v>
                </c:pt>
                <c:pt idx="20">
                  <c:v>30196</c:v>
                </c:pt>
                <c:pt idx="21">
                  <c:v>28621</c:v>
                </c:pt>
                <c:pt idx="22">
                  <c:v>27244</c:v>
                </c:pt>
                <c:pt idx="23">
                  <c:v>32598</c:v>
                </c:pt>
                <c:pt idx="24">
                  <c:v>30866</c:v>
                </c:pt>
                <c:pt idx="25">
                  <c:v>30196</c:v>
                </c:pt>
                <c:pt idx="26">
                  <c:v>40706</c:v>
                </c:pt>
                <c:pt idx="27">
                  <c:v>35733</c:v>
                </c:pt>
                <c:pt idx="28">
                  <c:v>38817</c:v>
                </c:pt>
                <c:pt idx="29">
                  <c:v>36386</c:v>
                </c:pt>
              </c:numCache>
            </c:numRef>
          </c:val>
          <c:extLst>
            <c:ext xmlns:c16="http://schemas.microsoft.com/office/drawing/2014/chart" uri="{C3380CC4-5D6E-409C-BE32-E72D297353CC}">
              <c16:uniqueId val="{00000000-94A5-49A3-8AB0-B349D506E0CF}"/>
            </c:ext>
          </c:extLst>
        </c:ser>
        <c:dLbls>
          <c:showLegendKey val="0"/>
          <c:showVal val="0"/>
          <c:showCatName val="0"/>
          <c:showSerName val="0"/>
          <c:showPercent val="0"/>
          <c:showBubbleSize val="0"/>
        </c:dLbls>
        <c:gapWidth val="219"/>
        <c:overlap val="-27"/>
        <c:axId val="583098320"/>
        <c:axId val="583098648"/>
      </c:barChart>
      <c:catAx>
        <c:axId val="5830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648"/>
        <c:crosses val="autoZero"/>
        <c:auto val="1"/>
        <c:lblAlgn val="ctr"/>
        <c:lblOffset val="100"/>
        <c:noMultiLvlLbl val="1"/>
      </c:catAx>
      <c:valAx>
        <c:axId val="5830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'[6]Utility Consumption'!$B$37</c:f>
              <c:strCache>
                <c:ptCount val="1"/>
                <c:pt idx="0">
                  <c:v>TSE Water Cosumption
1000 liters</c:v>
                </c:pt>
              </c:strCache>
            </c:strRef>
          </c:tx>
          <c:spPr>
            <a:solidFill>
              <a:schemeClr val="accent1"/>
            </a:solidFill>
            <a:ln>
              <a:noFill/>
            </a:ln>
            <a:effectLst/>
          </c:spPr>
          <c:invertIfNegative val="0"/>
          <c:cat>
            <c:numRef>
              <c:f>'[6]Utility Consumption'!$A$38:$A$68</c:f>
              <c:numCache>
                <c:formatCode>General</c:formatCode>
                <c:ptCount val="31"/>
                <c:pt idx="0">
                  <c:v>44013</c:v>
                </c:pt>
                <c:pt idx="1">
                  <c:v>44014</c:v>
                </c:pt>
                <c:pt idx="2">
                  <c:v>44015</c:v>
                </c:pt>
                <c:pt idx="3">
                  <c:v>44016</c:v>
                </c:pt>
                <c:pt idx="4">
                  <c:v>44017</c:v>
                </c:pt>
                <c:pt idx="5">
                  <c:v>44018</c:v>
                </c:pt>
                <c:pt idx="6">
                  <c:v>44019</c:v>
                </c:pt>
                <c:pt idx="7">
                  <c:v>44020</c:v>
                </c:pt>
                <c:pt idx="8">
                  <c:v>44021</c:v>
                </c:pt>
                <c:pt idx="9">
                  <c:v>44022</c:v>
                </c:pt>
                <c:pt idx="10">
                  <c:v>44023</c:v>
                </c:pt>
                <c:pt idx="11">
                  <c:v>44024</c:v>
                </c:pt>
                <c:pt idx="12">
                  <c:v>44025</c:v>
                </c:pt>
                <c:pt idx="13">
                  <c:v>44026</c:v>
                </c:pt>
                <c:pt idx="14">
                  <c:v>44027</c:v>
                </c:pt>
                <c:pt idx="15">
                  <c:v>44028</c:v>
                </c:pt>
                <c:pt idx="16">
                  <c:v>44029</c:v>
                </c:pt>
                <c:pt idx="17">
                  <c:v>44030</c:v>
                </c:pt>
                <c:pt idx="18">
                  <c:v>44031</c:v>
                </c:pt>
                <c:pt idx="19">
                  <c:v>44032</c:v>
                </c:pt>
                <c:pt idx="20">
                  <c:v>44033</c:v>
                </c:pt>
                <c:pt idx="21">
                  <c:v>44034</c:v>
                </c:pt>
                <c:pt idx="22">
                  <c:v>44035</c:v>
                </c:pt>
                <c:pt idx="23">
                  <c:v>44036</c:v>
                </c:pt>
                <c:pt idx="24">
                  <c:v>44037</c:v>
                </c:pt>
                <c:pt idx="25">
                  <c:v>44038</c:v>
                </c:pt>
                <c:pt idx="26">
                  <c:v>44039</c:v>
                </c:pt>
                <c:pt idx="27">
                  <c:v>44040</c:v>
                </c:pt>
                <c:pt idx="28">
                  <c:v>44041</c:v>
                </c:pt>
                <c:pt idx="29">
                  <c:v>44042</c:v>
                </c:pt>
                <c:pt idx="30">
                  <c:v>44043</c:v>
                </c:pt>
              </c:numCache>
            </c:numRef>
          </c:cat>
          <c:val>
            <c:numRef>
              <c:f>'[6]Utility Consumption'!$B$38:$B$68</c:f>
              <c:numCache>
                <c:formatCode>General</c:formatCode>
                <c:ptCount val="31"/>
                <c:pt idx="0">
                  <c:v>69</c:v>
                </c:pt>
                <c:pt idx="1">
                  <c:v>207</c:v>
                </c:pt>
                <c:pt idx="2">
                  <c:v>210</c:v>
                </c:pt>
                <c:pt idx="3">
                  <c:v>194</c:v>
                </c:pt>
                <c:pt idx="4">
                  <c:v>179</c:v>
                </c:pt>
                <c:pt idx="5">
                  <c:v>205</c:v>
                </c:pt>
                <c:pt idx="6">
                  <c:v>197</c:v>
                </c:pt>
                <c:pt idx="7">
                  <c:v>203</c:v>
                </c:pt>
                <c:pt idx="8">
                  <c:v>210</c:v>
                </c:pt>
                <c:pt idx="9">
                  <c:v>205</c:v>
                </c:pt>
                <c:pt idx="10">
                  <c:v>238</c:v>
                </c:pt>
                <c:pt idx="11">
                  <c:v>207</c:v>
                </c:pt>
                <c:pt idx="12">
                  <c:v>225</c:v>
                </c:pt>
                <c:pt idx="13">
                  <c:v>231</c:v>
                </c:pt>
                <c:pt idx="14">
                  <c:v>238</c:v>
                </c:pt>
                <c:pt idx="15">
                  <c:v>227</c:v>
                </c:pt>
                <c:pt idx="16">
                  <c:v>250</c:v>
                </c:pt>
                <c:pt idx="17">
                  <c:v>265</c:v>
                </c:pt>
                <c:pt idx="18">
                  <c:v>226</c:v>
                </c:pt>
                <c:pt idx="19">
                  <c:v>213</c:v>
                </c:pt>
                <c:pt idx="20">
                  <c:v>221</c:v>
                </c:pt>
                <c:pt idx="21">
                  <c:v>223</c:v>
                </c:pt>
                <c:pt idx="22">
                  <c:v>228</c:v>
                </c:pt>
                <c:pt idx="23">
                  <c:v>238</c:v>
                </c:pt>
                <c:pt idx="24">
                  <c:v>218</c:v>
                </c:pt>
                <c:pt idx="25">
                  <c:v>211</c:v>
                </c:pt>
                <c:pt idx="26">
                  <c:v>219</c:v>
                </c:pt>
                <c:pt idx="27">
                  <c:v>221</c:v>
                </c:pt>
                <c:pt idx="28">
                  <c:v>219</c:v>
                </c:pt>
                <c:pt idx="29">
                  <c:v>212</c:v>
                </c:pt>
                <c:pt idx="30">
                  <c:v>205</c:v>
                </c:pt>
              </c:numCache>
            </c:numRef>
          </c:val>
          <c:extLst>
            <c:ext xmlns:c16="http://schemas.microsoft.com/office/drawing/2014/chart" uri="{C3380CC4-5D6E-409C-BE32-E72D297353CC}">
              <c16:uniqueId val="{00000000-A6D5-4E51-B6DF-5DB53700AE8A}"/>
            </c:ext>
          </c:extLst>
        </c:ser>
        <c:dLbls>
          <c:showLegendKey val="0"/>
          <c:showVal val="0"/>
          <c:showCatName val="0"/>
          <c:showSerName val="0"/>
          <c:showPercent val="0"/>
          <c:showBubbleSize val="0"/>
        </c:dLbls>
        <c:gapWidth val="219"/>
        <c:overlap val="-27"/>
        <c:axId val="335373288"/>
        <c:axId val="335373616"/>
      </c:barChart>
      <c:catAx>
        <c:axId val="33537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616"/>
        <c:crosses val="autoZero"/>
        <c:auto val="1"/>
        <c:lblAlgn val="ctr"/>
        <c:lblOffset val="100"/>
        <c:noMultiLvlLbl val="1"/>
      </c:catAx>
      <c:valAx>
        <c:axId val="335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'[6]Utility Consumption'!$B$70</c:f>
              <c:strCache>
                <c:ptCount val="1"/>
                <c:pt idx="0">
                  <c:v>Power
Consumption
KWH</c:v>
                </c:pt>
              </c:strCache>
            </c:strRef>
          </c:tx>
          <c:spPr>
            <a:solidFill>
              <a:schemeClr val="accent1"/>
            </a:solidFill>
            <a:ln>
              <a:noFill/>
            </a:ln>
            <a:effectLst/>
          </c:spPr>
          <c:invertIfNegative val="0"/>
          <c:cat>
            <c:numRef>
              <c:f>'[6]Utility Consumption'!$A$71:$A$101</c:f>
              <c:numCache>
                <c:formatCode>General</c:formatCode>
                <c:ptCount val="31"/>
                <c:pt idx="0">
                  <c:v>44013</c:v>
                </c:pt>
                <c:pt idx="1">
                  <c:v>44014</c:v>
                </c:pt>
                <c:pt idx="2">
                  <c:v>44015</c:v>
                </c:pt>
                <c:pt idx="3">
                  <c:v>44016</c:v>
                </c:pt>
                <c:pt idx="4">
                  <c:v>44017</c:v>
                </c:pt>
                <c:pt idx="5">
                  <c:v>44018</c:v>
                </c:pt>
                <c:pt idx="6">
                  <c:v>44019</c:v>
                </c:pt>
                <c:pt idx="7">
                  <c:v>44020</c:v>
                </c:pt>
                <c:pt idx="8">
                  <c:v>44021</c:v>
                </c:pt>
                <c:pt idx="9">
                  <c:v>44022</c:v>
                </c:pt>
                <c:pt idx="10">
                  <c:v>44023</c:v>
                </c:pt>
                <c:pt idx="11">
                  <c:v>44024</c:v>
                </c:pt>
                <c:pt idx="12">
                  <c:v>44025</c:v>
                </c:pt>
                <c:pt idx="13">
                  <c:v>44026</c:v>
                </c:pt>
                <c:pt idx="14">
                  <c:v>44027</c:v>
                </c:pt>
                <c:pt idx="15">
                  <c:v>44028</c:v>
                </c:pt>
                <c:pt idx="16">
                  <c:v>44029</c:v>
                </c:pt>
                <c:pt idx="17">
                  <c:v>44030</c:v>
                </c:pt>
                <c:pt idx="18">
                  <c:v>44031</c:v>
                </c:pt>
                <c:pt idx="19">
                  <c:v>44032</c:v>
                </c:pt>
                <c:pt idx="20">
                  <c:v>44033</c:v>
                </c:pt>
                <c:pt idx="21">
                  <c:v>44034</c:v>
                </c:pt>
                <c:pt idx="22">
                  <c:v>44035</c:v>
                </c:pt>
                <c:pt idx="23">
                  <c:v>44036</c:v>
                </c:pt>
                <c:pt idx="24">
                  <c:v>44037</c:v>
                </c:pt>
                <c:pt idx="25">
                  <c:v>44038</c:v>
                </c:pt>
                <c:pt idx="26">
                  <c:v>44039</c:v>
                </c:pt>
                <c:pt idx="27">
                  <c:v>44040</c:v>
                </c:pt>
                <c:pt idx="28">
                  <c:v>44041</c:v>
                </c:pt>
                <c:pt idx="29">
                  <c:v>44042</c:v>
                </c:pt>
                <c:pt idx="30">
                  <c:v>44043</c:v>
                </c:pt>
              </c:numCache>
            </c:numRef>
          </c:cat>
          <c:val>
            <c:numRef>
              <c:f>'[6]Utility Consumption'!$B$71:$B$101</c:f>
              <c:numCache>
                <c:formatCode>General</c:formatCode>
                <c:ptCount val="31"/>
                <c:pt idx="0">
                  <c:v>38753</c:v>
                </c:pt>
                <c:pt idx="1">
                  <c:v>42301</c:v>
                </c:pt>
                <c:pt idx="2">
                  <c:v>45707</c:v>
                </c:pt>
                <c:pt idx="3">
                  <c:v>35970</c:v>
                </c:pt>
                <c:pt idx="4">
                  <c:v>48891</c:v>
                </c:pt>
                <c:pt idx="5">
                  <c:v>41369</c:v>
                </c:pt>
                <c:pt idx="6">
                  <c:v>44542</c:v>
                </c:pt>
                <c:pt idx="7">
                  <c:v>45707</c:v>
                </c:pt>
                <c:pt idx="8">
                  <c:v>48891</c:v>
                </c:pt>
                <c:pt idx="9">
                  <c:v>42389</c:v>
                </c:pt>
                <c:pt idx="10">
                  <c:v>51121</c:v>
                </c:pt>
                <c:pt idx="11">
                  <c:v>36396</c:v>
                </c:pt>
                <c:pt idx="12">
                  <c:v>39821</c:v>
                </c:pt>
                <c:pt idx="13">
                  <c:v>42389</c:v>
                </c:pt>
                <c:pt idx="14">
                  <c:v>38510</c:v>
                </c:pt>
                <c:pt idx="15">
                  <c:v>44314</c:v>
                </c:pt>
                <c:pt idx="16">
                  <c:v>48891</c:v>
                </c:pt>
                <c:pt idx="17">
                  <c:v>32108</c:v>
                </c:pt>
                <c:pt idx="18">
                  <c:v>38404</c:v>
                </c:pt>
                <c:pt idx="19">
                  <c:v>44588</c:v>
                </c:pt>
                <c:pt idx="20">
                  <c:v>41665</c:v>
                </c:pt>
                <c:pt idx="21">
                  <c:v>45159</c:v>
                </c:pt>
                <c:pt idx="22">
                  <c:v>43344</c:v>
                </c:pt>
                <c:pt idx="23">
                  <c:v>38510</c:v>
                </c:pt>
                <c:pt idx="24">
                  <c:v>49087</c:v>
                </c:pt>
                <c:pt idx="25">
                  <c:v>44514</c:v>
                </c:pt>
                <c:pt idx="26">
                  <c:v>41104</c:v>
                </c:pt>
                <c:pt idx="27">
                  <c:v>41704</c:v>
                </c:pt>
                <c:pt idx="28">
                  <c:v>45501</c:v>
                </c:pt>
                <c:pt idx="29">
                  <c:v>42473</c:v>
                </c:pt>
                <c:pt idx="30">
                  <c:v>44314</c:v>
                </c:pt>
              </c:numCache>
            </c:numRef>
          </c:val>
          <c:extLst>
            <c:ext xmlns:c16="http://schemas.microsoft.com/office/drawing/2014/chart" uri="{C3380CC4-5D6E-409C-BE32-E72D297353CC}">
              <c16:uniqueId val="{00000000-9385-4B9C-A0AD-A58C20DA57A8}"/>
            </c:ext>
          </c:extLst>
        </c:ser>
        <c:dLbls>
          <c:showLegendKey val="0"/>
          <c:showVal val="0"/>
          <c:showCatName val="0"/>
          <c:showSerName val="0"/>
          <c:showPercent val="0"/>
          <c:showBubbleSize val="0"/>
        </c:dLbls>
        <c:gapWidth val="219"/>
        <c:overlap val="-27"/>
        <c:axId val="583098320"/>
        <c:axId val="583098648"/>
      </c:barChart>
      <c:catAx>
        <c:axId val="5830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648"/>
        <c:crosses val="autoZero"/>
        <c:auto val="1"/>
        <c:lblAlgn val="ctr"/>
        <c:lblOffset val="100"/>
        <c:noMultiLvlLbl val="1"/>
      </c:catAx>
      <c:valAx>
        <c:axId val="5830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'[7]Utility Consumption'!$B$37</c:f>
              <c:strCache>
                <c:ptCount val="1"/>
                <c:pt idx="0">
                  <c:v>TSE Water Cosumption
1000 liters</c:v>
                </c:pt>
              </c:strCache>
            </c:strRef>
          </c:tx>
          <c:spPr>
            <a:solidFill>
              <a:schemeClr val="accent1"/>
            </a:solidFill>
            <a:ln>
              <a:noFill/>
            </a:ln>
            <a:effectLst/>
          </c:spPr>
          <c:invertIfNegative val="0"/>
          <c:cat>
            <c:numRef>
              <c:f>'[7]Utility Consumption'!$A$38:$A$68</c:f>
              <c:numCache>
                <c:formatCode>General</c:formatCode>
                <c:ptCount val="31"/>
                <c:pt idx="0">
                  <c:v>44044</c:v>
                </c:pt>
                <c:pt idx="1">
                  <c:v>44045</c:v>
                </c:pt>
                <c:pt idx="2">
                  <c:v>44046</c:v>
                </c:pt>
                <c:pt idx="3">
                  <c:v>44047</c:v>
                </c:pt>
                <c:pt idx="4">
                  <c:v>44048</c:v>
                </c:pt>
                <c:pt idx="5">
                  <c:v>44049</c:v>
                </c:pt>
                <c:pt idx="6">
                  <c:v>44050</c:v>
                </c:pt>
                <c:pt idx="7">
                  <c:v>44051</c:v>
                </c:pt>
                <c:pt idx="8">
                  <c:v>44052</c:v>
                </c:pt>
                <c:pt idx="9">
                  <c:v>44053</c:v>
                </c:pt>
                <c:pt idx="10">
                  <c:v>44054</c:v>
                </c:pt>
                <c:pt idx="11">
                  <c:v>44055</c:v>
                </c:pt>
                <c:pt idx="12">
                  <c:v>44056</c:v>
                </c:pt>
                <c:pt idx="13">
                  <c:v>44057</c:v>
                </c:pt>
                <c:pt idx="14">
                  <c:v>44058</c:v>
                </c:pt>
                <c:pt idx="15">
                  <c:v>44059</c:v>
                </c:pt>
                <c:pt idx="16">
                  <c:v>44060</c:v>
                </c:pt>
                <c:pt idx="17">
                  <c:v>44061</c:v>
                </c:pt>
                <c:pt idx="18">
                  <c:v>44062</c:v>
                </c:pt>
                <c:pt idx="19">
                  <c:v>44063</c:v>
                </c:pt>
                <c:pt idx="20">
                  <c:v>44064</c:v>
                </c:pt>
                <c:pt idx="21">
                  <c:v>44065</c:v>
                </c:pt>
                <c:pt idx="22">
                  <c:v>44066</c:v>
                </c:pt>
                <c:pt idx="23">
                  <c:v>44067</c:v>
                </c:pt>
                <c:pt idx="24">
                  <c:v>44068</c:v>
                </c:pt>
                <c:pt idx="25">
                  <c:v>44069</c:v>
                </c:pt>
                <c:pt idx="26">
                  <c:v>44070</c:v>
                </c:pt>
                <c:pt idx="27">
                  <c:v>44071</c:v>
                </c:pt>
                <c:pt idx="28">
                  <c:v>44072</c:v>
                </c:pt>
                <c:pt idx="29">
                  <c:v>44073</c:v>
                </c:pt>
                <c:pt idx="30">
                  <c:v>44074</c:v>
                </c:pt>
              </c:numCache>
            </c:numRef>
          </c:cat>
          <c:val>
            <c:numRef>
              <c:f>'[7]Utility Consumption'!$B$38:$B$68</c:f>
              <c:numCache>
                <c:formatCode>General</c:formatCode>
                <c:ptCount val="31"/>
                <c:pt idx="0">
                  <c:v>69</c:v>
                </c:pt>
                <c:pt idx="1">
                  <c:v>217</c:v>
                </c:pt>
                <c:pt idx="2">
                  <c:v>216</c:v>
                </c:pt>
                <c:pt idx="3">
                  <c:v>212</c:v>
                </c:pt>
                <c:pt idx="4">
                  <c:v>212</c:v>
                </c:pt>
                <c:pt idx="5">
                  <c:v>218</c:v>
                </c:pt>
                <c:pt idx="6">
                  <c:v>217</c:v>
                </c:pt>
                <c:pt idx="7">
                  <c:v>205</c:v>
                </c:pt>
                <c:pt idx="8">
                  <c:v>218</c:v>
                </c:pt>
                <c:pt idx="9">
                  <c:v>215</c:v>
                </c:pt>
                <c:pt idx="10">
                  <c:v>221</c:v>
                </c:pt>
                <c:pt idx="11">
                  <c:v>214</c:v>
                </c:pt>
                <c:pt idx="12">
                  <c:v>226</c:v>
                </c:pt>
                <c:pt idx="13">
                  <c:v>205</c:v>
                </c:pt>
                <c:pt idx="14">
                  <c:v>246</c:v>
                </c:pt>
                <c:pt idx="15">
                  <c:v>223</c:v>
                </c:pt>
                <c:pt idx="16">
                  <c:v>226</c:v>
                </c:pt>
                <c:pt idx="17">
                  <c:v>228</c:v>
                </c:pt>
                <c:pt idx="18">
                  <c:v>231</c:v>
                </c:pt>
                <c:pt idx="19">
                  <c:v>228</c:v>
                </c:pt>
                <c:pt idx="20">
                  <c:v>218</c:v>
                </c:pt>
                <c:pt idx="21">
                  <c:v>214</c:v>
                </c:pt>
                <c:pt idx="22">
                  <c:v>226</c:v>
                </c:pt>
                <c:pt idx="23">
                  <c:v>228</c:v>
                </c:pt>
                <c:pt idx="24">
                  <c:v>226</c:v>
                </c:pt>
                <c:pt idx="25">
                  <c:v>224</c:v>
                </c:pt>
                <c:pt idx="26">
                  <c:v>228</c:v>
                </c:pt>
                <c:pt idx="27">
                  <c:v>223</c:v>
                </c:pt>
                <c:pt idx="28">
                  <c:v>215</c:v>
                </c:pt>
                <c:pt idx="29">
                  <c:v>236</c:v>
                </c:pt>
                <c:pt idx="30">
                  <c:v>224</c:v>
                </c:pt>
              </c:numCache>
            </c:numRef>
          </c:val>
          <c:extLst>
            <c:ext xmlns:c16="http://schemas.microsoft.com/office/drawing/2014/chart" uri="{C3380CC4-5D6E-409C-BE32-E72D297353CC}">
              <c16:uniqueId val="{00000000-437A-479B-8262-9D8EBE6AF433}"/>
            </c:ext>
          </c:extLst>
        </c:ser>
        <c:dLbls>
          <c:showLegendKey val="0"/>
          <c:showVal val="0"/>
          <c:showCatName val="0"/>
          <c:showSerName val="0"/>
          <c:showPercent val="0"/>
          <c:showBubbleSize val="0"/>
        </c:dLbls>
        <c:gapWidth val="219"/>
        <c:overlap val="-27"/>
        <c:axId val="335373288"/>
        <c:axId val="335373616"/>
      </c:barChart>
      <c:catAx>
        <c:axId val="33537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616"/>
        <c:crosses val="autoZero"/>
        <c:auto val="1"/>
        <c:lblAlgn val="ctr"/>
        <c:lblOffset val="100"/>
        <c:noMultiLvlLbl val="1"/>
      </c:catAx>
      <c:valAx>
        <c:axId val="335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'[7]Utility Consumption'!$B$70</c:f>
              <c:strCache>
                <c:ptCount val="1"/>
                <c:pt idx="0">
                  <c:v>Power
Consumption
KWH</c:v>
                </c:pt>
              </c:strCache>
            </c:strRef>
          </c:tx>
          <c:spPr>
            <a:solidFill>
              <a:schemeClr val="accent1"/>
            </a:solidFill>
            <a:ln>
              <a:noFill/>
            </a:ln>
            <a:effectLst/>
          </c:spPr>
          <c:invertIfNegative val="0"/>
          <c:cat>
            <c:numRef>
              <c:f>'[7]Utility Consumption'!$A$71:$A$101</c:f>
              <c:numCache>
                <c:formatCode>General</c:formatCode>
                <c:ptCount val="31"/>
                <c:pt idx="0">
                  <c:v>44044</c:v>
                </c:pt>
                <c:pt idx="1">
                  <c:v>44045</c:v>
                </c:pt>
                <c:pt idx="2">
                  <c:v>44046</c:v>
                </c:pt>
                <c:pt idx="3">
                  <c:v>44047</c:v>
                </c:pt>
                <c:pt idx="4">
                  <c:v>44048</c:v>
                </c:pt>
                <c:pt idx="5">
                  <c:v>44049</c:v>
                </c:pt>
                <c:pt idx="6">
                  <c:v>44050</c:v>
                </c:pt>
                <c:pt idx="7">
                  <c:v>44051</c:v>
                </c:pt>
                <c:pt idx="8">
                  <c:v>44052</c:v>
                </c:pt>
                <c:pt idx="9">
                  <c:v>44053</c:v>
                </c:pt>
                <c:pt idx="10">
                  <c:v>44054</c:v>
                </c:pt>
                <c:pt idx="11">
                  <c:v>44055</c:v>
                </c:pt>
                <c:pt idx="12">
                  <c:v>44056</c:v>
                </c:pt>
                <c:pt idx="13">
                  <c:v>44057</c:v>
                </c:pt>
                <c:pt idx="14">
                  <c:v>44058</c:v>
                </c:pt>
                <c:pt idx="15">
                  <c:v>44059</c:v>
                </c:pt>
                <c:pt idx="16">
                  <c:v>44060</c:v>
                </c:pt>
                <c:pt idx="17">
                  <c:v>44061</c:v>
                </c:pt>
                <c:pt idx="18">
                  <c:v>44062</c:v>
                </c:pt>
                <c:pt idx="19">
                  <c:v>44063</c:v>
                </c:pt>
                <c:pt idx="20">
                  <c:v>44064</c:v>
                </c:pt>
                <c:pt idx="21">
                  <c:v>44065</c:v>
                </c:pt>
                <c:pt idx="22">
                  <c:v>44066</c:v>
                </c:pt>
                <c:pt idx="23">
                  <c:v>44067</c:v>
                </c:pt>
                <c:pt idx="24">
                  <c:v>44068</c:v>
                </c:pt>
                <c:pt idx="25">
                  <c:v>44069</c:v>
                </c:pt>
                <c:pt idx="26">
                  <c:v>44070</c:v>
                </c:pt>
                <c:pt idx="27">
                  <c:v>44071</c:v>
                </c:pt>
                <c:pt idx="28">
                  <c:v>44072</c:v>
                </c:pt>
                <c:pt idx="29">
                  <c:v>44073</c:v>
                </c:pt>
                <c:pt idx="30">
                  <c:v>44074</c:v>
                </c:pt>
              </c:numCache>
            </c:numRef>
          </c:cat>
          <c:val>
            <c:numRef>
              <c:f>'[7]Utility Consumption'!$B$71:$B$101</c:f>
              <c:numCache>
                <c:formatCode>General</c:formatCode>
                <c:ptCount val="31"/>
                <c:pt idx="0">
                  <c:v>41845</c:v>
                </c:pt>
                <c:pt idx="1">
                  <c:v>51753</c:v>
                </c:pt>
                <c:pt idx="2">
                  <c:v>47958</c:v>
                </c:pt>
                <c:pt idx="3">
                  <c:v>46428</c:v>
                </c:pt>
                <c:pt idx="4">
                  <c:v>42255</c:v>
                </c:pt>
                <c:pt idx="5">
                  <c:v>43030</c:v>
                </c:pt>
                <c:pt idx="6">
                  <c:v>47958</c:v>
                </c:pt>
                <c:pt idx="7">
                  <c:v>37659</c:v>
                </c:pt>
                <c:pt idx="8">
                  <c:v>38124</c:v>
                </c:pt>
                <c:pt idx="9">
                  <c:v>39263</c:v>
                </c:pt>
                <c:pt idx="10">
                  <c:v>40223</c:v>
                </c:pt>
                <c:pt idx="11">
                  <c:v>38725</c:v>
                </c:pt>
                <c:pt idx="12">
                  <c:v>39064</c:v>
                </c:pt>
                <c:pt idx="13">
                  <c:v>43030</c:v>
                </c:pt>
                <c:pt idx="14">
                  <c:v>33293</c:v>
                </c:pt>
                <c:pt idx="15">
                  <c:v>39687</c:v>
                </c:pt>
                <c:pt idx="16">
                  <c:v>36752</c:v>
                </c:pt>
                <c:pt idx="17">
                  <c:v>40325</c:v>
                </c:pt>
                <c:pt idx="18">
                  <c:v>38300</c:v>
                </c:pt>
                <c:pt idx="19">
                  <c:v>42992</c:v>
                </c:pt>
                <c:pt idx="20">
                  <c:v>38124</c:v>
                </c:pt>
                <c:pt idx="21">
                  <c:v>39020</c:v>
                </c:pt>
                <c:pt idx="22">
                  <c:v>40328</c:v>
                </c:pt>
                <c:pt idx="23">
                  <c:v>41968</c:v>
                </c:pt>
                <c:pt idx="24">
                  <c:v>43123</c:v>
                </c:pt>
                <c:pt idx="25">
                  <c:v>38273</c:v>
                </c:pt>
                <c:pt idx="26">
                  <c:v>41111</c:v>
                </c:pt>
                <c:pt idx="27">
                  <c:v>40223</c:v>
                </c:pt>
                <c:pt idx="28">
                  <c:v>40984</c:v>
                </c:pt>
                <c:pt idx="29">
                  <c:v>45524</c:v>
                </c:pt>
                <c:pt idx="30">
                  <c:v>47317</c:v>
                </c:pt>
              </c:numCache>
            </c:numRef>
          </c:val>
          <c:extLst>
            <c:ext xmlns:c16="http://schemas.microsoft.com/office/drawing/2014/chart" uri="{C3380CC4-5D6E-409C-BE32-E72D297353CC}">
              <c16:uniqueId val="{00000000-DE47-464F-8221-B6E0283C201A}"/>
            </c:ext>
          </c:extLst>
        </c:ser>
        <c:dLbls>
          <c:showLegendKey val="0"/>
          <c:showVal val="0"/>
          <c:showCatName val="0"/>
          <c:showSerName val="0"/>
          <c:showPercent val="0"/>
          <c:showBubbleSize val="0"/>
        </c:dLbls>
        <c:gapWidth val="219"/>
        <c:overlap val="-27"/>
        <c:axId val="583098320"/>
        <c:axId val="583098648"/>
      </c:barChart>
      <c:catAx>
        <c:axId val="5830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648"/>
        <c:crosses val="autoZero"/>
        <c:auto val="1"/>
        <c:lblAlgn val="ctr"/>
        <c:lblOffset val="100"/>
        <c:noMultiLvlLbl val="1"/>
      </c:catAx>
      <c:valAx>
        <c:axId val="5830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'[8]Utility Consumption'!$B$37</c:f>
              <c:strCache>
                <c:ptCount val="1"/>
                <c:pt idx="0">
                  <c:v>TSE Water Cosumption
1000 liters</c:v>
                </c:pt>
              </c:strCache>
            </c:strRef>
          </c:tx>
          <c:spPr>
            <a:solidFill>
              <a:schemeClr val="accent1"/>
            </a:solidFill>
            <a:ln>
              <a:noFill/>
            </a:ln>
            <a:effectLst/>
          </c:spPr>
          <c:invertIfNegative val="0"/>
          <c:cat>
            <c:numRef>
              <c:f>'[8]Utility Consumption'!$A$38:$A$68</c:f>
              <c:numCache>
                <c:formatCode>General</c:formatCode>
                <c:ptCount val="31"/>
                <c:pt idx="0">
                  <c:v>44075</c:v>
                </c:pt>
                <c:pt idx="1">
                  <c:v>44076</c:v>
                </c:pt>
                <c:pt idx="2">
                  <c:v>44077</c:v>
                </c:pt>
                <c:pt idx="3">
                  <c:v>44078</c:v>
                </c:pt>
                <c:pt idx="4">
                  <c:v>44079</c:v>
                </c:pt>
                <c:pt idx="5">
                  <c:v>44080</c:v>
                </c:pt>
                <c:pt idx="6">
                  <c:v>44081</c:v>
                </c:pt>
                <c:pt idx="7">
                  <c:v>44082</c:v>
                </c:pt>
                <c:pt idx="8">
                  <c:v>44083</c:v>
                </c:pt>
                <c:pt idx="9">
                  <c:v>44084</c:v>
                </c:pt>
                <c:pt idx="10">
                  <c:v>44085</c:v>
                </c:pt>
                <c:pt idx="11">
                  <c:v>44086</c:v>
                </c:pt>
                <c:pt idx="12">
                  <c:v>44087</c:v>
                </c:pt>
                <c:pt idx="13">
                  <c:v>44088</c:v>
                </c:pt>
                <c:pt idx="14">
                  <c:v>44089</c:v>
                </c:pt>
                <c:pt idx="15">
                  <c:v>44090</c:v>
                </c:pt>
                <c:pt idx="16">
                  <c:v>44091</c:v>
                </c:pt>
                <c:pt idx="17">
                  <c:v>44092</c:v>
                </c:pt>
                <c:pt idx="18">
                  <c:v>44093</c:v>
                </c:pt>
                <c:pt idx="19">
                  <c:v>44094</c:v>
                </c:pt>
                <c:pt idx="20">
                  <c:v>44095</c:v>
                </c:pt>
                <c:pt idx="21">
                  <c:v>44096</c:v>
                </c:pt>
                <c:pt idx="22">
                  <c:v>44097</c:v>
                </c:pt>
                <c:pt idx="23">
                  <c:v>44098</c:v>
                </c:pt>
                <c:pt idx="24">
                  <c:v>44099</c:v>
                </c:pt>
                <c:pt idx="25">
                  <c:v>44100</c:v>
                </c:pt>
                <c:pt idx="26">
                  <c:v>44101</c:v>
                </c:pt>
                <c:pt idx="27">
                  <c:v>44102</c:v>
                </c:pt>
                <c:pt idx="28">
                  <c:v>44103</c:v>
                </c:pt>
                <c:pt idx="29">
                  <c:v>44104</c:v>
                </c:pt>
              </c:numCache>
            </c:numRef>
          </c:cat>
          <c:val>
            <c:numRef>
              <c:f>'[8]Utility Consumption'!$B$38:$B$68</c:f>
              <c:numCache>
                <c:formatCode>General</c:formatCode>
                <c:ptCount val="31"/>
                <c:pt idx="0">
                  <c:v>69</c:v>
                </c:pt>
                <c:pt idx="1">
                  <c:v>228</c:v>
                </c:pt>
                <c:pt idx="2">
                  <c:v>236</c:v>
                </c:pt>
                <c:pt idx="3">
                  <c:v>228</c:v>
                </c:pt>
                <c:pt idx="4">
                  <c:v>228</c:v>
                </c:pt>
                <c:pt idx="5">
                  <c:v>233</c:v>
                </c:pt>
                <c:pt idx="6">
                  <c:v>228</c:v>
                </c:pt>
                <c:pt idx="7">
                  <c:v>232</c:v>
                </c:pt>
                <c:pt idx="8">
                  <c:v>232</c:v>
                </c:pt>
                <c:pt idx="9">
                  <c:v>228</c:v>
                </c:pt>
                <c:pt idx="10">
                  <c:v>232</c:v>
                </c:pt>
                <c:pt idx="11">
                  <c:v>220</c:v>
                </c:pt>
                <c:pt idx="12">
                  <c:v>282</c:v>
                </c:pt>
                <c:pt idx="13">
                  <c:v>232</c:v>
                </c:pt>
                <c:pt idx="14">
                  <c:v>11</c:v>
                </c:pt>
                <c:pt idx="15">
                  <c:v>51</c:v>
                </c:pt>
                <c:pt idx="16">
                  <c:v>140</c:v>
                </c:pt>
                <c:pt idx="17">
                  <c:v>135</c:v>
                </c:pt>
                <c:pt idx="18">
                  <c:v>67</c:v>
                </c:pt>
                <c:pt idx="19">
                  <c:v>134</c:v>
                </c:pt>
                <c:pt idx="20">
                  <c:v>139</c:v>
                </c:pt>
                <c:pt idx="21">
                  <c:v>135</c:v>
                </c:pt>
                <c:pt idx="22">
                  <c:v>139</c:v>
                </c:pt>
                <c:pt idx="23">
                  <c:v>141</c:v>
                </c:pt>
                <c:pt idx="24">
                  <c:v>134</c:v>
                </c:pt>
                <c:pt idx="25">
                  <c:v>103</c:v>
                </c:pt>
                <c:pt idx="26">
                  <c:v>136</c:v>
                </c:pt>
                <c:pt idx="27">
                  <c:v>142</c:v>
                </c:pt>
                <c:pt idx="28">
                  <c:v>139</c:v>
                </c:pt>
                <c:pt idx="29">
                  <c:v>140</c:v>
                </c:pt>
              </c:numCache>
            </c:numRef>
          </c:val>
          <c:extLst>
            <c:ext xmlns:c16="http://schemas.microsoft.com/office/drawing/2014/chart" uri="{C3380CC4-5D6E-409C-BE32-E72D297353CC}">
              <c16:uniqueId val="{00000000-8EE2-4DE7-B87D-A0BDA196A9F9}"/>
            </c:ext>
          </c:extLst>
        </c:ser>
        <c:dLbls>
          <c:showLegendKey val="0"/>
          <c:showVal val="0"/>
          <c:showCatName val="0"/>
          <c:showSerName val="0"/>
          <c:showPercent val="0"/>
          <c:showBubbleSize val="0"/>
        </c:dLbls>
        <c:gapWidth val="219"/>
        <c:overlap val="-27"/>
        <c:axId val="335373288"/>
        <c:axId val="335373616"/>
      </c:barChart>
      <c:catAx>
        <c:axId val="33537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616"/>
        <c:crosses val="autoZero"/>
        <c:auto val="1"/>
        <c:lblAlgn val="ctr"/>
        <c:lblOffset val="100"/>
        <c:noMultiLvlLbl val="1"/>
      </c:catAx>
      <c:valAx>
        <c:axId val="335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'[8]Utility Consumption'!$B$70</c:f>
              <c:strCache>
                <c:ptCount val="1"/>
                <c:pt idx="0">
                  <c:v>Power
Consumption
KWH</c:v>
                </c:pt>
              </c:strCache>
            </c:strRef>
          </c:tx>
          <c:spPr>
            <a:solidFill>
              <a:schemeClr val="accent1"/>
            </a:solidFill>
            <a:ln>
              <a:noFill/>
            </a:ln>
            <a:effectLst/>
          </c:spPr>
          <c:invertIfNegative val="0"/>
          <c:cat>
            <c:numRef>
              <c:f>'[8]Utility Consumption'!$A$71:$A$100</c:f>
              <c:numCache>
                <c:formatCode>General</c:formatCode>
                <c:ptCount val="30"/>
                <c:pt idx="0">
                  <c:v>44075</c:v>
                </c:pt>
                <c:pt idx="1">
                  <c:v>44076</c:v>
                </c:pt>
                <c:pt idx="2">
                  <c:v>44077</c:v>
                </c:pt>
                <c:pt idx="3">
                  <c:v>44078</c:v>
                </c:pt>
                <c:pt idx="4">
                  <c:v>44079</c:v>
                </c:pt>
                <c:pt idx="5">
                  <c:v>44080</c:v>
                </c:pt>
                <c:pt idx="6">
                  <c:v>44081</c:v>
                </c:pt>
                <c:pt idx="7">
                  <c:v>44082</c:v>
                </c:pt>
                <c:pt idx="8">
                  <c:v>44083</c:v>
                </c:pt>
                <c:pt idx="9">
                  <c:v>44084</c:v>
                </c:pt>
                <c:pt idx="10">
                  <c:v>44085</c:v>
                </c:pt>
                <c:pt idx="11">
                  <c:v>44086</c:v>
                </c:pt>
                <c:pt idx="12">
                  <c:v>44087</c:v>
                </c:pt>
                <c:pt idx="13">
                  <c:v>44088</c:v>
                </c:pt>
                <c:pt idx="14">
                  <c:v>44089</c:v>
                </c:pt>
                <c:pt idx="15">
                  <c:v>44090</c:v>
                </c:pt>
                <c:pt idx="16">
                  <c:v>44091</c:v>
                </c:pt>
                <c:pt idx="17">
                  <c:v>44092</c:v>
                </c:pt>
                <c:pt idx="18">
                  <c:v>44093</c:v>
                </c:pt>
                <c:pt idx="19">
                  <c:v>44094</c:v>
                </c:pt>
                <c:pt idx="20">
                  <c:v>44095</c:v>
                </c:pt>
                <c:pt idx="21">
                  <c:v>44096</c:v>
                </c:pt>
                <c:pt idx="22">
                  <c:v>44097</c:v>
                </c:pt>
                <c:pt idx="23">
                  <c:v>44098</c:v>
                </c:pt>
                <c:pt idx="24">
                  <c:v>44099</c:v>
                </c:pt>
                <c:pt idx="25">
                  <c:v>44100</c:v>
                </c:pt>
                <c:pt idx="26">
                  <c:v>44101</c:v>
                </c:pt>
                <c:pt idx="27">
                  <c:v>44102</c:v>
                </c:pt>
                <c:pt idx="28">
                  <c:v>44103</c:v>
                </c:pt>
                <c:pt idx="29">
                  <c:v>44104</c:v>
                </c:pt>
              </c:numCache>
            </c:numRef>
          </c:cat>
          <c:val>
            <c:numRef>
              <c:f>'[8]Utility Consumption'!$B$71:$B$100</c:f>
              <c:numCache>
                <c:formatCode>General</c:formatCode>
                <c:ptCount val="30"/>
                <c:pt idx="0">
                  <c:v>38288</c:v>
                </c:pt>
                <c:pt idx="1">
                  <c:v>53205</c:v>
                </c:pt>
                <c:pt idx="2">
                  <c:v>38348</c:v>
                </c:pt>
                <c:pt idx="3">
                  <c:v>37589</c:v>
                </c:pt>
                <c:pt idx="4">
                  <c:v>49668</c:v>
                </c:pt>
                <c:pt idx="5">
                  <c:v>38524</c:v>
                </c:pt>
                <c:pt idx="6">
                  <c:v>48702</c:v>
                </c:pt>
                <c:pt idx="7">
                  <c:v>29474</c:v>
                </c:pt>
                <c:pt idx="8">
                  <c:v>37589</c:v>
                </c:pt>
                <c:pt idx="9">
                  <c:v>39277</c:v>
                </c:pt>
                <c:pt idx="10">
                  <c:v>38524</c:v>
                </c:pt>
                <c:pt idx="11">
                  <c:v>39083</c:v>
                </c:pt>
                <c:pt idx="12">
                  <c:v>38262</c:v>
                </c:pt>
                <c:pt idx="13">
                  <c:v>39197</c:v>
                </c:pt>
                <c:pt idx="14">
                  <c:v>40976</c:v>
                </c:pt>
                <c:pt idx="15">
                  <c:v>37841</c:v>
                </c:pt>
                <c:pt idx="16">
                  <c:v>43003</c:v>
                </c:pt>
                <c:pt idx="17">
                  <c:v>39197</c:v>
                </c:pt>
                <c:pt idx="18">
                  <c:v>38320</c:v>
                </c:pt>
                <c:pt idx="19">
                  <c:v>39467</c:v>
                </c:pt>
                <c:pt idx="20">
                  <c:v>38923</c:v>
                </c:pt>
                <c:pt idx="21">
                  <c:v>40810</c:v>
                </c:pt>
                <c:pt idx="22">
                  <c:v>40701</c:v>
                </c:pt>
                <c:pt idx="23">
                  <c:v>40096</c:v>
                </c:pt>
                <c:pt idx="24">
                  <c:v>38923</c:v>
                </c:pt>
                <c:pt idx="25">
                  <c:v>38990</c:v>
                </c:pt>
                <c:pt idx="26">
                  <c:v>43092</c:v>
                </c:pt>
                <c:pt idx="27">
                  <c:v>44688</c:v>
                </c:pt>
                <c:pt idx="28">
                  <c:v>44686</c:v>
                </c:pt>
                <c:pt idx="29">
                  <c:v>39467</c:v>
                </c:pt>
              </c:numCache>
            </c:numRef>
          </c:val>
          <c:extLst>
            <c:ext xmlns:c16="http://schemas.microsoft.com/office/drawing/2014/chart" uri="{C3380CC4-5D6E-409C-BE32-E72D297353CC}">
              <c16:uniqueId val="{00000000-410E-4E36-8163-7CC8B7073F86}"/>
            </c:ext>
          </c:extLst>
        </c:ser>
        <c:dLbls>
          <c:showLegendKey val="0"/>
          <c:showVal val="0"/>
          <c:showCatName val="0"/>
          <c:showSerName val="0"/>
          <c:showPercent val="0"/>
          <c:showBubbleSize val="0"/>
        </c:dLbls>
        <c:gapWidth val="219"/>
        <c:overlap val="-27"/>
        <c:axId val="583098320"/>
        <c:axId val="583098648"/>
      </c:barChart>
      <c:catAx>
        <c:axId val="5830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648"/>
        <c:crosses val="autoZero"/>
        <c:auto val="1"/>
        <c:lblAlgn val="ctr"/>
        <c:lblOffset val="100"/>
        <c:noMultiLvlLbl val="1"/>
      </c:catAx>
      <c:valAx>
        <c:axId val="5830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'[9]Utility Consumption'!$B$37</c:f>
              <c:strCache>
                <c:ptCount val="1"/>
                <c:pt idx="0">
                  <c:v>TSE Water Cosumption
1000 liters</c:v>
                </c:pt>
              </c:strCache>
            </c:strRef>
          </c:tx>
          <c:spPr>
            <a:solidFill>
              <a:schemeClr val="accent1"/>
            </a:solidFill>
            <a:ln>
              <a:noFill/>
            </a:ln>
            <a:effectLst/>
          </c:spPr>
          <c:invertIfNegative val="0"/>
          <c:cat>
            <c:numRef>
              <c:f>'[9]Utility Consumption'!$A$38:$A$68</c:f>
              <c:numCache>
                <c:formatCode>General</c:formatCode>
                <c:ptCount val="31"/>
                <c:pt idx="0">
                  <c:v>44105</c:v>
                </c:pt>
                <c:pt idx="1">
                  <c:v>44106</c:v>
                </c:pt>
                <c:pt idx="2">
                  <c:v>44107</c:v>
                </c:pt>
                <c:pt idx="3">
                  <c:v>44108</c:v>
                </c:pt>
                <c:pt idx="4">
                  <c:v>44109</c:v>
                </c:pt>
                <c:pt idx="5">
                  <c:v>44110</c:v>
                </c:pt>
                <c:pt idx="6">
                  <c:v>44111</c:v>
                </c:pt>
                <c:pt idx="7">
                  <c:v>44112</c:v>
                </c:pt>
                <c:pt idx="8">
                  <c:v>44113</c:v>
                </c:pt>
                <c:pt idx="9">
                  <c:v>44114</c:v>
                </c:pt>
                <c:pt idx="10">
                  <c:v>44115</c:v>
                </c:pt>
                <c:pt idx="11">
                  <c:v>44116</c:v>
                </c:pt>
                <c:pt idx="12">
                  <c:v>44117</c:v>
                </c:pt>
                <c:pt idx="13">
                  <c:v>44118</c:v>
                </c:pt>
                <c:pt idx="14">
                  <c:v>44119</c:v>
                </c:pt>
                <c:pt idx="15">
                  <c:v>44120</c:v>
                </c:pt>
                <c:pt idx="16">
                  <c:v>44121</c:v>
                </c:pt>
                <c:pt idx="17">
                  <c:v>44122</c:v>
                </c:pt>
                <c:pt idx="18">
                  <c:v>44123</c:v>
                </c:pt>
                <c:pt idx="19">
                  <c:v>44124</c:v>
                </c:pt>
                <c:pt idx="20">
                  <c:v>44125</c:v>
                </c:pt>
                <c:pt idx="21">
                  <c:v>44126</c:v>
                </c:pt>
                <c:pt idx="22">
                  <c:v>44127</c:v>
                </c:pt>
                <c:pt idx="23">
                  <c:v>44128</c:v>
                </c:pt>
                <c:pt idx="24">
                  <c:v>44129</c:v>
                </c:pt>
                <c:pt idx="25">
                  <c:v>44130</c:v>
                </c:pt>
                <c:pt idx="26">
                  <c:v>44131</c:v>
                </c:pt>
                <c:pt idx="27">
                  <c:v>44132</c:v>
                </c:pt>
                <c:pt idx="28">
                  <c:v>44133</c:v>
                </c:pt>
                <c:pt idx="29">
                  <c:v>44134</c:v>
                </c:pt>
                <c:pt idx="30">
                  <c:v>44135</c:v>
                </c:pt>
              </c:numCache>
            </c:numRef>
          </c:cat>
          <c:val>
            <c:numRef>
              <c:f>'[9]Utility Consumption'!$B$38:$B$68</c:f>
              <c:numCache>
                <c:formatCode>General</c:formatCode>
                <c:ptCount val="31"/>
                <c:pt idx="0">
                  <c:v>69</c:v>
                </c:pt>
                <c:pt idx="1">
                  <c:v>139</c:v>
                </c:pt>
                <c:pt idx="2">
                  <c:v>29</c:v>
                </c:pt>
                <c:pt idx="3">
                  <c:v>138</c:v>
                </c:pt>
                <c:pt idx="4">
                  <c:v>139</c:v>
                </c:pt>
                <c:pt idx="5">
                  <c:v>189</c:v>
                </c:pt>
                <c:pt idx="6">
                  <c:v>89</c:v>
                </c:pt>
                <c:pt idx="7">
                  <c:v>139</c:v>
                </c:pt>
                <c:pt idx="8">
                  <c:v>22</c:v>
                </c:pt>
                <c:pt idx="9">
                  <c:v>10</c:v>
                </c:pt>
                <c:pt idx="10">
                  <c:v>26</c:v>
                </c:pt>
                <c:pt idx="11">
                  <c:v>20</c:v>
                </c:pt>
                <c:pt idx="12">
                  <c:v>20</c:v>
                </c:pt>
                <c:pt idx="13">
                  <c:v>22</c:v>
                </c:pt>
                <c:pt idx="14">
                  <c:v>23</c:v>
                </c:pt>
                <c:pt idx="15">
                  <c:v>19</c:v>
                </c:pt>
                <c:pt idx="16">
                  <c:v>6</c:v>
                </c:pt>
                <c:pt idx="17">
                  <c:v>19</c:v>
                </c:pt>
                <c:pt idx="18">
                  <c:v>21</c:v>
                </c:pt>
                <c:pt idx="19">
                  <c:v>20</c:v>
                </c:pt>
                <c:pt idx="20">
                  <c:v>20</c:v>
                </c:pt>
                <c:pt idx="21">
                  <c:v>19</c:v>
                </c:pt>
                <c:pt idx="22">
                  <c:v>15</c:v>
                </c:pt>
                <c:pt idx="23">
                  <c:v>11</c:v>
                </c:pt>
                <c:pt idx="24">
                  <c:v>20</c:v>
                </c:pt>
                <c:pt idx="25">
                  <c:v>20</c:v>
                </c:pt>
                <c:pt idx="26">
                  <c:v>20</c:v>
                </c:pt>
                <c:pt idx="27">
                  <c:v>31</c:v>
                </c:pt>
                <c:pt idx="28">
                  <c:v>31</c:v>
                </c:pt>
                <c:pt idx="29">
                  <c:v>19</c:v>
                </c:pt>
                <c:pt idx="30">
                  <c:v>20</c:v>
                </c:pt>
              </c:numCache>
            </c:numRef>
          </c:val>
          <c:extLst>
            <c:ext xmlns:c16="http://schemas.microsoft.com/office/drawing/2014/chart" uri="{C3380CC4-5D6E-409C-BE32-E72D297353CC}">
              <c16:uniqueId val="{00000000-73EA-4D01-84F3-25A95BCCABAB}"/>
            </c:ext>
          </c:extLst>
        </c:ser>
        <c:dLbls>
          <c:showLegendKey val="0"/>
          <c:showVal val="0"/>
          <c:showCatName val="0"/>
          <c:showSerName val="0"/>
          <c:showPercent val="0"/>
          <c:showBubbleSize val="0"/>
        </c:dLbls>
        <c:gapWidth val="219"/>
        <c:overlap val="-27"/>
        <c:axId val="335373288"/>
        <c:axId val="335373616"/>
      </c:barChart>
      <c:catAx>
        <c:axId val="335373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616"/>
        <c:crosses val="autoZero"/>
        <c:auto val="1"/>
        <c:lblAlgn val="ctr"/>
        <c:lblOffset val="100"/>
        <c:noMultiLvlLbl val="1"/>
      </c:catAx>
      <c:valAx>
        <c:axId val="335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73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'[9]Utility Consumption'!$B$70</c:f>
              <c:strCache>
                <c:ptCount val="1"/>
                <c:pt idx="0">
                  <c:v>Power
Consumption
KWH</c:v>
                </c:pt>
              </c:strCache>
            </c:strRef>
          </c:tx>
          <c:spPr>
            <a:solidFill>
              <a:schemeClr val="accent1"/>
            </a:solidFill>
            <a:ln>
              <a:noFill/>
            </a:ln>
            <a:effectLst/>
          </c:spPr>
          <c:invertIfNegative val="0"/>
          <c:cat>
            <c:numRef>
              <c:f>'[9]Utility Consumption'!$A$71:$A$100</c:f>
              <c:numCache>
                <c:formatCode>General</c:formatCode>
                <c:ptCount val="30"/>
                <c:pt idx="0">
                  <c:v>44105</c:v>
                </c:pt>
                <c:pt idx="1">
                  <c:v>44106</c:v>
                </c:pt>
                <c:pt idx="2">
                  <c:v>44107</c:v>
                </c:pt>
                <c:pt idx="3">
                  <c:v>44108</c:v>
                </c:pt>
                <c:pt idx="4">
                  <c:v>44109</c:v>
                </c:pt>
                <c:pt idx="5">
                  <c:v>44110</c:v>
                </c:pt>
                <c:pt idx="6">
                  <c:v>44111</c:v>
                </c:pt>
                <c:pt idx="7">
                  <c:v>44112</c:v>
                </c:pt>
                <c:pt idx="8">
                  <c:v>44113</c:v>
                </c:pt>
                <c:pt idx="9">
                  <c:v>44114</c:v>
                </c:pt>
                <c:pt idx="10">
                  <c:v>44115</c:v>
                </c:pt>
                <c:pt idx="11">
                  <c:v>44116</c:v>
                </c:pt>
                <c:pt idx="12">
                  <c:v>44117</c:v>
                </c:pt>
                <c:pt idx="13">
                  <c:v>44118</c:v>
                </c:pt>
                <c:pt idx="14">
                  <c:v>44119</c:v>
                </c:pt>
                <c:pt idx="15">
                  <c:v>44120</c:v>
                </c:pt>
                <c:pt idx="16">
                  <c:v>44121</c:v>
                </c:pt>
                <c:pt idx="17">
                  <c:v>44122</c:v>
                </c:pt>
                <c:pt idx="18">
                  <c:v>44123</c:v>
                </c:pt>
                <c:pt idx="19">
                  <c:v>44124</c:v>
                </c:pt>
                <c:pt idx="20">
                  <c:v>44125</c:v>
                </c:pt>
                <c:pt idx="21">
                  <c:v>44126</c:v>
                </c:pt>
                <c:pt idx="22">
                  <c:v>44127</c:v>
                </c:pt>
                <c:pt idx="23">
                  <c:v>44128</c:v>
                </c:pt>
                <c:pt idx="24">
                  <c:v>44129</c:v>
                </c:pt>
                <c:pt idx="25">
                  <c:v>44130</c:v>
                </c:pt>
                <c:pt idx="26">
                  <c:v>44131</c:v>
                </c:pt>
                <c:pt idx="27">
                  <c:v>44132</c:v>
                </c:pt>
                <c:pt idx="28">
                  <c:v>44133</c:v>
                </c:pt>
                <c:pt idx="29">
                  <c:v>44134</c:v>
                </c:pt>
              </c:numCache>
            </c:numRef>
          </c:cat>
          <c:val>
            <c:numRef>
              <c:f>'[9]Utility Consumption'!$B$71:$B$100</c:f>
              <c:numCache>
                <c:formatCode>General</c:formatCode>
                <c:ptCount val="30"/>
                <c:pt idx="0">
                  <c:v>38288</c:v>
                </c:pt>
                <c:pt idx="1">
                  <c:v>86065</c:v>
                </c:pt>
                <c:pt idx="2">
                  <c:v>85332</c:v>
                </c:pt>
                <c:pt idx="3">
                  <c:v>78454</c:v>
                </c:pt>
                <c:pt idx="4">
                  <c:v>39254</c:v>
                </c:pt>
                <c:pt idx="5">
                  <c:v>39953</c:v>
                </c:pt>
                <c:pt idx="6">
                  <c:v>40041</c:v>
                </c:pt>
                <c:pt idx="7">
                  <c:v>39039</c:v>
                </c:pt>
                <c:pt idx="8">
                  <c:v>33259</c:v>
                </c:pt>
                <c:pt idx="9">
                  <c:v>36281</c:v>
                </c:pt>
                <c:pt idx="10">
                  <c:v>43437</c:v>
                </c:pt>
                <c:pt idx="11">
                  <c:v>33847</c:v>
                </c:pt>
                <c:pt idx="12">
                  <c:v>36650</c:v>
                </c:pt>
                <c:pt idx="13">
                  <c:v>33259</c:v>
                </c:pt>
                <c:pt idx="14">
                  <c:v>37846</c:v>
                </c:pt>
                <c:pt idx="15">
                  <c:v>43437</c:v>
                </c:pt>
                <c:pt idx="16">
                  <c:v>28418</c:v>
                </c:pt>
                <c:pt idx="17">
                  <c:v>35829</c:v>
                </c:pt>
                <c:pt idx="18">
                  <c:v>35926</c:v>
                </c:pt>
                <c:pt idx="19">
                  <c:v>36223</c:v>
                </c:pt>
                <c:pt idx="20">
                  <c:v>35786</c:v>
                </c:pt>
                <c:pt idx="21">
                  <c:v>36057</c:v>
                </c:pt>
                <c:pt idx="22">
                  <c:v>35829</c:v>
                </c:pt>
                <c:pt idx="23">
                  <c:v>32250</c:v>
                </c:pt>
                <c:pt idx="24">
                  <c:v>34618</c:v>
                </c:pt>
                <c:pt idx="25">
                  <c:v>38020</c:v>
                </c:pt>
                <c:pt idx="26">
                  <c:v>37769</c:v>
                </c:pt>
                <c:pt idx="27">
                  <c:v>37848</c:v>
                </c:pt>
                <c:pt idx="28">
                  <c:v>36360</c:v>
                </c:pt>
                <c:pt idx="29">
                  <c:v>32250</c:v>
                </c:pt>
              </c:numCache>
            </c:numRef>
          </c:val>
          <c:extLst>
            <c:ext xmlns:c16="http://schemas.microsoft.com/office/drawing/2014/chart" uri="{C3380CC4-5D6E-409C-BE32-E72D297353CC}">
              <c16:uniqueId val="{00000000-258A-467B-954B-7F1993F49068}"/>
            </c:ext>
          </c:extLst>
        </c:ser>
        <c:dLbls>
          <c:showLegendKey val="0"/>
          <c:showVal val="0"/>
          <c:showCatName val="0"/>
          <c:showSerName val="0"/>
          <c:showPercent val="0"/>
          <c:showBubbleSize val="0"/>
        </c:dLbls>
        <c:gapWidth val="219"/>
        <c:overlap val="-27"/>
        <c:axId val="583098320"/>
        <c:axId val="583098648"/>
      </c:barChart>
      <c:catAx>
        <c:axId val="5830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648"/>
        <c:crosses val="autoZero"/>
        <c:auto val="1"/>
        <c:lblAlgn val="ctr"/>
        <c:lblOffset val="100"/>
        <c:noMultiLvlLbl val="1"/>
      </c:catAx>
      <c:valAx>
        <c:axId val="5830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28575</xdr:colOff>
      <xdr:row>96</xdr:row>
      <xdr:rowOff>76200</xdr:rowOff>
    </xdr:from>
    <xdr:to>
      <xdr:col>6</xdr:col>
      <xdr:colOff>647700</xdr:colOff>
      <xdr:row>111</xdr:row>
      <xdr:rowOff>57150</xdr:rowOff>
    </xdr:to>
    <xdr:graphicFrame macro="">
      <xdr:nvGraphicFramePr>
        <xdr:cNvPr id="2" name="Chart 1">
          <a:extLst>
            <a:ext uri="{FF2B5EF4-FFF2-40B4-BE49-F238E27FC236}">
              <a16:creationId xmlns:a16="http://schemas.microsoft.com/office/drawing/2014/main" id="{58EDBD05-FA94-4249-9DF0-B281770DE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698500</xdr:colOff>
      <xdr:row>96</xdr:row>
      <xdr:rowOff>88900</xdr:rowOff>
    </xdr:from>
    <xdr:to>
      <xdr:col>13</xdr:col>
      <xdr:colOff>958850</xdr:colOff>
      <xdr:row>111</xdr:row>
      <xdr:rowOff>69850</xdr:rowOff>
    </xdr:to>
    <xdr:graphicFrame macro="">
      <xdr:nvGraphicFramePr>
        <xdr:cNvPr id="3" name="Chart 2">
          <a:extLst>
            <a:ext uri="{FF2B5EF4-FFF2-40B4-BE49-F238E27FC236}">
              <a16:creationId xmlns:a16="http://schemas.microsoft.com/office/drawing/2014/main" id="{F78E6AE9-613E-4BA0-860B-25F9D8B4B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1</xdr:row>
      <xdr:rowOff>15875</xdr:rowOff>
    </xdr:from>
    <xdr:to>
      <xdr:col>15</xdr:col>
      <xdr:colOff>936625</xdr:colOff>
      <xdr:row>15</xdr:row>
      <xdr:rowOff>73025</xdr:rowOff>
    </xdr:to>
    <xdr:graphicFrame macro="">
      <xdr:nvGraphicFramePr>
        <xdr:cNvPr id="2" name="Chart 1">
          <a:extLst>
            <a:ext uri="{FF2B5EF4-FFF2-40B4-BE49-F238E27FC236}">
              <a16:creationId xmlns:a16="http://schemas.microsoft.com/office/drawing/2014/main" id="{47400567-27F7-4F55-9B7B-32F1231B9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31750</xdr:colOff>
      <xdr:row>16</xdr:row>
      <xdr:rowOff>0</xdr:rowOff>
    </xdr:from>
    <xdr:to>
      <xdr:col>15</xdr:col>
      <xdr:colOff>971550</xdr:colOff>
      <xdr:row>33</xdr:row>
      <xdr:rowOff>88900</xdr:rowOff>
    </xdr:to>
    <xdr:graphicFrame macro="">
      <xdr:nvGraphicFramePr>
        <xdr:cNvPr id="3" name="Chart 2">
          <a:extLst>
            <a:ext uri="{FF2B5EF4-FFF2-40B4-BE49-F238E27FC236}">
              <a16:creationId xmlns:a16="http://schemas.microsoft.com/office/drawing/2014/main" id="{9555D2CC-0C97-4339-B3D3-22C397EC3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34925</xdr:colOff>
      <xdr:row>1</xdr:row>
      <xdr:rowOff>9525</xdr:rowOff>
    </xdr:from>
    <xdr:to>
      <xdr:col>17</xdr:col>
      <xdr:colOff>942975</xdr:colOff>
      <xdr:row>15</xdr:row>
      <xdr:rowOff>66675</xdr:rowOff>
    </xdr:to>
    <xdr:graphicFrame macro="">
      <xdr:nvGraphicFramePr>
        <xdr:cNvPr id="2" name="Chart 1">
          <a:extLst>
            <a:ext uri="{FF2B5EF4-FFF2-40B4-BE49-F238E27FC236}">
              <a16:creationId xmlns:a16="http://schemas.microsoft.com/office/drawing/2014/main" id="{1C600D14-1C92-4858-89B0-A303F224A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15</xdr:row>
      <xdr:rowOff>107950</xdr:rowOff>
    </xdr:from>
    <xdr:to>
      <xdr:col>17</xdr:col>
      <xdr:colOff>958850</xdr:colOff>
      <xdr:row>33</xdr:row>
      <xdr:rowOff>0</xdr:rowOff>
    </xdr:to>
    <xdr:graphicFrame macro="">
      <xdr:nvGraphicFramePr>
        <xdr:cNvPr id="3" name="Chart 2">
          <a:extLst>
            <a:ext uri="{FF2B5EF4-FFF2-40B4-BE49-F238E27FC236}">
              <a16:creationId xmlns:a16="http://schemas.microsoft.com/office/drawing/2014/main" id="{8FC15263-40AC-47A1-9ABA-33CE79BB5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762001</xdr:colOff>
      <xdr:row>40</xdr:row>
      <xdr:rowOff>125412</xdr:rowOff>
    </xdr:from>
    <xdr:to>
      <xdr:col>14</xdr:col>
      <xdr:colOff>266700</xdr:colOff>
      <xdr:row>54</xdr:row>
      <xdr:rowOff>68262</xdr:rowOff>
    </xdr:to>
    <xdr:graphicFrame macro="">
      <xdr:nvGraphicFramePr>
        <xdr:cNvPr id="4" name="Chart 3">
          <a:extLst>
            <a:ext uri="{FF2B5EF4-FFF2-40B4-BE49-F238E27FC236}">
              <a16:creationId xmlns:a16="http://schemas.microsoft.com/office/drawing/2014/main" id="{238164A6-0AA9-4D34-BA29-E27EC1E8B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768351</xdr:colOff>
      <xdr:row>55</xdr:row>
      <xdr:rowOff>125412</xdr:rowOff>
    </xdr:from>
    <xdr:to>
      <xdr:col>14</xdr:col>
      <xdr:colOff>276225</xdr:colOff>
      <xdr:row>69</xdr:row>
      <xdr:rowOff>84137</xdr:rowOff>
    </xdr:to>
    <xdr:graphicFrame macro="">
      <xdr:nvGraphicFramePr>
        <xdr:cNvPr id="5" name="Chart 4">
          <a:extLst>
            <a:ext uri="{FF2B5EF4-FFF2-40B4-BE49-F238E27FC236}">
              <a16:creationId xmlns:a16="http://schemas.microsoft.com/office/drawing/2014/main" id="{F276F32A-9321-4542-9B8F-8578B0E38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34925</xdr:colOff>
      <xdr:row>1</xdr:row>
      <xdr:rowOff>9525</xdr:rowOff>
    </xdr:from>
    <xdr:to>
      <xdr:col>17</xdr:col>
      <xdr:colOff>942975</xdr:colOff>
      <xdr:row>15</xdr:row>
      <xdr:rowOff>66675</xdr:rowOff>
    </xdr:to>
    <xdr:graphicFrame macro="">
      <xdr:nvGraphicFramePr>
        <xdr:cNvPr id="2" name="Chart 1">
          <a:extLst>
            <a:ext uri="{FF2B5EF4-FFF2-40B4-BE49-F238E27FC236}">
              <a16:creationId xmlns:a16="http://schemas.microsoft.com/office/drawing/2014/main" id="{85A92B62-D35C-41AB-87A6-F39FDCCE7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15</xdr:row>
      <xdr:rowOff>107950</xdr:rowOff>
    </xdr:from>
    <xdr:to>
      <xdr:col>17</xdr:col>
      <xdr:colOff>958850</xdr:colOff>
      <xdr:row>33</xdr:row>
      <xdr:rowOff>0</xdr:rowOff>
    </xdr:to>
    <xdr:graphicFrame macro="">
      <xdr:nvGraphicFramePr>
        <xdr:cNvPr id="3" name="Chart 2">
          <a:extLst>
            <a:ext uri="{FF2B5EF4-FFF2-40B4-BE49-F238E27FC236}">
              <a16:creationId xmlns:a16="http://schemas.microsoft.com/office/drawing/2014/main" id="{C132E539-6C80-4910-B00E-0CB3C1385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762001</xdr:colOff>
      <xdr:row>40</xdr:row>
      <xdr:rowOff>125412</xdr:rowOff>
    </xdr:from>
    <xdr:to>
      <xdr:col>14</xdr:col>
      <xdr:colOff>266700</xdr:colOff>
      <xdr:row>54</xdr:row>
      <xdr:rowOff>68262</xdr:rowOff>
    </xdr:to>
    <xdr:graphicFrame macro="">
      <xdr:nvGraphicFramePr>
        <xdr:cNvPr id="4" name="Chart 3">
          <a:extLst>
            <a:ext uri="{FF2B5EF4-FFF2-40B4-BE49-F238E27FC236}">
              <a16:creationId xmlns:a16="http://schemas.microsoft.com/office/drawing/2014/main" id="{2FE53842-9E08-4FB6-A0BD-4D844F2CB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768351</xdr:colOff>
      <xdr:row>55</xdr:row>
      <xdr:rowOff>125412</xdr:rowOff>
    </xdr:from>
    <xdr:to>
      <xdr:col>14</xdr:col>
      <xdr:colOff>276225</xdr:colOff>
      <xdr:row>69</xdr:row>
      <xdr:rowOff>84137</xdr:rowOff>
    </xdr:to>
    <xdr:graphicFrame macro="">
      <xdr:nvGraphicFramePr>
        <xdr:cNvPr id="5" name="Chart 4">
          <a:extLst>
            <a:ext uri="{FF2B5EF4-FFF2-40B4-BE49-F238E27FC236}">
              <a16:creationId xmlns:a16="http://schemas.microsoft.com/office/drawing/2014/main" id="{20CAE2A9-2930-4D83-B337-5D204712E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762001</xdr:colOff>
      <xdr:row>40</xdr:row>
      <xdr:rowOff>125412</xdr:rowOff>
    </xdr:from>
    <xdr:to>
      <xdr:col>14</xdr:col>
      <xdr:colOff>266700</xdr:colOff>
      <xdr:row>54</xdr:row>
      <xdr:rowOff>68262</xdr:rowOff>
    </xdr:to>
    <xdr:graphicFrame macro="">
      <xdr:nvGraphicFramePr>
        <xdr:cNvPr id="2" name="Chart 1">
          <a:extLst>
            <a:ext uri="{FF2B5EF4-FFF2-40B4-BE49-F238E27FC236}">
              <a16:creationId xmlns:a16="http://schemas.microsoft.com/office/drawing/2014/main" id="{4A2AEC95-EC9F-45F6-91DD-0A6DC8CF1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768351</xdr:colOff>
      <xdr:row>55</xdr:row>
      <xdr:rowOff>125412</xdr:rowOff>
    </xdr:from>
    <xdr:to>
      <xdr:col>14</xdr:col>
      <xdr:colOff>276225</xdr:colOff>
      <xdr:row>69</xdr:row>
      <xdr:rowOff>84137</xdr:rowOff>
    </xdr:to>
    <xdr:graphicFrame macro="">
      <xdr:nvGraphicFramePr>
        <xdr:cNvPr id="3" name="Chart 2">
          <a:extLst>
            <a:ext uri="{FF2B5EF4-FFF2-40B4-BE49-F238E27FC236}">
              <a16:creationId xmlns:a16="http://schemas.microsoft.com/office/drawing/2014/main" id="{7FAC161C-9E00-4C14-8C59-954483F41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762001</xdr:colOff>
      <xdr:row>40</xdr:row>
      <xdr:rowOff>125412</xdr:rowOff>
    </xdr:from>
    <xdr:to>
      <xdr:col>14</xdr:col>
      <xdr:colOff>266700</xdr:colOff>
      <xdr:row>54</xdr:row>
      <xdr:rowOff>68262</xdr:rowOff>
    </xdr:to>
    <xdr:graphicFrame macro="">
      <xdr:nvGraphicFramePr>
        <xdr:cNvPr id="2" name="Chart 1">
          <a:extLst>
            <a:ext uri="{FF2B5EF4-FFF2-40B4-BE49-F238E27FC236}">
              <a16:creationId xmlns:a16="http://schemas.microsoft.com/office/drawing/2014/main" id="{6502AA62-B386-4AAA-B584-7D961747D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768351</xdr:colOff>
      <xdr:row>55</xdr:row>
      <xdr:rowOff>125412</xdr:rowOff>
    </xdr:from>
    <xdr:to>
      <xdr:col>14</xdr:col>
      <xdr:colOff>276225</xdr:colOff>
      <xdr:row>69</xdr:row>
      <xdr:rowOff>84137</xdr:rowOff>
    </xdr:to>
    <xdr:graphicFrame macro="">
      <xdr:nvGraphicFramePr>
        <xdr:cNvPr id="3" name="Chart 2">
          <a:extLst>
            <a:ext uri="{FF2B5EF4-FFF2-40B4-BE49-F238E27FC236}">
              <a16:creationId xmlns:a16="http://schemas.microsoft.com/office/drawing/2014/main" id="{41318159-043D-46DE-A210-C5F60DECF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762001</xdr:colOff>
      <xdr:row>40</xdr:row>
      <xdr:rowOff>125412</xdr:rowOff>
    </xdr:from>
    <xdr:to>
      <xdr:col>14</xdr:col>
      <xdr:colOff>266700</xdr:colOff>
      <xdr:row>54</xdr:row>
      <xdr:rowOff>68262</xdr:rowOff>
    </xdr:to>
    <xdr:graphicFrame macro="">
      <xdr:nvGraphicFramePr>
        <xdr:cNvPr id="2" name="Chart 1">
          <a:extLst>
            <a:ext uri="{FF2B5EF4-FFF2-40B4-BE49-F238E27FC236}">
              <a16:creationId xmlns:a16="http://schemas.microsoft.com/office/drawing/2014/main" id="{67F0648E-30C2-4DE9-81CD-45E1FE64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768351</xdr:colOff>
      <xdr:row>55</xdr:row>
      <xdr:rowOff>125412</xdr:rowOff>
    </xdr:from>
    <xdr:to>
      <xdr:col>14</xdr:col>
      <xdr:colOff>276225</xdr:colOff>
      <xdr:row>69</xdr:row>
      <xdr:rowOff>84137</xdr:rowOff>
    </xdr:to>
    <xdr:graphicFrame macro="">
      <xdr:nvGraphicFramePr>
        <xdr:cNvPr id="3" name="Chart 2">
          <a:extLst>
            <a:ext uri="{FF2B5EF4-FFF2-40B4-BE49-F238E27FC236}">
              <a16:creationId xmlns:a16="http://schemas.microsoft.com/office/drawing/2014/main" id="{46880D95-6971-4C14-8B7C-32779015F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95251</xdr:colOff>
      <xdr:row>37</xdr:row>
      <xdr:rowOff>17462</xdr:rowOff>
    </xdr:from>
    <xdr:to>
      <xdr:col>11</xdr:col>
      <xdr:colOff>476250</xdr:colOff>
      <xdr:row>50</xdr:row>
      <xdr:rowOff>160337</xdr:rowOff>
    </xdr:to>
    <xdr:graphicFrame macro="">
      <xdr:nvGraphicFramePr>
        <xdr:cNvPr id="2" name="Chart 1">
          <a:extLst>
            <a:ext uri="{FF2B5EF4-FFF2-40B4-BE49-F238E27FC236}">
              <a16:creationId xmlns:a16="http://schemas.microsoft.com/office/drawing/2014/main" id="{A49BFA4D-77C1-44F8-9A47-23C40AAFA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66676</xdr:colOff>
      <xdr:row>69</xdr:row>
      <xdr:rowOff>550862</xdr:rowOff>
    </xdr:from>
    <xdr:to>
      <xdr:col>11</xdr:col>
      <xdr:colOff>444500</xdr:colOff>
      <xdr:row>83</xdr:row>
      <xdr:rowOff>144462</xdr:rowOff>
    </xdr:to>
    <xdr:graphicFrame macro="">
      <xdr:nvGraphicFramePr>
        <xdr:cNvPr id="3" name="Chart 2">
          <a:extLst>
            <a:ext uri="{FF2B5EF4-FFF2-40B4-BE49-F238E27FC236}">
              <a16:creationId xmlns:a16="http://schemas.microsoft.com/office/drawing/2014/main" id="{AAE5E788-2CE4-457F-9796-62CE97B6D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ld%20Reports/Mar%202020/MOEHE%20Data%20Center%20monthly%20report%20-%20March%2020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ld%20Reports/Apr%202020/MOEHE%20Monthly%20Utility%20&amp;%20Activity%20Summery%20report%20-%20April%202020.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y%202020/MOEHE%20Monthly%20Utility%20&amp;%20Activity%20Summery%20report%20-%20May%202020.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ld%20Reports/May%202020/MOEHE%20Data%20Center%20monthly%20report%20-%20May%20202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ld%20Reports/Jun%202020/MOEHE%20Data%20Center%20monthly%20report%20-%20Jun%20202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ld%20Reports/Jul%202020/MOEHE%20Data%20Center%20monthly%20report%20-%20Jul%20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ld%20Reports/Aug%202020/MOEHE%20Data%20Center%20monthly%20report%20-%20Aug%202020.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ld%20Reports/Sep%202020/MOEHE%20Data%20Center%20monthly%20report%20-%20Sep%202020.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ct%202020/MOEHE%20Consumption%20readings%20-Oct%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Log Sheet"/>
      <sheetName val="Power &amp; Environment Data"/>
      <sheetName val="Data Center Temp &amp; Power Data"/>
      <sheetName val="Data Center Graph "/>
      <sheetName val="Monthly Utility consumption"/>
    </sheetNames>
    <sheetDataSet>
      <sheetData sheetId="0"/>
      <sheetData sheetId="1"/>
      <sheetData sheetId="2"/>
      <sheetData sheetId="3"/>
      <sheetData sheetId="4">
        <row r="64">
          <cell r="B64" t="str">
            <v>Power
Consumption
KWH</v>
          </cell>
          <cell r="C64" t="str">
            <v>TSE Water Cosumption
1000 liters</v>
          </cell>
        </row>
        <row r="65">
          <cell r="A65">
            <v>43891</v>
          </cell>
          <cell r="B65">
            <v>20342</v>
          </cell>
          <cell r="C65">
            <v>25</v>
          </cell>
        </row>
        <row r="66">
          <cell r="A66">
            <v>43892</v>
          </cell>
          <cell r="B66">
            <v>21097</v>
          </cell>
          <cell r="C66">
            <v>27</v>
          </cell>
        </row>
        <row r="67">
          <cell r="A67">
            <v>43893</v>
          </cell>
          <cell r="B67">
            <v>21591</v>
          </cell>
          <cell r="C67">
            <v>31</v>
          </cell>
        </row>
        <row r="68">
          <cell r="A68">
            <v>43894</v>
          </cell>
          <cell r="B68">
            <v>20731</v>
          </cell>
          <cell r="C68">
            <v>25</v>
          </cell>
        </row>
        <row r="69">
          <cell r="A69">
            <v>43895</v>
          </cell>
          <cell r="B69">
            <v>21530</v>
          </cell>
          <cell r="C69">
            <v>25</v>
          </cell>
        </row>
        <row r="70">
          <cell r="A70">
            <v>43896</v>
          </cell>
          <cell r="B70">
            <v>21383</v>
          </cell>
          <cell r="C70">
            <v>0</v>
          </cell>
        </row>
        <row r="71">
          <cell r="A71">
            <v>43897</v>
          </cell>
          <cell r="B71">
            <v>21383</v>
          </cell>
          <cell r="C71">
            <v>0</v>
          </cell>
        </row>
        <row r="72">
          <cell r="A72">
            <v>43898</v>
          </cell>
          <cell r="B72">
            <v>21383</v>
          </cell>
          <cell r="C72">
            <v>29</v>
          </cell>
        </row>
        <row r="73">
          <cell r="A73">
            <v>43899</v>
          </cell>
          <cell r="B73">
            <v>20506</v>
          </cell>
          <cell r="C73">
            <v>29</v>
          </cell>
        </row>
        <row r="74">
          <cell r="A74">
            <v>43900</v>
          </cell>
          <cell r="B74">
            <v>21374</v>
          </cell>
          <cell r="C74">
            <v>131</v>
          </cell>
        </row>
        <row r="75">
          <cell r="A75">
            <v>43901</v>
          </cell>
          <cell r="B75">
            <v>21266</v>
          </cell>
          <cell r="C75">
            <v>53</v>
          </cell>
        </row>
        <row r="76">
          <cell r="A76">
            <v>43902</v>
          </cell>
          <cell r="B76">
            <v>22243</v>
          </cell>
          <cell r="C76">
            <v>136</v>
          </cell>
        </row>
        <row r="77">
          <cell r="A77">
            <v>43903</v>
          </cell>
          <cell r="B77">
            <v>24583</v>
          </cell>
          <cell r="C77">
            <v>0</v>
          </cell>
        </row>
        <row r="78">
          <cell r="A78">
            <v>43904</v>
          </cell>
          <cell r="B78">
            <v>24583</v>
          </cell>
          <cell r="C78">
            <v>0</v>
          </cell>
        </row>
        <row r="79">
          <cell r="A79">
            <v>43905</v>
          </cell>
          <cell r="B79">
            <v>24583</v>
          </cell>
          <cell r="C79">
            <v>76</v>
          </cell>
        </row>
        <row r="80">
          <cell r="A80">
            <v>43906</v>
          </cell>
          <cell r="B80">
            <v>26971</v>
          </cell>
          <cell r="C80">
            <v>83</v>
          </cell>
        </row>
        <row r="81">
          <cell r="A81">
            <v>43907</v>
          </cell>
          <cell r="B81">
            <v>29964</v>
          </cell>
          <cell r="C81">
            <v>63</v>
          </cell>
        </row>
        <row r="82">
          <cell r="A82">
            <v>43908</v>
          </cell>
          <cell r="B82">
            <v>29964</v>
          </cell>
          <cell r="C82">
            <v>42</v>
          </cell>
        </row>
        <row r="83">
          <cell r="A83">
            <v>43909</v>
          </cell>
          <cell r="B83">
            <v>23093</v>
          </cell>
          <cell r="C83">
            <v>42</v>
          </cell>
        </row>
        <row r="84">
          <cell r="A84">
            <v>43910</v>
          </cell>
          <cell r="B84">
            <v>28854</v>
          </cell>
          <cell r="C84">
            <v>0</v>
          </cell>
        </row>
        <row r="85">
          <cell r="A85">
            <v>43911</v>
          </cell>
          <cell r="B85">
            <v>28854</v>
          </cell>
          <cell r="C85">
            <v>50</v>
          </cell>
        </row>
        <row r="86">
          <cell r="A86">
            <v>43912</v>
          </cell>
          <cell r="B86">
            <v>26977</v>
          </cell>
          <cell r="C86">
            <v>130</v>
          </cell>
        </row>
        <row r="87">
          <cell r="A87">
            <v>43913</v>
          </cell>
          <cell r="B87">
            <v>28254</v>
          </cell>
          <cell r="C87">
            <v>144</v>
          </cell>
        </row>
        <row r="88">
          <cell r="A88">
            <v>43914</v>
          </cell>
          <cell r="B88">
            <v>26305</v>
          </cell>
          <cell r="C88">
            <v>94</v>
          </cell>
        </row>
        <row r="89">
          <cell r="A89">
            <v>43915</v>
          </cell>
          <cell r="B89">
            <v>26087</v>
          </cell>
          <cell r="C89">
            <v>78</v>
          </cell>
        </row>
        <row r="90">
          <cell r="A90">
            <v>43916</v>
          </cell>
          <cell r="B90">
            <v>29336</v>
          </cell>
          <cell r="C90">
            <v>168</v>
          </cell>
        </row>
        <row r="91">
          <cell r="A91">
            <v>43917</v>
          </cell>
          <cell r="B91">
            <v>27618</v>
          </cell>
          <cell r="C91">
            <v>61</v>
          </cell>
        </row>
        <row r="92">
          <cell r="A92">
            <v>43918</v>
          </cell>
          <cell r="B92">
            <v>27618</v>
          </cell>
          <cell r="C92">
            <v>61</v>
          </cell>
        </row>
        <row r="93">
          <cell r="A93">
            <v>43919</v>
          </cell>
          <cell r="B93">
            <v>24583</v>
          </cell>
          <cell r="C93">
            <v>76</v>
          </cell>
        </row>
        <row r="94">
          <cell r="A94">
            <v>43920</v>
          </cell>
          <cell r="B94">
            <v>26087</v>
          </cell>
          <cell r="C94">
            <v>78</v>
          </cell>
        </row>
        <row r="95">
          <cell r="A95">
            <v>43921</v>
          </cell>
          <cell r="B95">
            <v>28854</v>
          </cell>
          <cell r="C95">
            <v>130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ty Data &amp; Graph"/>
      <sheetName val="Monthly Activity Summery"/>
      <sheetName val="Consolidated Daily report March"/>
    </sheetNames>
    <sheetDataSet>
      <sheetData sheetId="0">
        <row r="2">
          <cell r="C2" t="str">
            <v>Power
Consumption
KWH</v>
          </cell>
          <cell r="E2" t="str">
            <v>TSE Water Cosumption
1000 liters</v>
          </cell>
        </row>
        <row r="3">
          <cell r="A3">
            <v>43922</v>
          </cell>
          <cell r="C3">
            <v>24381</v>
          </cell>
          <cell r="E3">
            <v>69</v>
          </cell>
        </row>
        <row r="4">
          <cell r="A4">
            <v>43923</v>
          </cell>
          <cell r="C4">
            <v>24619</v>
          </cell>
          <cell r="E4">
            <v>22</v>
          </cell>
        </row>
        <row r="5">
          <cell r="A5">
            <v>43924</v>
          </cell>
          <cell r="C5">
            <v>24619</v>
          </cell>
          <cell r="E5">
            <v>22</v>
          </cell>
        </row>
        <row r="6">
          <cell r="A6">
            <v>43925</v>
          </cell>
          <cell r="C6">
            <v>24619</v>
          </cell>
          <cell r="E6">
            <v>22</v>
          </cell>
        </row>
        <row r="7">
          <cell r="A7">
            <v>43926</v>
          </cell>
          <cell r="C7">
            <v>25287</v>
          </cell>
          <cell r="E7">
            <v>123</v>
          </cell>
        </row>
        <row r="8">
          <cell r="A8">
            <v>43927</v>
          </cell>
          <cell r="C8">
            <v>24955</v>
          </cell>
          <cell r="E8">
            <v>133</v>
          </cell>
        </row>
        <row r="9">
          <cell r="A9">
            <v>43928</v>
          </cell>
          <cell r="C9">
            <v>24296</v>
          </cell>
          <cell r="E9">
            <v>138</v>
          </cell>
        </row>
        <row r="10">
          <cell r="A10">
            <v>43929</v>
          </cell>
          <cell r="C10">
            <v>24175</v>
          </cell>
          <cell r="E10">
            <v>134</v>
          </cell>
        </row>
        <row r="11">
          <cell r="A11">
            <v>43930</v>
          </cell>
          <cell r="C11">
            <v>26285</v>
          </cell>
          <cell r="E11">
            <v>142</v>
          </cell>
        </row>
        <row r="12">
          <cell r="A12">
            <v>43931</v>
          </cell>
          <cell r="C12">
            <v>24406</v>
          </cell>
          <cell r="E12">
            <v>40</v>
          </cell>
        </row>
        <row r="13">
          <cell r="A13">
            <v>43932</v>
          </cell>
          <cell r="C13">
            <v>24407</v>
          </cell>
          <cell r="E13">
            <v>40</v>
          </cell>
        </row>
        <row r="14">
          <cell r="A14">
            <v>43933</v>
          </cell>
          <cell r="C14">
            <v>28918</v>
          </cell>
          <cell r="E14">
            <v>114</v>
          </cell>
        </row>
        <row r="15">
          <cell r="A15">
            <v>43934</v>
          </cell>
          <cell r="C15">
            <v>33549</v>
          </cell>
          <cell r="E15">
            <v>69</v>
          </cell>
        </row>
        <row r="16">
          <cell r="A16">
            <v>43935</v>
          </cell>
          <cell r="C16">
            <v>30136</v>
          </cell>
          <cell r="E16">
            <v>89</v>
          </cell>
        </row>
        <row r="17">
          <cell r="A17">
            <v>43936</v>
          </cell>
          <cell r="C17">
            <v>30032</v>
          </cell>
          <cell r="E17">
            <v>144</v>
          </cell>
        </row>
        <row r="18">
          <cell r="A18">
            <v>43937</v>
          </cell>
          <cell r="C18">
            <v>29883</v>
          </cell>
          <cell r="E18">
            <v>34</v>
          </cell>
        </row>
        <row r="19">
          <cell r="A19">
            <v>43938</v>
          </cell>
          <cell r="C19">
            <v>31613</v>
          </cell>
          <cell r="E19">
            <v>19</v>
          </cell>
        </row>
        <row r="20">
          <cell r="A20">
            <v>43939</v>
          </cell>
          <cell r="C20">
            <v>31613</v>
          </cell>
          <cell r="E20">
            <v>19</v>
          </cell>
        </row>
        <row r="21">
          <cell r="A21">
            <v>43940</v>
          </cell>
          <cell r="C21">
            <v>29864</v>
          </cell>
          <cell r="E21">
            <v>106</v>
          </cell>
        </row>
        <row r="22">
          <cell r="A22">
            <v>43941</v>
          </cell>
          <cell r="C22">
            <v>32113</v>
          </cell>
          <cell r="E22">
            <v>164</v>
          </cell>
        </row>
        <row r="23">
          <cell r="A23">
            <v>43942</v>
          </cell>
          <cell r="C23">
            <v>33014</v>
          </cell>
          <cell r="E23">
            <v>153</v>
          </cell>
        </row>
        <row r="24">
          <cell r="A24">
            <v>43943</v>
          </cell>
          <cell r="C24">
            <v>33671</v>
          </cell>
          <cell r="E24">
            <v>132</v>
          </cell>
        </row>
        <row r="25">
          <cell r="A25">
            <v>43944</v>
          </cell>
          <cell r="C25">
            <v>35044</v>
          </cell>
          <cell r="E25">
            <v>93</v>
          </cell>
        </row>
        <row r="26">
          <cell r="A26">
            <v>43945</v>
          </cell>
          <cell r="C26">
            <v>30412</v>
          </cell>
          <cell r="E26">
            <v>59</v>
          </cell>
        </row>
        <row r="27">
          <cell r="A27">
            <v>43946</v>
          </cell>
          <cell r="C27">
            <v>30412</v>
          </cell>
          <cell r="E27">
            <v>59</v>
          </cell>
        </row>
        <row r="28">
          <cell r="A28">
            <v>43947</v>
          </cell>
          <cell r="C28">
            <v>28104</v>
          </cell>
          <cell r="E28">
            <v>160</v>
          </cell>
        </row>
        <row r="29">
          <cell r="A29">
            <v>43948</v>
          </cell>
          <cell r="C29">
            <v>28166</v>
          </cell>
          <cell r="E29">
            <v>85</v>
          </cell>
        </row>
        <row r="30">
          <cell r="A30">
            <v>43949</v>
          </cell>
          <cell r="C30">
            <v>24892</v>
          </cell>
          <cell r="E30">
            <v>116</v>
          </cell>
        </row>
        <row r="31">
          <cell r="A31">
            <v>43950</v>
          </cell>
          <cell r="C31">
            <v>26750</v>
          </cell>
          <cell r="E31">
            <v>183</v>
          </cell>
        </row>
        <row r="32">
          <cell r="A32">
            <v>43951</v>
          </cell>
          <cell r="C32">
            <v>28166</v>
          </cell>
          <cell r="E32">
            <v>160</v>
          </cell>
        </row>
        <row r="33">
          <cell r="A33"/>
          <cell r="C33"/>
          <cell r="E33"/>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ty Data &amp; Graph"/>
      <sheetName val="Monthly Activity Summery"/>
      <sheetName val="Consolidated Daily report March"/>
    </sheetNames>
    <sheetDataSet>
      <sheetData sheetId="0">
        <row r="2">
          <cell r="C2" t="str">
            <v>Power
Consumption
KWH</v>
          </cell>
          <cell r="E2" t="str">
            <v>TSE Water Cosumption
1000 liters</v>
          </cell>
        </row>
        <row r="3">
          <cell r="A3">
            <v>43952</v>
          </cell>
          <cell r="C3">
            <v>24381</v>
          </cell>
          <cell r="E3">
            <v>69</v>
          </cell>
        </row>
        <row r="4">
          <cell r="A4">
            <v>43953</v>
          </cell>
          <cell r="C4">
            <v>24619</v>
          </cell>
          <cell r="E4">
            <v>22</v>
          </cell>
        </row>
        <row r="5">
          <cell r="A5">
            <v>43954</v>
          </cell>
          <cell r="C5">
            <v>24619</v>
          </cell>
          <cell r="E5">
            <v>22</v>
          </cell>
        </row>
        <row r="6">
          <cell r="A6">
            <v>43955</v>
          </cell>
          <cell r="C6">
            <v>24619</v>
          </cell>
          <cell r="E6">
            <v>22</v>
          </cell>
        </row>
        <row r="7">
          <cell r="A7">
            <v>43956</v>
          </cell>
          <cell r="C7">
            <v>25287</v>
          </cell>
          <cell r="E7">
            <v>123</v>
          </cell>
        </row>
        <row r="8">
          <cell r="A8">
            <v>43957</v>
          </cell>
          <cell r="C8">
            <v>24955</v>
          </cell>
          <cell r="E8">
            <v>133</v>
          </cell>
        </row>
        <row r="9">
          <cell r="A9">
            <v>43958</v>
          </cell>
          <cell r="C9">
            <v>24296</v>
          </cell>
          <cell r="E9">
            <v>138</v>
          </cell>
        </row>
        <row r="10">
          <cell r="A10">
            <v>43959</v>
          </cell>
          <cell r="C10">
            <v>24175</v>
          </cell>
          <cell r="E10">
            <v>134</v>
          </cell>
        </row>
        <row r="11">
          <cell r="A11">
            <v>43960</v>
          </cell>
          <cell r="C11">
            <v>26285</v>
          </cell>
          <cell r="E11">
            <v>142</v>
          </cell>
        </row>
        <row r="12">
          <cell r="A12">
            <v>43961</v>
          </cell>
          <cell r="C12">
            <v>24406</v>
          </cell>
          <cell r="E12">
            <v>40</v>
          </cell>
        </row>
        <row r="13">
          <cell r="A13">
            <v>43962</v>
          </cell>
          <cell r="C13">
            <v>24407</v>
          </cell>
          <cell r="E13">
            <v>40</v>
          </cell>
        </row>
        <row r="14">
          <cell r="A14">
            <v>43963</v>
          </cell>
          <cell r="C14">
            <v>28918</v>
          </cell>
          <cell r="E14">
            <v>114</v>
          </cell>
        </row>
        <row r="15">
          <cell r="A15">
            <v>43964</v>
          </cell>
          <cell r="C15">
            <v>33549</v>
          </cell>
          <cell r="E15">
            <v>69</v>
          </cell>
        </row>
        <row r="16">
          <cell r="A16">
            <v>43965</v>
          </cell>
          <cell r="C16">
            <v>30136</v>
          </cell>
          <cell r="E16">
            <v>89</v>
          </cell>
        </row>
        <row r="17">
          <cell r="A17">
            <v>43966</v>
          </cell>
          <cell r="C17">
            <v>30032</v>
          </cell>
          <cell r="E17">
            <v>144</v>
          </cell>
        </row>
        <row r="18">
          <cell r="A18">
            <v>43967</v>
          </cell>
          <cell r="C18">
            <v>29883</v>
          </cell>
          <cell r="E18">
            <v>34</v>
          </cell>
        </row>
        <row r="19">
          <cell r="A19">
            <v>43968</v>
          </cell>
          <cell r="C19">
            <v>31613</v>
          </cell>
          <cell r="E19">
            <v>19</v>
          </cell>
        </row>
        <row r="20">
          <cell r="A20">
            <v>43969</v>
          </cell>
          <cell r="C20">
            <v>31613</v>
          </cell>
          <cell r="E20">
            <v>19</v>
          </cell>
        </row>
        <row r="21">
          <cell r="A21">
            <v>43970</v>
          </cell>
          <cell r="C21">
            <v>29864</v>
          </cell>
          <cell r="E21">
            <v>106</v>
          </cell>
        </row>
        <row r="22">
          <cell r="A22">
            <v>43971</v>
          </cell>
          <cell r="C22">
            <v>32113</v>
          </cell>
          <cell r="E22">
            <v>164</v>
          </cell>
        </row>
        <row r="23">
          <cell r="A23">
            <v>43972</v>
          </cell>
          <cell r="C23">
            <v>33014</v>
          </cell>
          <cell r="E23">
            <v>153</v>
          </cell>
        </row>
        <row r="24">
          <cell r="A24">
            <v>43973</v>
          </cell>
          <cell r="C24">
            <v>33671</v>
          </cell>
          <cell r="E24">
            <v>132</v>
          </cell>
        </row>
        <row r="25">
          <cell r="A25">
            <v>43974</v>
          </cell>
          <cell r="C25">
            <v>35044</v>
          </cell>
          <cell r="E25">
            <v>93</v>
          </cell>
        </row>
        <row r="26">
          <cell r="A26">
            <v>43975</v>
          </cell>
          <cell r="C26">
            <v>30412</v>
          </cell>
          <cell r="E26">
            <v>59</v>
          </cell>
        </row>
        <row r="27">
          <cell r="A27">
            <v>43976</v>
          </cell>
          <cell r="C27">
            <v>30412</v>
          </cell>
          <cell r="E27">
            <v>59</v>
          </cell>
        </row>
        <row r="28">
          <cell r="A28">
            <v>43977</v>
          </cell>
          <cell r="C28">
            <v>28104</v>
          </cell>
          <cell r="E28">
            <v>160</v>
          </cell>
        </row>
        <row r="29">
          <cell r="A29">
            <v>43978</v>
          </cell>
          <cell r="C29">
            <v>28166</v>
          </cell>
          <cell r="E29">
            <v>85</v>
          </cell>
        </row>
        <row r="30">
          <cell r="A30">
            <v>43979</v>
          </cell>
          <cell r="C30">
            <v>24892</v>
          </cell>
          <cell r="E30">
            <v>116</v>
          </cell>
        </row>
        <row r="31">
          <cell r="A31">
            <v>43980</v>
          </cell>
          <cell r="C31">
            <v>26750</v>
          </cell>
          <cell r="E31">
            <v>183</v>
          </cell>
        </row>
        <row r="32">
          <cell r="A32">
            <v>43981</v>
          </cell>
          <cell r="C32">
            <v>28166</v>
          </cell>
          <cell r="E32">
            <v>160</v>
          </cell>
        </row>
        <row r="33">
          <cell r="A33">
            <v>43982</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enter Temp &amp; Power Data"/>
      <sheetName val="Data Center Graph "/>
      <sheetName val="Utility Consumption"/>
      <sheetName val="Monthly Activity Summery"/>
      <sheetName val="Consolodated Daily Report"/>
    </sheetNames>
    <sheetDataSet>
      <sheetData sheetId="0"/>
      <sheetData sheetId="1"/>
      <sheetData sheetId="2">
        <row r="37">
          <cell r="B37" t="str">
            <v>TSE Water Cosumption
1000 liters</v>
          </cell>
        </row>
        <row r="38">
          <cell r="A38">
            <v>43952</v>
          </cell>
          <cell r="B38">
            <v>69</v>
          </cell>
        </row>
        <row r="39">
          <cell r="A39">
            <v>43953</v>
          </cell>
          <cell r="B39">
            <v>79</v>
          </cell>
        </row>
        <row r="40">
          <cell r="A40">
            <v>43954</v>
          </cell>
          <cell r="B40">
            <v>144</v>
          </cell>
        </row>
        <row r="41">
          <cell r="A41">
            <v>43955</v>
          </cell>
          <cell r="B41">
            <v>88</v>
          </cell>
        </row>
        <row r="42">
          <cell r="A42">
            <v>43956</v>
          </cell>
          <cell r="B42">
            <v>137</v>
          </cell>
        </row>
        <row r="43">
          <cell r="A43">
            <v>43957</v>
          </cell>
          <cell r="B43">
            <v>145</v>
          </cell>
        </row>
        <row r="44">
          <cell r="A44">
            <v>43958</v>
          </cell>
          <cell r="B44">
            <v>79</v>
          </cell>
        </row>
        <row r="45">
          <cell r="A45">
            <v>43959</v>
          </cell>
          <cell r="B45">
            <v>79</v>
          </cell>
        </row>
        <row r="46">
          <cell r="A46">
            <v>43960</v>
          </cell>
          <cell r="B46">
            <v>189</v>
          </cell>
        </row>
        <row r="47">
          <cell r="A47">
            <v>43961</v>
          </cell>
          <cell r="B47">
            <v>106</v>
          </cell>
        </row>
        <row r="48">
          <cell r="A48">
            <v>43962</v>
          </cell>
          <cell r="B48">
            <v>145</v>
          </cell>
        </row>
        <row r="49">
          <cell r="A49">
            <v>43963</v>
          </cell>
          <cell r="B49">
            <v>105</v>
          </cell>
        </row>
        <row r="50">
          <cell r="A50">
            <v>43964</v>
          </cell>
          <cell r="B50">
            <v>112</v>
          </cell>
        </row>
        <row r="51">
          <cell r="A51">
            <v>43965</v>
          </cell>
          <cell r="B51">
            <v>79</v>
          </cell>
        </row>
        <row r="52">
          <cell r="A52">
            <v>43966</v>
          </cell>
          <cell r="B52">
            <v>79</v>
          </cell>
        </row>
        <row r="53">
          <cell r="A53">
            <v>43967</v>
          </cell>
          <cell r="B53">
            <v>52</v>
          </cell>
        </row>
        <row r="54">
          <cell r="A54">
            <v>43968</v>
          </cell>
          <cell r="B54">
            <v>88</v>
          </cell>
        </row>
        <row r="55">
          <cell r="A55">
            <v>43969</v>
          </cell>
          <cell r="B55">
            <v>114</v>
          </cell>
        </row>
        <row r="56">
          <cell r="A56">
            <v>43970</v>
          </cell>
          <cell r="B56">
            <v>80</v>
          </cell>
        </row>
        <row r="57">
          <cell r="A57">
            <v>43971</v>
          </cell>
          <cell r="B57">
            <v>116</v>
          </cell>
        </row>
        <row r="58">
          <cell r="A58">
            <v>43972</v>
          </cell>
          <cell r="B58">
            <v>87</v>
          </cell>
        </row>
        <row r="59">
          <cell r="A59">
            <v>43973</v>
          </cell>
          <cell r="B59">
            <v>87</v>
          </cell>
        </row>
        <row r="60">
          <cell r="A60">
            <v>43974</v>
          </cell>
          <cell r="B60">
            <v>114</v>
          </cell>
        </row>
        <row r="61">
          <cell r="A61">
            <v>43975</v>
          </cell>
          <cell r="B61">
            <v>92</v>
          </cell>
        </row>
        <row r="62">
          <cell r="A62">
            <v>43976</v>
          </cell>
          <cell r="B62">
            <v>106</v>
          </cell>
        </row>
        <row r="63">
          <cell r="A63">
            <v>43977</v>
          </cell>
          <cell r="B63">
            <v>58</v>
          </cell>
        </row>
        <row r="64">
          <cell r="A64">
            <v>43978</v>
          </cell>
          <cell r="B64">
            <v>233</v>
          </cell>
        </row>
        <row r="65">
          <cell r="A65">
            <v>43979</v>
          </cell>
          <cell r="B65">
            <v>115</v>
          </cell>
        </row>
        <row r="66">
          <cell r="A66">
            <v>43980</v>
          </cell>
          <cell r="B66">
            <v>69</v>
          </cell>
        </row>
        <row r="67">
          <cell r="A67">
            <v>43981</v>
          </cell>
          <cell r="B67">
            <v>63</v>
          </cell>
        </row>
        <row r="68">
          <cell r="A68">
            <v>43982</v>
          </cell>
          <cell r="B68">
            <v>88</v>
          </cell>
        </row>
        <row r="70">
          <cell r="B70" t="str">
            <v>Power
Consumption
KWH</v>
          </cell>
        </row>
        <row r="71">
          <cell r="A71">
            <v>43952</v>
          </cell>
          <cell r="B71">
            <v>23097</v>
          </cell>
        </row>
        <row r="72">
          <cell r="A72">
            <v>43953</v>
          </cell>
          <cell r="B72">
            <v>34355</v>
          </cell>
        </row>
        <row r="73">
          <cell r="A73">
            <v>43954</v>
          </cell>
          <cell r="B73">
            <v>34355</v>
          </cell>
        </row>
        <row r="74">
          <cell r="A74">
            <v>43955</v>
          </cell>
          <cell r="B74">
            <v>28437</v>
          </cell>
        </row>
        <row r="75">
          <cell r="A75">
            <v>43956</v>
          </cell>
          <cell r="B75">
            <v>26699</v>
          </cell>
        </row>
        <row r="76">
          <cell r="A76">
            <v>43957</v>
          </cell>
          <cell r="B76">
            <v>27125</v>
          </cell>
        </row>
        <row r="77">
          <cell r="A77">
            <v>43958</v>
          </cell>
          <cell r="B77">
            <v>28198</v>
          </cell>
        </row>
        <row r="78">
          <cell r="A78">
            <v>43959</v>
          </cell>
          <cell r="B78">
            <v>28198</v>
          </cell>
        </row>
        <row r="79">
          <cell r="A79">
            <v>43960</v>
          </cell>
          <cell r="B79">
            <v>26973</v>
          </cell>
        </row>
        <row r="80">
          <cell r="A80">
            <v>43961</v>
          </cell>
          <cell r="B80">
            <v>33203</v>
          </cell>
        </row>
        <row r="81">
          <cell r="A81">
            <v>43962</v>
          </cell>
          <cell r="B81">
            <v>34761</v>
          </cell>
        </row>
        <row r="82">
          <cell r="A82">
            <v>43963</v>
          </cell>
          <cell r="B82">
            <v>33464</v>
          </cell>
        </row>
        <row r="83">
          <cell r="A83">
            <v>43964</v>
          </cell>
          <cell r="B83">
            <v>32768</v>
          </cell>
        </row>
        <row r="84">
          <cell r="A84">
            <v>43965</v>
          </cell>
          <cell r="B84">
            <v>33146</v>
          </cell>
        </row>
        <row r="85">
          <cell r="A85">
            <v>43966</v>
          </cell>
          <cell r="B85">
            <v>33146</v>
          </cell>
        </row>
        <row r="86">
          <cell r="A86">
            <v>43967</v>
          </cell>
          <cell r="B86">
            <v>34277</v>
          </cell>
        </row>
        <row r="87">
          <cell r="A87">
            <v>43968</v>
          </cell>
          <cell r="B87">
            <v>33871</v>
          </cell>
        </row>
        <row r="88">
          <cell r="A88">
            <v>43969</v>
          </cell>
          <cell r="B88">
            <v>33349</v>
          </cell>
        </row>
        <row r="89">
          <cell r="A89">
            <v>43970</v>
          </cell>
          <cell r="B89">
            <v>35540</v>
          </cell>
        </row>
        <row r="90">
          <cell r="A90">
            <v>43971</v>
          </cell>
          <cell r="B90">
            <v>29707</v>
          </cell>
        </row>
        <row r="91">
          <cell r="A91">
            <v>43972</v>
          </cell>
          <cell r="B91">
            <v>29003</v>
          </cell>
        </row>
        <row r="92">
          <cell r="A92">
            <v>43973</v>
          </cell>
          <cell r="B92">
            <v>29003</v>
          </cell>
        </row>
        <row r="93">
          <cell r="A93">
            <v>43974</v>
          </cell>
          <cell r="B93">
            <v>31000</v>
          </cell>
        </row>
        <row r="94">
          <cell r="A94">
            <v>43975</v>
          </cell>
          <cell r="B94">
            <v>27576</v>
          </cell>
        </row>
        <row r="95">
          <cell r="A95">
            <v>43976</v>
          </cell>
          <cell r="B95">
            <v>33349</v>
          </cell>
        </row>
        <row r="96">
          <cell r="A96">
            <v>43977</v>
          </cell>
          <cell r="B96">
            <v>23205</v>
          </cell>
        </row>
        <row r="97">
          <cell r="A97">
            <v>43978</v>
          </cell>
          <cell r="B97">
            <v>29904</v>
          </cell>
        </row>
        <row r="98">
          <cell r="A98">
            <v>43979</v>
          </cell>
          <cell r="B98">
            <v>32942</v>
          </cell>
        </row>
        <row r="99">
          <cell r="A99">
            <v>43980</v>
          </cell>
          <cell r="B99">
            <v>35540</v>
          </cell>
        </row>
        <row r="100">
          <cell r="A100">
            <v>43981</v>
          </cell>
          <cell r="B100">
            <v>24611</v>
          </cell>
        </row>
        <row r="101">
          <cell r="A101">
            <v>43982</v>
          </cell>
          <cell r="B101">
            <v>33349</v>
          </cell>
        </row>
      </sheetData>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enter Temp &amp; Power Data"/>
      <sheetName val="Data Center Graph "/>
      <sheetName val="Utility Consumption"/>
      <sheetName val="Monthly Activity Summery"/>
    </sheetNames>
    <sheetDataSet>
      <sheetData sheetId="0"/>
      <sheetData sheetId="1"/>
      <sheetData sheetId="2">
        <row r="37">
          <cell r="B37" t="str">
            <v>TSE Water Cosumption
1000 liters</v>
          </cell>
        </row>
        <row r="38">
          <cell r="A38">
            <v>43983</v>
          </cell>
          <cell r="B38">
            <v>69</v>
          </cell>
        </row>
        <row r="39">
          <cell r="A39">
            <v>43984</v>
          </cell>
          <cell r="B39">
            <v>119</v>
          </cell>
        </row>
        <row r="40">
          <cell r="A40">
            <v>43985</v>
          </cell>
          <cell r="B40">
            <v>192</v>
          </cell>
        </row>
        <row r="41">
          <cell r="A41">
            <v>43986</v>
          </cell>
          <cell r="B41">
            <v>180</v>
          </cell>
        </row>
        <row r="42">
          <cell r="A42">
            <v>43987</v>
          </cell>
          <cell r="B42">
            <v>119</v>
          </cell>
        </row>
        <row r="43">
          <cell r="A43">
            <v>43988</v>
          </cell>
          <cell r="B43">
            <v>89</v>
          </cell>
        </row>
        <row r="44">
          <cell r="A44">
            <v>43989</v>
          </cell>
          <cell r="B44">
            <v>150</v>
          </cell>
        </row>
        <row r="45">
          <cell r="A45">
            <v>43990</v>
          </cell>
          <cell r="B45">
            <v>59</v>
          </cell>
        </row>
        <row r="46">
          <cell r="A46">
            <v>43991</v>
          </cell>
          <cell r="B46">
            <v>129</v>
          </cell>
        </row>
        <row r="47">
          <cell r="A47">
            <v>43992</v>
          </cell>
          <cell r="B47">
            <v>123</v>
          </cell>
        </row>
        <row r="48">
          <cell r="A48">
            <v>43993</v>
          </cell>
          <cell r="B48">
            <v>93</v>
          </cell>
        </row>
        <row r="49">
          <cell r="A49">
            <v>43994</v>
          </cell>
          <cell r="B49">
            <v>89</v>
          </cell>
        </row>
        <row r="50">
          <cell r="A50">
            <v>43995</v>
          </cell>
          <cell r="B50">
            <v>131</v>
          </cell>
        </row>
        <row r="51">
          <cell r="A51">
            <v>43996</v>
          </cell>
          <cell r="B51">
            <v>81</v>
          </cell>
        </row>
        <row r="52">
          <cell r="A52">
            <v>43997</v>
          </cell>
          <cell r="B52">
            <v>105</v>
          </cell>
        </row>
        <row r="53">
          <cell r="A53">
            <v>43998</v>
          </cell>
          <cell r="B53">
            <v>76</v>
          </cell>
        </row>
        <row r="54">
          <cell r="A54">
            <v>43999</v>
          </cell>
          <cell r="B54">
            <v>122</v>
          </cell>
        </row>
        <row r="55">
          <cell r="A55">
            <v>44000</v>
          </cell>
          <cell r="B55">
            <v>95</v>
          </cell>
        </row>
        <row r="56">
          <cell r="A56">
            <v>44001</v>
          </cell>
          <cell r="B56">
            <v>93</v>
          </cell>
        </row>
        <row r="57">
          <cell r="A57">
            <v>44002</v>
          </cell>
          <cell r="B57">
            <v>124</v>
          </cell>
        </row>
        <row r="58">
          <cell r="A58">
            <v>44003</v>
          </cell>
          <cell r="B58">
            <v>128</v>
          </cell>
        </row>
        <row r="59">
          <cell r="A59">
            <v>44004</v>
          </cell>
          <cell r="B59">
            <v>162</v>
          </cell>
        </row>
        <row r="60">
          <cell r="A60">
            <v>44005</v>
          </cell>
          <cell r="B60">
            <v>139</v>
          </cell>
        </row>
        <row r="61">
          <cell r="A61">
            <v>44006</v>
          </cell>
          <cell r="B61">
            <v>142</v>
          </cell>
        </row>
        <row r="62">
          <cell r="A62">
            <v>44007</v>
          </cell>
          <cell r="B62">
            <v>148</v>
          </cell>
        </row>
        <row r="63">
          <cell r="A63">
            <v>44008</v>
          </cell>
          <cell r="B63">
            <v>123</v>
          </cell>
        </row>
        <row r="64">
          <cell r="A64">
            <v>44009</v>
          </cell>
          <cell r="B64">
            <v>157</v>
          </cell>
        </row>
        <row r="65">
          <cell r="A65">
            <v>44010</v>
          </cell>
          <cell r="B65">
            <v>184</v>
          </cell>
        </row>
        <row r="66">
          <cell r="A66">
            <v>44011</v>
          </cell>
          <cell r="B66">
            <v>280</v>
          </cell>
        </row>
        <row r="67">
          <cell r="A67">
            <v>44012</v>
          </cell>
          <cell r="B67">
            <v>188</v>
          </cell>
        </row>
        <row r="68">
          <cell r="A68"/>
          <cell r="B68"/>
        </row>
        <row r="70">
          <cell r="B70" t="str">
            <v>Power
Consumption
KWH</v>
          </cell>
        </row>
        <row r="71">
          <cell r="A71">
            <v>43983</v>
          </cell>
          <cell r="B71">
            <v>43390</v>
          </cell>
        </row>
        <row r="72">
          <cell r="A72">
            <v>43984</v>
          </cell>
          <cell r="B72">
            <v>38957</v>
          </cell>
        </row>
        <row r="73">
          <cell r="A73">
            <v>43985</v>
          </cell>
          <cell r="B73">
            <v>38110</v>
          </cell>
        </row>
        <row r="74">
          <cell r="A74">
            <v>43986</v>
          </cell>
          <cell r="B74">
            <v>36890</v>
          </cell>
        </row>
        <row r="75">
          <cell r="A75">
            <v>43987</v>
          </cell>
          <cell r="B75">
            <v>41143</v>
          </cell>
        </row>
        <row r="76">
          <cell r="A76">
            <v>43988</v>
          </cell>
          <cell r="B76">
            <v>19424</v>
          </cell>
        </row>
        <row r="77">
          <cell r="A77">
            <v>43989</v>
          </cell>
          <cell r="B77">
            <v>43390</v>
          </cell>
        </row>
        <row r="78">
          <cell r="A78">
            <v>43990</v>
          </cell>
          <cell r="B78">
            <v>40154</v>
          </cell>
        </row>
        <row r="79">
          <cell r="A79">
            <v>43991</v>
          </cell>
          <cell r="B79">
            <v>41143</v>
          </cell>
        </row>
        <row r="80">
          <cell r="A80">
            <v>43992</v>
          </cell>
          <cell r="B80">
            <v>43635</v>
          </cell>
        </row>
        <row r="81">
          <cell r="A81">
            <v>43993</v>
          </cell>
          <cell r="B81">
            <v>44839</v>
          </cell>
        </row>
        <row r="82">
          <cell r="A82">
            <v>43994</v>
          </cell>
          <cell r="B82">
            <v>40154</v>
          </cell>
        </row>
        <row r="83">
          <cell r="A83">
            <v>43995</v>
          </cell>
          <cell r="B83">
            <v>41444</v>
          </cell>
        </row>
        <row r="84">
          <cell r="A84">
            <v>43996</v>
          </cell>
          <cell r="B84">
            <v>36279</v>
          </cell>
        </row>
        <row r="85">
          <cell r="A85">
            <v>43997</v>
          </cell>
          <cell r="B85">
            <v>38799</v>
          </cell>
        </row>
        <row r="86">
          <cell r="A86">
            <v>43998</v>
          </cell>
          <cell r="B86">
            <v>36050</v>
          </cell>
        </row>
        <row r="87">
          <cell r="A87">
            <v>43999</v>
          </cell>
          <cell r="B87">
            <v>37545</v>
          </cell>
        </row>
        <row r="88">
          <cell r="A88">
            <v>44000</v>
          </cell>
          <cell r="B88">
            <v>38085</v>
          </cell>
        </row>
        <row r="89">
          <cell r="A89">
            <v>44001</v>
          </cell>
          <cell r="B89">
            <v>36050</v>
          </cell>
        </row>
        <row r="90">
          <cell r="A90">
            <v>44002</v>
          </cell>
          <cell r="B90">
            <v>34419</v>
          </cell>
        </row>
        <row r="91">
          <cell r="A91">
            <v>44003</v>
          </cell>
          <cell r="B91">
            <v>30196</v>
          </cell>
        </row>
        <row r="92">
          <cell r="A92">
            <v>44004</v>
          </cell>
          <cell r="B92">
            <v>28621</v>
          </cell>
        </row>
        <row r="93">
          <cell r="A93">
            <v>44005</v>
          </cell>
          <cell r="B93">
            <v>27244</v>
          </cell>
        </row>
        <row r="94">
          <cell r="A94">
            <v>44006</v>
          </cell>
          <cell r="B94">
            <v>32598</v>
          </cell>
        </row>
        <row r="95">
          <cell r="A95">
            <v>44007</v>
          </cell>
          <cell r="B95">
            <v>30866</v>
          </cell>
        </row>
        <row r="96">
          <cell r="A96">
            <v>44008</v>
          </cell>
          <cell r="B96">
            <v>30196</v>
          </cell>
        </row>
        <row r="97">
          <cell r="A97">
            <v>44009</v>
          </cell>
          <cell r="B97">
            <v>40706</v>
          </cell>
        </row>
        <row r="98">
          <cell r="A98">
            <v>44010</v>
          </cell>
          <cell r="B98">
            <v>35733</v>
          </cell>
        </row>
        <row r="99">
          <cell r="A99">
            <v>44011</v>
          </cell>
          <cell r="B99">
            <v>38817</v>
          </cell>
        </row>
        <row r="100">
          <cell r="A100">
            <v>44012</v>
          </cell>
          <cell r="B100">
            <v>36386</v>
          </cell>
        </row>
        <row r="101">
          <cell r="A101"/>
          <cell r="B101"/>
        </row>
      </sheetData>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enter Temp &amp; Power Data"/>
      <sheetName val="Data Center Graph "/>
      <sheetName val="Utility Consumption"/>
    </sheetNames>
    <sheetDataSet>
      <sheetData sheetId="0"/>
      <sheetData sheetId="1"/>
      <sheetData sheetId="2">
        <row r="37">
          <cell r="B37" t="str">
            <v>TSE Water Cosumption
1000 liters</v>
          </cell>
        </row>
        <row r="38">
          <cell r="A38">
            <v>44013</v>
          </cell>
          <cell r="B38">
            <v>69</v>
          </cell>
        </row>
        <row r="39">
          <cell r="A39">
            <v>44014</v>
          </cell>
          <cell r="B39">
            <v>207</v>
          </cell>
        </row>
        <row r="40">
          <cell r="A40">
            <v>44015</v>
          </cell>
          <cell r="B40">
            <v>210</v>
          </cell>
        </row>
        <row r="41">
          <cell r="A41">
            <v>44016</v>
          </cell>
          <cell r="B41">
            <v>194</v>
          </cell>
        </row>
        <row r="42">
          <cell r="A42">
            <v>44017</v>
          </cell>
          <cell r="B42">
            <v>179</v>
          </cell>
        </row>
        <row r="43">
          <cell r="A43">
            <v>44018</v>
          </cell>
          <cell r="B43">
            <v>205</v>
          </cell>
        </row>
        <row r="44">
          <cell r="A44">
            <v>44019</v>
          </cell>
          <cell r="B44">
            <v>197</v>
          </cell>
        </row>
        <row r="45">
          <cell r="A45">
            <v>44020</v>
          </cell>
          <cell r="B45">
            <v>203</v>
          </cell>
        </row>
        <row r="46">
          <cell r="A46">
            <v>44021</v>
          </cell>
          <cell r="B46">
            <v>210</v>
          </cell>
        </row>
        <row r="47">
          <cell r="A47">
            <v>44022</v>
          </cell>
          <cell r="B47">
            <v>205</v>
          </cell>
        </row>
        <row r="48">
          <cell r="A48">
            <v>44023</v>
          </cell>
          <cell r="B48">
            <v>238</v>
          </cell>
        </row>
        <row r="49">
          <cell r="A49">
            <v>44024</v>
          </cell>
          <cell r="B49">
            <v>207</v>
          </cell>
        </row>
        <row r="50">
          <cell r="A50">
            <v>44025</v>
          </cell>
          <cell r="B50">
            <v>225</v>
          </cell>
        </row>
        <row r="51">
          <cell r="A51">
            <v>44026</v>
          </cell>
          <cell r="B51">
            <v>231</v>
          </cell>
        </row>
        <row r="52">
          <cell r="A52">
            <v>44027</v>
          </cell>
          <cell r="B52">
            <v>238</v>
          </cell>
        </row>
        <row r="53">
          <cell r="A53">
            <v>44028</v>
          </cell>
          <cell r="B53">
            <v>227</v>
          </cell>
        </row>
        <row r="54">
          <cell r="A54">
            <v>44029</v>
          </cell>
          <cell r="B54">
            <v>250</v>
          </cell>
        </row>
        <row r="55">
          <cell r="A55">
            <v>44030</v>
          </cell>
          <cell r="B55">
            <v>265</v>
          </cell>
        </row>
        <row r="56">
          <cell r="A56">
            <v>44031</v>
          </cell>
          <cell r="B56">
            <v>226</v>
          </cell>
        </row>
        <row r="57">
          <cell r="A57">
            <v>44032</v>
          </cell>
          <cell r="B57">
            <v>213</v>
          </cell>
        </row>
        <row r="58">
          <cell r="A58">
            <v>44033</v>
          </cell>
          <cell r="B58">
            <v>221</v>
          </cell>
        </row>
        <row r="59">
          <cell r="A59">
            <v>44034</v>
          </cell>
          <cell r="B59">
            <v>223</v>
          </cell>
        </row>
        <row r="60">
          <cell r="A60">
            <v>44035</v>
          </cell>
          <cell r="B60">
            <v>228</v>
          </cell>
        </row>
        <row r="61">
          <cell r="A61">
            <v>44036</v>
          </cell>
          <cell r="B61">
            <v>238</v>
          </cell>
        </row>
        <row r="62">
          <cell r="A62">
            <v>44037</v>
          </cell>
          <cell r="B62">
            <v>218</v>
          </cell>
        </row>
        <row r="63">
          <cell r="A63">
            <v>44038</v>
          </cell>
          <cell r="B63">
            <v>211</v>
          </cell>
        </row>
        <row r="64">
          <cell r="A64">
            <v>44039</v>
          </cell>
          <cell r="B64">
            <v>219</v>
          </cell>
        </row>
        <row r="65">
          <cell r="A65">
            <v>44040</v>
          </cell>
          <cell r="B65">
            <v>221</v>
          </cell>
        </row>
        <row r="66">
          <cell r="A66">
            <v>44041</v>
          </cell>
          <cell r="B66">
            <v>219</v>
          </cell>
        </row>
        <row r="67">
          <cell r="A67">
            <v>44042</v>
          </cell>
          <cell r="B67">
            <v>212</v>
          </cell>
        </row>
        <row r="68">
          <cell r="A68">
            <v>44043</v>
          </cell>
          <cell r="B68">
            <v>205</v>
          </cell>
        </row>
        <row r="70">
          <cell r="B70" t="str">
            <v>Power
Consumption
KWH</v>
          </cell>
        </row>
        <row r="71">
          <cell r="A71">
            <v>44013</v>
          </cell>
          <cell r="B71">
            <v>38753</v>
          </cell>
        </row>
        <row r="72">
          <cell r="A72">
            <v>44014</v>
          </cell>
          <cell r="B72">
            <v>42301</v>
          </cell>
        </row>
        <row r="73">
          <cell r="A73">
            <v>44015</v>
          </cell>
          <cell r="B73">
            <v>45707</v>
          </cell>
        </row>
        <row r="74">
          <cell r="A74">
            <v>44016</v>
          </cell>
          <cell r="B74">
            <v>35970</v>
          </cell>
        </row>
        <row r="75">
          <cell r="A75">
            <v>44017</v>
          </cell>
          <cell r="B75">
            <v>48891</v>
          </cell>
        </row>
        <row r="76">
          <cell r="A76">
            <v>44018</v>
          </cell>
          <cell r="B76">
            <v>41369</v>
          </cell>
        </row>
        <row r="77">
          <cell r="A77">
            <v>44019</v>
          </cell>
          <cell r="B77">
            <v>44542</v>
          </cell>
        </row>
        <row r="78">
          <cell r="A78">
            <v>44020</v>
          </cell>
          <cell r="B78">
            <v>45707</v>
          </cell>
        </row>
        <row r="79">
          <cell r="A79">
            <v>44021</v>
          </cell>
          <cell r="B79">
            <v>48891</v>
          </cell>
        </row>
        <row r="80">
          <cell r="A80">
            <v>44022</v>
          </cell>
          <cell r="B80">
            <v>42389</v>
          </cell>
        </row>
        <row r="81">
          <cell r="A81">
            <v>44023</v>
          </cell>
          <cell r="B81">
            <v>51121</v>
          </cell>
        </row>
        <row r="82">
          <cell r="A82">
            <v>44024</v>
          </cell>
          <cell r="B82">
            <v>36396</v>
          </cell>
        </row>
        <row r="83">
          <cell r="A83">
            <v>44025</v>
          </cell>
          <cell r="B83">
            <v>39821</v>
          </cell>
        </row>
        <row r="84">
          <cell r="A84">
            <v>44026</v>
          </cell>
          <cell r="B84">
            <v>42389</v>
          </cell>
        </row>
        <row r="85">
          <cell r="A85">
            <v>44027</v>
          </cell>
          <cell r="B85">
            <v>38510</v>
          </cell>
        </row>
        <row r="86">
          <cell r="A86">
            <v>44028</v>
          </cell>
          <cell r="B86">
            <v>44314</v>
          </cell>
        </row>
        <row r="87">
          <cell r="A87">
            <v>44029</v>
          </cell>
          <cell r="B87">
            <v>48891</v>
          </cell>
        </row>
        <row r="88">
          <cell r="A88">
            <v>44030</v>
          </cell>
          <cell r="B88">
            <v>32108</v>
          </cell>
        </row>
        <row r="89">
          <cell r="A89">
            <v>44031</v>
          </cell>
          <cell r="B89">
            <v>38404</v>
          </cell>
        </row>
        <row r="90">
          <cell r="A90">
            <v>44032</v>
          </cell>
          <cell r="B90">
            <v>44588</v>
          </cell>
        </row>
        <row r="91">
          <cell r="A91">
            <v>44033</v>
          </cell>
          <cell r="B91">
            <v>41665</v>
          </cell>
        </row>
        <row r="92">
          <cell r="A92">
            <v>44034</v>
          </cell>
          <cell r="B92">
            <v>45159</v>
          </cell>
        </row>
        <row r="93">
          <cell r="A93">
            <v>44035</v>
          </cell>
          <cell r="B93">
            <v>43344</v>
          </cell>
        </row>
        <row r="94">
          <cell r="A94">
            <v>44036</v>
          </cell>
          <cell r="B94">
            <v>38510</v>
          </cell>
        </row>
        <row r="95">
          <cell r="A95">
            <v>44037</v>
          </cell>
          <cell r="B95">
            <v>49087</v>
          </cell>
        </row>
        <row r="96">
          <cell r="A96">
            <v>44038</v>
          </cell>
          <cell r="B96">
            <v>44514</v>
          </cell>
        </row>
        <row r="97">
          <cell r="A97">
            <v>44039</v>
          </cell>
          <cell r="B97">
            <v>41104</v>
          </cell>
        </row>
        <row r="98">
          <cell r="A98">
            <v>44040</v>
          </cell>
          <cell r="B98">
            <v>41704</v>
          </cell>
        </row>
        <row r="99">
          <cell r="A99">
            <v>44041</v>
          </cell>
          <cell r="B99">
            <v>45501</v>
          </cell>
        </row>
        <row r="100">
          <cell r="A100">
            <v>44042</v>
          </cell>
          <cell r="B100">
            <v>42473</v>
          </cell>
        </row>
        <row r="101">
          <cell r="A101">
            <v>44043</v>
          </cell>
          <cell r="B101">
            <v>44314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enter Temp &amp; Power Data"/>
      <sheetName val="Data Center Graph "/>
      <sheetName val="Utility Consumption"/>
    </sheetNames>
    <sheetDataSet>
      <sheetData sheetId="0"/>
      <sheetData sheetId="1"/>
      <sheetData sheetId="2">
        <row r="37">
          <cell r="B37" t="str">
            <v>TSE Water Cosumption
1000 liters</v>
          </cell>
        </row>
        <row r="38">
          <cell r="A38">
            <v>44044</v>
          </cell>
          <cell r="B38">
            <v>69</v>
          </cell>
        </row>
        <row r="39">
          <cell r="A39">
            <v>44045</v>
          </cell>
          <cell r="B39">
            <v>217</v>
          </cell>
        </row>
        <row r="40">
          <cell r="A40">
            <v>44046</v>
          </cell>
          <cell r="B40">
            <v>216</v>
          </cell>
        </row>
        <row r="41">
          <cell r="A41">
            <v>44047</v>
          </cell>
          <cell r="B41">
            <v>212</v>
          </cell>
        </row>
        <row r="42">
          <cell r="A42">
            <v>44048</v>
          </cell>
          <cell r="B42">
            <v>212</v>
          </cell>
        </row>
        <row r="43">
          <cell r="A43">
            <v>44049</v>
          </cell>
          <cell r="B43">
            <v>218</v>
          </cell>
        </row>
        <row r="44">
          <cell r="A44">
            <v>44050</v>
          </cell>
          <cell r="B44">
            <v>217</v>
          </cell>
        </row>
        <row r="45">
          <cell r="A45">
            <v>44051</v>
          </cell>
          <cell r="B45">
            <v>205</v>
          </cell>
        </row>
        <row r="46">
          <cell r="A46">
            <v>44052</v>
          </cell>
          <cell r="B46">
            <v>218</v>
          </cell>
        </row>
        <row r="47">
          <cell r="A47">
            <v>44053</v>
          </cell>
          <cell r="B47">
            <v>215</v>
          </cell>
        </row>
        <row r="48">
          <cell r="A48">
            <v>44054</v>
          </cell>
          <cell r="B48">
            <v>221</v>
          </cell>
        </row>
        <row r="49">
          <cell r="A49">
            <v>44055</v>
          </cell>
          <cell r="B49">
            <v>214</v>
          </cell>
        </row>
        <row r="50">
          <cell r="A50">
            <v>44056</v>
          </cell>
          <cell r="B50">
            <v>226</v>
          </cell>
        </row>
        <row r="51">
          <cell r="A51">
            <v>44057</v>
          </cell>
          <cell r="B51">
            <v>205</v>
          </cell>
        </row>
        <row r="52">
          <cell r="A52">
            <v>44058</v>
          </cell>
          <cell r="B52">
            <v>246</v>
          </cell>
        </row>
        <row r="53">
          <cell r="A53">
            <v>44059</v>
          </cell>
          <cell r="B53">
            <v>223</v>
          </cell>
        </row>
        <row r="54">
          <cell r="A54">
            <v>44060</v>
          </cell>
          <cell r="B54">
            <v>226</v>
          </cell>
        </row>
        <row r="55">
          <cell r="A55">
            <v>44061</v>
          </cell>
          <cell r="B55">
            <v>228</v>
          </cell>
        </row>
        <row r="56">
          <cell r="A56">
            <v>44062</v>
          </cell>
          <cell r="B56">
            <v>231</v>
          </cell>
        </row>
        <row r="57">
          <cell r="A57">
            <v>44063</v>
          </cell>
          <cell r="B57">
            <v>228</v>
          </cell>
        </row>
        <row r="58">
          <cell r="A58">
            <v>44064</v>
          </cell>
          <cell r="B58">
            <v>218</v>
          </cell>
        </row>
        <row r="59">
          <cell r="A59">
            <v>44065</v>
          </cell>
          <cell r="B59">
            <v>214</v>
          </cell>
        </row>
        <row r="60">
          <cell r="A60">
            <v>44066</v>
          </cell>
          <cell r="B60">
            <v>226</v>
          </cell>
        </row>
        <row r="61">
          <cell r="A61">
            <v>44067</v>
          </cell>
          <cell r="B61">
            <v>228</v>
          </cell>
        </row>
        <row r="62">
          <cell r="A62">
            <v>44068</v>
          </cell>
          <cell r="B62">
            <v>226</v>
          </cell>
        </row>
        <row r="63">
          <cell r="A63">
            <v>44069</v>
          </cell>
          <cell r="B63">
            <v>224</v>
          </cell>
        </row>
        <row r="64">
          <cell r="A64">
            <v>44070</v>
          </cell>
          <cell r="B64">
            <v>228</v>
          </cell>
        </row>
        <row r="65">
          <cell r="A65">
            <v>44071</v>
          </cell>
          <cell r="B65">
            <v>223</v>
          </cell>
        </row>
        <row r="66">
          <cell r="A66">
            <v>44072</v>
          </cell>
          <cell r="B66">
            <v>215</v>
          </cell>
        </row>
        <row r="67">
          <cell r="A67">
            <v>44073</v>
          </cell>
          <cell r="B67">
            <v>236</v>
          </cell>
        </row>
        <row r="68">
          <cell r="A68">
            <v>44074</v>
          </cell>
          <cell r="B68">
            <v>224</v>
          </cell>
        </row>
        <row r="70">
          <cell r="B70" t="str">
            <v>Power
Consumption
KWH</v>
          </cell>
        </row>
        <row r="71">
          <cell r="A71">
            <v>44044</v>
          </cell>
          <cell r="B71">
            <v>41845</v>
          </cell>
        </row>
        <row r="72">
          <cell r="A72">
            <v>44045</v>
          </cell>
          <cell r="B72">
            <v>51753</v>
          </cell>
        </row>
        <row r="73">
          <cell r="A73">
            <v>44046</v>
          </cell>
          <cell r="B73">
            <v>47958</v>
          </cell>
        </row>
        <row r="74">
          <cell r="A74">
            <v>44047</v>
          </cell>
          <cell r="B74">
            <v>46428</v>
          </cell>
        </row>
        <row r="75">
          <cell r="A75">
            <v>44048</v>
          </cell>
          <cell r="B75">
            <v>42255</v>
          </cell>
        </row>
        <row r="76">
          <cell r="A76">
            <v>44049</v>
          </cell>
          <cell r="B76">
            <v>43030</v>
          </cell>
        </row>
        <row r="77">
          <cell r="A77">
            <v>44050</v>
          </cell>
          <cell r="B77">
            <v>47958</v>
          </cell>
        </row>
        <row r="78">
          <cell r="A78">
            <v>44051</v>
          </cell>
          <cell r="B78">
            <v>37659</v>
          </cell>
        </row>
        <row r="79">
          <cell r="A79">
            <v>44052</v>
          </cell>
          <cell r="B79">
            <v>38124</v>
          </cell>
        </row>
        <row r="80">
          <cell r="A80">
            <v>44053</v>
          </cell>
          <cell r="B80">
            <v>39263</v>
          </cell>
        </row>
        <row r="81">
          <cell r="A81">
            <v>44054</v>
          </cell>
          <cell r="B81">
            <v>40223</v>
          </cell>
        </row>
        <row r="82">
          <cell r="A82">
            <v>44055</v>
          </cell>
          <cell r="B82">
            <v>38725</v>
          </cell>
        </row>
        <row r="83">
          <cell r="A83">
            <v>44056</v>
          </cell>
          <cell r="B83">
            <v>39064</v>
          </cell>
        </row>
        <row r="84">
          <cell r="A84">
            <v>44057</v>
          </cell>
          <cell r="B84">
            <v>43030</v>
          </cell>
        </row>
        <row r="85">
          <cell r="A85">
            <v>44058</v>
          </cell>
          <cell r="B85">
            <v>33293</v>
          </cell>
        </row>
        <row r="86">
          <cell r="A86">
            <v>44059</v>
          </cell>
          <cell r="B86">
            <v>39687</v>
          </cell>
        </row>
        <row r="87">
          <cell r="A87">
            <v>44060</v>
          </cell>
          <cell r="B87">
            <v>36752</v>
          </cell>
        </row>
        <row r="88">
          <cell r="A88">
            <v>44061</v>
          </cell>
          <cell r="B88">
            <v>40325</v>
          </cell>
        </row>
        <row r="89">
          <cell r="A89">
            <v>44062</v>
          </cell>
          <cell r="B89">
            <v>38300</v>
          </cell>
        </row>
        <row r="90">
          <cell r="A90">
            <v>44063</v>
          </cell>
          <cell r="B90">
            <v>42992</v>
          </cell>
        </row>
        <row r="91">
          <cell r="A91">
            <v>44064</v>
          </cell>
          <cell r="B91">
            <v>38124</v>
          </cell>
        </row>
        <row r="92">
          <cell r="A92">
            <v>44065</v>
          </cell>
          <cell r="B92">
            <v>39020</v>
          </cell>
        </row>
        <row r="93">
          <cell r="A93">
            <v>44066</v>
          </cell>
          <cell r="B93">
            <v>40328</v>
          </cell>
        </row>
        <row r="94">
          <cell r="A94">
            <v>44067</v>
          </cell>
          <cell r="B94">
            <v>41968</v>
          </cell>
        </row>
        <row r="95">
          <cell r="A95">
            <v>44068</v>
          </cell>
          <cell r="B95">
            <v>43123</v>
          </cell>
        </row>
        <row r="96">
          <cell r="A96">
            <v>44069</v>
          </cell>
          <cell r="B96">
            <v>38273</v>
          </cell>
        </row>
        <row r="97">
          <cell r="A97">
            <v>44070</v>
          </cell>
          <cell r="B97">
            <v>41111</v>
          </cell>
        </row>
        <row r="98">
          <cell r="A98">
            <v>44071</v>
          </cell>
          <cell r="B98">
            <v>40223</v>
          </cell>
        </row>
        <row r="99">
          <cell r="A99">
            <v>44072</v>
          </cell>
          <cell r="B99">
            <v>40984</v>
          </cell>
        </row>
        <row r="100">
          <cell r="A100">
            <v>44073</v>
          </cell>
          <cell r="B100">
            <v>45524</v>
          </cell>
        </row>
        <row r="101">
          <cell r="A101">
            <v>44074</v>
          </cell>
          <cell r="B101">
            <v>47317</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enter Temp &amp; Power Data"/>
      <sheetName val="Data Center Graph "/>
      <sheetName val="Utility Consumption"/>
    </sheetNames>
    <sheetDataSet>
      <sheetData sheetId="0"/>
      <sheetData sheetId="1"/>
      <sheetData sheetId="2">
        <row r="37">
          <cell r="B37" t="str">
            <v>TSE Water Cosumption
1000 liters</v>
          </cell>
        </row>
        <row r="38">
          <cell r="A38">
            <v>44075</v>
          </cell>
          <cell r="B38">
            <v>69</v>
          </cell>
        </row>
        <row r="39">
          <cell r="A39">
            <v>44076</v>
          </cell>
          <cell r="B39">
            <v>228</v>
          </cell>
        </row>
        <row r="40">
          <cell r="A40">
            <v>44077</v>
          </cell>
          <cell r="B40">
            <v>236</v>
          </cell>
        </row>
        <row r="41">
          <cell r="A41">
            <v>44078</v>
          </cell>
          <cell r="B41">
            <v>228</v>
          </cell>
        </row>
        <row r="42">
          <cell r="A42">
            <v>44079</v>
          </cell>
          <cell r="B42">
            <v>228</v>
          </cell>
        </row>
        <row r="43">
          <cell r="A43">
            <v>44080</v>
          </cell>
          <cell r="B43">
            <v>233</v>
          </cell>
        </row>
        <row r="44">
          <cell r="A44">
            <v>44081</v>
          </cell>
          <cell r="B44">
            <v>228</v>
          </cell>
        </row>
        <row r="45">
          <cell r="A45">
            <v>44082</v>
          </cell>
          <cell r="B45">
            <v>232</v>
          </cell>
        </row>
        <row r="46">
          <cell r="A46">
            <v>44083</v>
          </cell>
          <cell r="B46">
            <v>232</v>
          </cell>
        </row>
        <row r="47">
          <cell r="A47">
            <v>44084</v>
          </cell>
          <cell r="B47">
            <v>228</v>
          </cell>
        </row>
        <row r="48">
          <cell r="A48">
            <v>44085</v>
          </cell>
          <cell r="B48">
            <v>232</v>
          </cell>
        </row>
        <row r="49">
          <cell r="A49">
            <v>44086</v>
          </cell>
          <cell r="B49">
            <v>220</v>
          </cell>
        </row>
        <row r="50">
          <cell r="A50">
            <v>44087</v>
          </cell>
          <cell r="B50">
            <v>282</v>
          </cell>
        </row>
        <row r="51">
          <cell r="A51">
            <v>44088</v>
          </cell>
          <cell r="B51">
            <v>232</v>
          </cell>
        </row>
        <row r="52">
          <cell r="A52">
            <v>44089</v>
          </cell>
          <cell r="B52">
            <v>11</v>
          </cell>
        </row>
        <row r="53">
          <cell r="A53">
            <v>44090</v>
          </cell>
          <cell r="B53">
            <v>51</v>
          </cell>
        </row>
        <row r="54">
          <cell r="A54">
            <v>44091</v>
          </cell>
          <cell r="B54">
            <v>140</v>
          </cell>
        </row>
        <row r="55">
          <cell r="A55">
            <v>44092</v>
          </cell>
          <cell r="B55">
            <v>135</v>
          </cell>
        </row>
        <row r="56">
          <cell r="A56">
            <v>44093</v>
          </cell>
          <cell r="B56">
            <v>67</v>
          </cell>
        </row>
        <row r="57">
          <cell r="A57">
            <v>44094</v>
          </cell>
          <cell r="B57">
            <v>134</v>
          </cell>
        </row>
        <row r="58">
          <cell r="A58">
            <v>44095</v>
          </cell>
          <cell r="B58">
            <v>139</v>
          </cell>
        </row>
        <row r="59">
          <cell r="A59">
            <v>44096</v>
          </cell>
          <cell r="B59">
            <v>135</v>
          </cell>
        </row>
        <row r="60">
          <cell r="A60">
            <v>44097</v>
          </cell>
          <cell r="B60">
            <v>139</v>
          </cell>
        </row>
        <row r="61">
          <cell r="A61">
            <v>44098</v>
          </cell>
          <cell r="B61">
            <v>141</v>
          </cell>
        </row>
        <row r="62">
          <cell r="A62">
            <v>44099</v>
          </cell>
          <cell r="B62">
            <v>134</v>
          </cell>
        </row>
        <row r="63">
          <cell r="A63">
            <v>44100</v>
          </cell>
          <cell r="B63">
            <v>103</v>
          </cell>
        </row>
        <row r="64">
          <cell r="A64">
            <v>44101</v>
          </cell>
          <cell r="B64">
            <v>136</v>
          </cell>
        </row>
        <row r="65">
          <cell r="A65">
            <v>44102</v>
          </cell>
          <cell r="B65">
            <v>142</v>
          </cell>
        </row>
        <row r="66">
          <cell r="A66">
            <v>44103</v>
          </cell>
          <cell r="B66">
            <v>139</v>
          </cell>
        </row>
        <row r="67">
          <cell r="A67">
            <v>44104</v>
          </cell>
          <cell r="B67">
            <v>140</v>
          </cell>
        </row>
        <row r="68">
          <cell r="A68"/>
          <cell r="B68"/>
        </row>
        <row r="70">
          <cell r="B70" t="str">
            <v>Power
Consumption
KWH</v>
          </cell>
        </row>
        <row r="71">
          <cell r="A71">
            <v>44075</v>
          </cell>
          <cell r="B71">
            <v>38288</v>
          </cell>
        </row>
        <row r="72">
          <cell r="A72">
            <v>44076</v>
          </cell>
          <cell r="B72">
            <v>53205</v>
          </cell>
        </row>
        <row r="73">
          <cell r="A73">
            <v>44077</v>
          </cell>
          <cell r="B73">
            <v>38348</v>
          </cell>
        </row>
        <row r="74">
          <cell r="A74">
            <v>44078</v>
          </cell>
          <cell r="B74">
            <v>37589</v>
          </cell>
        </row>
        <row r="75">
          <cell r="A75">
            <v>44079</v>
          </cell>
          <cell r="B75">
            <v>49668</v>
          </cell>
        </row>
        <row r="76">
          <cell r="A76">
            <v>44080</v>
          </cell>
          <cell r="B76">
            <v>38524</v>
          </cell>
        </row>
        <row r="77">
          <cell r="A77">
            <v>44081</v>
          </cell>
          <cell r="B77">
            <v>48702</v>
          </cell>
        </row>
        <row r="78">
          <cell r="A78">
            <v>44082</v>
          </cell>
          <cell r="B78">
            <v>29474</v>
          </cell>
        </row>
        <row r="79">
          <cell r="A79">
            <v>44083</v>
          </cell>
          <cell r="B79">
            <v>37589</v>
          </cell>
        </row>
        <row r="80">
          <cell r="A80">
            <v>44084</v>
          </cell>
          <cell r="B80">
            <v>39277</v>
          </cell>
        </row>
        <row r="81">
          <cell r="A81">
            <v>44085</v>
          </cell>
          <cell r="B81">
            <v>38524</v>
          </cell>
        </row>
        <row r="82">
          <cell r="A82">
            <v>44086</v>
          </cell>
          <cell r="B82">
            <v>39083</v>
          </cell>
        </row>
        <row r="83">
          <cell r="A83">
            <v>44087</v>
          </cell>
          <cell r="B83">
            <v>38262</v>
          </cell>
        </row>
        <row r="84">
          <cell r="A84">
            <v>44088</v>
          </cell>
          <cell r="B84">
            <v>39197</v>
          </cell>
        </row>
        <row r="85">
          <cell r="A85">
            <v>44089</v>
          </cell>
          <cell r="B85">
            <v>40976</v>
          </cell>
        </row>
        <row r="86">
          <cell r="A86">
            <v>44090</v>
          </cell>
          <cell r="B86">
            <v>37841</v>
          </cell>
        </row>
        <row r="87">
          <cell r="A87">
            <v>44091</v>
          </cell>
          <cell r="B87">
            <v>43003</v>
          </cell>
        </row>
        <row r="88">
          <cell r="A88">
            <v>44092</v>
          </cell>
          <cell r="B88">
            <v>39197</v>
          </cell>
        </row>
        <row r="89">
          <cell r="A89">
            <v>44093</v>
          </cell>
          <cell r="B89">
            <v>38320</v>
          </cell>
        </row>
        <row r="90">
          <cell r="A90">
            <v>44094</v>
          </cell>
          <cell r="B90">
            <v>39467</v>
          </cell>
        </row>
        <row r="91">
          <cell r="A91">
            <v>44095</v>
          </cell>
          <cell r="B91">
            <v>38923</v>
          </cell>
        </row>
        <row r="92">
          <cell r="A92">
            <v>44096</v>
          </cell>
          <cell r="B92">
            <v>40810</v>
          </cell>
        </row>
        <row r="93">
          <cell r="A93">
            <v>44097</v>
          </cell>
          <cell r="B93">
            <v>40701</v>
          </cell>
        </row>
        <row r="94">
          <cell r="A94">
            <v>44098</v>
          </cell>
          <cell r="B94">
            <v>40096</v>
          </cell>
        </row>
        <row r="95">
          <cell r="A95">
            <v>44099</v>
          </cell>
          <cell r="B95">
            <v>38923</v>
          </cell>
        </row>
        <row r="96">
          <cell r="A96">
            <v>44100</v>
          </cell>
          <cell r="B96">
            <v>38990</v>
          </cell>
        </row>
        <row r="97">
          <cell r="A97">
            <v>44101</v>
          </cell>
          <cell r="B97">
            <v>43092</v>
          </cell>
        </row>
        <row r="98">
          <cell r="A98">
            <v>44102</v>
          </cell>
          <cell r="B98">
            <v>44688</v>
          </cell>
        </row>
        <row r="99">
          <cell r="A99">
            <v>44103</v>
          </cell>
          <cell r="B99">
            <v>44686</v>
          </cell>
        </row>
        <row r="100">
          <cell r="A100">
            <v>44104</v>
          </cell>
          <cell r="B100">
            <v>39467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ty Consumption"/>
    </sheetNames>
    <sheetDataSet>
      <sheetData sheetId="0">
        <row r="37">
          <cell r="B37" t="str">
            <v>TSE Water Cosumption
1000 liters</v>
          </cell>
        </row>
        <row r="38">
          <cell r="A38">
            <v>44105</v>
          </cell>
          <cell r="B38">
            <v>69</v>
          </cell>
        </row>
        <row r="39">
          <cell r="A39">
            <v>44106</v>
          </cell>
          <cell r="B39">
            <v>139</v>
          </cell>
        </row>
        <row r="40">
          <cell r="A40">
            <v>44107</v>
          </cell>
          <cell r="B40">
            <v>29</v>
          </cell>
        </row>
        <row r="41">
          <cell r="A41">
            <v>44108</v>
          </cell>
          <cell r="B41">
            <v>138</v>
          </cell>
        </row>
        <row r="42">
          <cell r="A42">
            <v>44109</v>
          </cell>
          <cell r="B42">
            <v>139</v>
          </cell>
        </row>
        <row r="43">
          <cell r="A43">
            <v>44110</v>
          </cell>
          <cell r="B43">
            <v>189</v>
          </cell>
        </row>
        <row r="44">
          <cell r="A44">
            <v>44111</v>
          </cell>
          <cell r="B44">
            <v>89</v>
          </cell>
        </row>
        <row r="45">
          <cell r="A45">
            <v>44112</v>
          </cell>
          <cell r="B45">
            <v>139</v>
          </cell>
        </row>
        <row r="46">
          <cell r="A46">
            <v>44113</v>
          </cell>
          <cell r="B46">
            <v>22</v>
          </cell>
        </row>
        <row r="47">
          <cell r="A47">
            <v>44114</v>
          </cell>
          <cell r="B47">
            <v>10</v>
          </cell>
        </row>
        <row r="48">
          <cell r="A48">
            <v>44115</v>
          </cell>
          <cell r="B48">
            <v>26</v>
          </cell>
        </row>
        <row r="49">
          <cell r="A49">
            <v>44116</v>
          </cell>
          <cell r="B49">
            <v>20</v>
          </cell>
        </row>
        <row r="50">
          <cell r="A50">
            <v>44117</v>
          </cell>
          <cell r="B50">
            <v>20</v>
          </cell>
        </row>
        <row r="51">
          <cell r="A51">
            <v>44118</v>
          </cell>
          <cell r="B51">
            <v>22</v>
          </cell>
        </row>
        <row r="52">
          <cell r="A52">
            <v>44119</v>
          </cell>
          <cell r="B52">
            <v>23</v>
          </cell>
        </row>
        <row r="53">
          <cell r="A53">
            <v>44120</v>
          </cell>
          <cell r="B53">
            <v>19</v>
          </cell>
        </row>
        <row r="54">
          <cell r="A54">
            <v>44121</v>
          </cell>
          <cell r="B54">
            <v>6</v>
          </cell>
        </row>
        <row r="55">
          <cell r="A55">
            <v>44122</v>
          </cell>
          <cell r="B55">
            <v>19</v>
          </cell>
        </row>
        <row r="56">
          <cell r="A56">
            <v>44123</v>
          </cell>
          <cell r="B56">
            <v>21</v>
          </cell>
        </row>
        <row r="57">
          <cell r="A57">
            <v>44124</v>
          </cell>
          <cell r="B57">
            <v>20</v>
          </cell>
        </row>
        <row r="58">
          <cell r="A58">
            <v>44125</v>
          </cell>
          <cell r="B58">
            <v>20</v>
          </cell>
        </row>
        <row r="59">
          <cell r="A59">
            <v>44126</v>
          </cell>
          <cell r="B59">
            <v>19</v>
          </cell>
        </row>
        <row r="60">
          <cell r="A60">
            <v>44127</v>
          </cell>
          <cell r="B60">
            <v>15</v>
          </cell>
        </row>
        <row r="61">
          <cell r="A61">
            <v>44128</v>
          </cell>
          <cell r="B61">
            <v>11</v>
          </cell>
        </row>
        <row r="62">
          <cell r="A62">
            <v>44129</v>
          </cell>
          <cell r="B62">
            <v>20</v>
          </cell>
        </row>
        <row r="63">
          <cell r="A63">
            <v>44130</v>
          </cell>
          <cell r="B63">
            <v>20</v>
          </cell>
        </row>
        <row r="64">
          <cell r="A64">
            <v>44131</v>
          </cell>
          <cell r="B64">
            <v>20</v>
          </cell>
        </row>
        <row r="65">
          <cell r="A65">
            <v>44132</v>
          </cell>
          <cell r="B65">
            <v>31</v>
          </cell>
        </row>
        <row r="66">
          <cell r="A66">
            <v>44133</v>
          </cell>
          <cell r="B66">
            <v>31</v>
          </cell>
        </row>
        <row r="67">
          <cell r="A67">
            <v>44134</v>
          </cell>
          <cell r="B67">
            <v>19</v>
          </cell>
        </row>
        <row r="68">
          <cell r="A68">
            <v>44135</v>
          </cell>
          <cell r="B68">
            <v>20</v>
          </cell>
        </row>
        <row r="70">
          <cell r="B70" t="str">
            <v>Power
Consumption
KWH</v>
          </cell>
        </row>
        <row r="71">
          <cell r="A71">
            <v>44105</v>
          </cell>
          <cell r="B71">
            <v>38288</v>
          </cell>
        </row>
        <row r="72">
          <cell r="A72">
            <v>44106</v>
          </cell>
          <cell r="B72">
            <v>86065</v>
          </cell>
        </row>
        <row r="73">
          <cell r="A73">
            <v>44107</v>
          </cell>
          <cell r="B73">
            <v>85332</v>
          </cell>
        </row>
        <row r="74">
          <cell r="A74">
            <v>44108</v>
          </cell>
          <cell r="B74">
            <v>78454</v>
          </cell>
        </row>
        <row r="75">
          <cell r="A75">
            <v>44109</v>
          </cell>
          <cell r="B75">
            <v>39254</v>
          </cell>
        </row>
        <row r="76">
          <cell r="A76">
            <v>44110</v>
          </cell>
          <cell r="B76">
            <v>39953</v>
          </cell>
        </row>
        <row r="77">
          <cell r="A77">
            <v>44111</v>
          </cell>
          <cell r="B77">
            <v>40041</v>
          </cell>
        </row>
        <row r="78">
          <cell r="A78">
            <v>44112</v>
          </cell>
          <cell r="B78">
            <v>39039</v>
          </cell>
        </row>
        <row r="79">
          <cell r="A79">
            <v>44113</v>
          </cell>
          <cell r="B79">
            <v>33259</v>
          </cell>
        </row>
        <row r="80">
          <cell r="A80">
            <v>44114</v>
          </cell>
          <cell r="B80">
            <v>36281</v>
          </cell>
        </row>
        <row r="81">
          <cell r="A81">
            <v>44115</v>
          </cell>
          <cell r="B81">
            <v>43437</v>
          </cell>
        </row>
        <row r="82">
          <cell r="A82">
            <v>44116</v>
          </cell>
          <cell r="B82">
            <v>33847</v>
          </cell>
        </row>
        <row r="83">
          <cell r="A83">
            <v>44117</v>
          </cell>
          <cell r="B83">
            <v>36650</v>
          </cell>
        </row>
        <row r="84">
          <cell r="A84">
            <v>44118</v>
          </cell>
          <cell r="B84">
            <v>33259</v>
          </cell>
        </row>
        <row r="85">
          <cell r="A85">
            <v>44119</v>
          </cell>
          <cell r="B85">
            <v>37846</v>
          </cell>
        </row>
        <row r="86">
          <cell r="A86">
            <v>44120</v>
          </cell>
          <cell r="B86">
            <v>43437</v>
          </cell>
        </row>
        <row r="87">
          <cell r="A87">
            <v>44121</v>
          </cell>
          <cell r="B87">
            <v>28418</v>
          </cell>
        </row>
        <row r="88">
          <cell r="A88">
            <v>44122</v>
          </cell>
          <cell r="B88">
            <v>35829</v>
          </cell>
        </row>
        <row r="89">
          <cell r="A89">
            <v>44123</v>
          </cell>
          <cell r="B89">
            <v>35926</v>
          </cell>
        </row>
        <row r="90">
          <cell r="A90">
            <v>44124</v>
          </cell>
          <cell r="B90">
            <v>36223</v>
          </cell>
        </row>
        <row r="91">
          <cell r="A91">
            <v>44125</v>
          </cell>
          <cell r="B91">
            <v>35786</v>
          </cell>
        </row>
        <row r="92">
          <cell r="A92">
            <v>44126</v>
          </cell>
          <cell r="B92">
            <v>36057</v>
          </cell>
        </row>
        <row r="93">
          <cell r="A93">
            <v>44127</v>
          </cell>
          <cell r="B93">
            <v>35829</v>
          </cell>
        </row>
        <row r="94">
          <cell r="A94">
            <v>44128</v>
          </cell>
          <cell r="B94">
            <v>32250</v>
          </cell>
        </row>
        <row r="95">
          <cell r="A95">
            <v>44129</v>
          </cell>
          <cell r="B95">
            <v>34618</v>
          </cell>
        </row>
        <row r="96">
          <cell r="A96">
            <v>44130</v>
          </cell>
          <cell r="B96">
            <v>38020</v>
          </cell>
        </row>
        <row r="97">
          <cell r="A97">
            <v>44131</v>
          </cell>
          <cell r="B97">
            <v>37769</v>
          </cell>
        </row>
        <row r="98">
          <cell r="A98">
            <v>44132</v>
          </cell>
          <cell r="B98">
            <v>37848</v>
          </cell>
        </row>
        <row r="99">
          <cell r="A99">
            <v>44133</v>
          </cell>
          <cell r="B99">
            <v>36360</v>
          </cell>
        </row>
        <row r="100">
          <cell r="A100">
            <v>44134</v>
          </cell>
          <cell r="B100">
            <v>32250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
  <sheetViews>
    <sheetView topLeftCell="A10" workbookViewId="0">
      <selection activeCell="Q20" sqref="Q20"/>
    </sheetView>
  </sheetViews>
  <sheetFormatPr defaultRowHeight="15"/>
  <cols>
    <col min="2" max="2" width="9.28515625" customWidth="1"/>
    <col min="5" max="5" width="11" customWidth="1"/>
    <col min="6" max="6" width="10.7109375" customWidth="1"/>
    <col min="7" max="7" width="10.140625" customWidth="1"/>
    <col min="10" max="10" width="7.140625" customWidth="1"/>
    <col min="11" max="11" width="4.28515625" customWidth="1"/>
    <col min="13" max="13" width="13.85546875" customWidth="1"/>
    <col min="14" max="14" width="14.28515625" customWidth="1"/>
  </cols>
  <sheetData>
    <row r="1" spans="1:14" ht="15.75" thickBot="1">
      <c r="A1" s="464" t="s">
        <v>0</v>
      </c>
      <c r="B1" s="465"/>
      <c r="C1" s="465"/>
      <c r="D1" s="465"/>
      <c r="E1" s="465"/>
      <c r="F1" s="465"/>
      <c r="G1" s="465"/>
      <c r="H1" s="465"/>
      <c r="I1" s="466"/>
      <c r="J1" s="1"/>
      <c r="L1" s="467" t="s">
        <v>1</v>
      </c>
      <c r="M1" s="465"/>
      <c r="N1" s="466"/>
    </row>
    <row r="2" spans="1:14" ht="24.75" thickBot="1">
      <c r="A2" s="2" t="s">
        <v>2</v>
      </c>
      <c r="B2" s="3" t="s">
        <v>3</v>
      </c>
      <c r="C2" s="3" t="s">
        <v>4</v>
      </c>
      <c r="D2" s="3" t="s">
        <v>5</v>
      </c>
      <c r="E2" s="3" t="s">
        <v>6</v>
      </c>
      <c r="F2" s="3" t="s">
        <v>7</v>
      </c>
      <c r="G2" s="3" t="s">
        <v>8</v>
      </c>
      <c r="H2" s="4" t="s">
        <v>9</v>
      </c>
      <c r="I2" s="5" t="s">
        <v>10</v>
      </c>
      <c r="J2" s="6"/>
      <c r="L2" s="2" t="s">
        <v>2</v>
      </c>
      <c r="M2" s="3" t="s">
        <v>11</v>
      </c>
      <c r="N2" s="5" t="s">
        <v>12</v>
      </c>
    </row>
    <row r="3" spans="1:14">
      <c r="A3" s="2"/>
      <c r="B3" s="7" t="s">
        <v>13</v>
      </c>
      <c r="C3" s="7" t="s">
        <v>13</v>
      </c>
      <c r="D3" s="7" t="s">
        <v>13</v>
      </c>
      <c r="E3" s="7" t="s">
        <v>13</v>
      </c>
      <c r="F3" s="7" t="s">
        <v>13</v>
      </c>
      <c r="G3" s="7" t="s">
        <v>13</v>
      </c>
      <c r="H3" s="7" t="s">
        <v>13</v>
      </c>
      <c r="I3" s="8" t="s">
        <v>13</v>
      </c>
      <c r="J3" s="6"/>
      <c r="L3" s="2"/>
      <c r="M3" s="7" t="s">
        <v>14</v>
      </c>
      <c r="N3" s="7" t="s">
        <v>15</v>
      </c>
    </row>
    <row r="4" spans="1:14">
      <c r="A4" s="9">
        <v>43863</v>
      </c>
      <c r="B4" s="10"/>
      <c r="C4" s="10"/>
      <c r="D4" s="10"/>
      <c r="E4" s="10"/>
      <c r="F4" s="10"/>
      <c r="G4" s="10"/>
      <c r="H4" s="11"/>
      <c r="I4" s="12"/>
      <c r="J4" s="13"/>
      <c r="L4" s="9">
        <v>43863</v>
      </c>
      <c r="M4" s="10"/>
      <c r="N4" s="12"/>
    </row>
    <row r="5" spans="1:14">
      <c r="A5" s="9">
        <v>43864</v>
      </c>
      <c r="B5" s="10"/>
      <c r="C5" s="10"/>
      <c r="D5" s="10"/>
      <c r="E5" s="10"/>
      <c r="F5" s="10"/>
      <c r="G5" s="10"/>
      <c r="H5" s="11"/>
      <c r="I5" s="12"/>
      <c r="J5" s="13"/>
      <c r="L5" s="9">
        <v>43864</v>
      </c>
      <c r="M5" s="10"/>
      <c r="N5" s="12"/>
    </row>
    <row r="6" spans="1:14">
      <c r="A6" s="9">
        <v>43865</v>
      </c>
      <c r="B6" s="10"/>
      <c r="C6" s="10"/>
      <c r="D6" s="10"/>
      <c r="E6" s="10"/>
      <c r="F6" s="10"/>
      <c r="G6" s="10"/>
      <c r="H6" s="11"/>
      <c r="I6" s="12"/>
      <c r="J6" s="13"/>
      <c r="L6" s="9">
        <v>43865</v>
      </c>
      <c r="M6" s="10"/>
      <c r="N6" s="12"/>
    </row>
    <row r="7" spans="1:14">
      <c r="A7" s="9">
        <v>43866</v>
      </c>
      <c r="B7" s="10"/>
      <c r="C7" s="10"/>
      <c r="D7" s="10"/>
      <c r="E7" s="10"/>
      <c r="F7" s="10"/>
      <c r="G7" s="10"/>
      <c r="H7" s="11"/>
      <c r="I7" s="12"/>
      <c r="J7" s="13"/>
      <c r="L7" s="9">
        <v>43866</v>
      </c>
      <c r="M7" s="10"/>
      <c r="N7" s="12"/>
    </row>
    <row r="8" spans="1:14">
      <c r="A8" s="9">
        <v>43867</v>
      </c>
      <c r="B8" s="10"/>
      <c r="C8" s="10"/>
      <c r="D8" s="10"/>
      <c r="E8" s="10"/>
      <c r="F8" s="10"/>
      <c r="G8" s="10"/>
      <c r="H8" s="11"/>
      <c r="I8" s="12"/>
      <c r="J8" s="13"/>
      <c r="L8" s="9">
        <v>43867</v>
      </c>
      <c r="M8" s="10"/>
      <c r="N8" s="12"/>
    </row>
    <row r="9" spans="1:14">
      <c r="A9" s="9">
        <v>43870</v>
      </c>
      <c r="B9" s="10"/>
      <c r="C9" s="10"/>
      <c r="D9" s="10"/>
      <c r="E9" s="10"/>
      <c r="F9" s="10"/>
      <c r="G9" s="10"/>
      <c r="H9" s="11"/>
      <c r="I9" s="12"/>
      <c r="J9" s="13"/>
      <c r="L9" s="9">
        <v>43870</v>
      </c>
      <c r="M9" s="10"/>
      <c r="N9" s="12"/>
    </row>
    <row r="10" spans="1:14">
      <c r="A10" s="9">
        <v>43871</v>
      </c>
      <c r="B10" s="10"/>
      <c r="C10" s="10"/>
      <c r="D10" s="10"/>
      <c r="E10" s="10"/>
      <c r="F10" s="10"/>
      <c r="G10" s="10"/>
      <c r="H10" s="11"/>
      <c r="I10" s="12"/>
      <c r="J10" s="13"/>
      <c r="L10" s="9">
        <v>43871</v>
      </c>
      <c r="M10" s="10"/>
      <c r="N10" s="12"/>
    </row>
    <row r="11" spans="1:14">
      <c r="A11" s="9">
        <v>43873</v>
      </c>
      <c r="B11" s="10"/>
      <c r="C11" s="10"/>
      <c r="D11" s="10"/>
      <c r="E11" s="10"/>
      <c r="F11" s="10"/>
      <c r="G11" s="10"/>
      <c r="H11" s="11"/>
      <c r="I11" s="12"/>
      <c r="J11" s="13"/>
      <c r="L11" s="9">
        <v>43873</v>
      </c>
      <c r="M11" s="10"/>
      <c r="N11" s="12"/>
    </row>
    <row r="12" spans="1:14">
      <c r="A12" s="9">
        <v>43874</v>
      </c>
      <c r="B12" s="10"/>
      <c r="C12" s="10"/>
      <c r="D12" s="10"/>
      <c r="E12" s="10"/>
      <c r="F12" s="10"/>
      <c r="G12" s="10"/>
      <c r="H12" s="11"/>
      <c r="I12" s="12"/>
      <c r="J12" s="13"/>
      <c r="L12" s="9">
        <v>43874</v>
      </c>
      <c r="M12" s="10"/>
      <c r="N12" s="12"/>
    </row>
    <row r="13" spans="1:14">
      <c r="A13" s="9">
        <v>43877</v>
      </c>
      <c r="B13" s="10"/>
      <c r="C13" s="10"/>
      <c r="D13" s="10"/>
      <c r="E13" s="10"/>
      <c r="F13" s="10"/>
      <c r="G13" s="10"/>
      <c r="H13" s="11"/>
      <c r="I13" s="12"/>
      <c r="J13" s="13"/>
      <c r="L13" s="9">
        <v>43877</v>
      </c>
      <c r="M13" s="10"/>
      <c r="N13" s="12"/>
    </row>
    <row r="14" spans="1:14">
      <c r="A14" s="9">
        <v>43878</v>
      </c>
      <c r="B14" s="10">
        <v>63457</v>
      </c>
      <c r="C14" s="10">
        <v>46842</v>
      </c>
      <c r="D14" s="10">
        <v>161060</v>
      </c>
      <c r="E14" s="10">
        <v>2161808</v>
      </c>
      <c r="F14" s="10">
        <v>1139142</v>
      </c>
      <c r="G14" s="10">
        <v>6800978</v>
      </c>
      <c r="H14" s="11">
        <v>42519</v>
      </c>
      <c r="I14" s="12">
        <v>47573</v>
      </c>
      <c r="J14" s="13"/>
      <c r="L14" s="9">
        <v>43878</v>
      </c>
      <c r="M14" s="10">
        <v>4326.5</v>
      </c>
      <c r="N14" s="12">
        <v>2340</v>
      </c>
    </row>
    <row r="15" spans="1:14">
      <c r="A15" s="9">
        <v>43879</v>
      </c>
      <c r="B15" s="10">
        <v>63762</v>
      </c>
      <c r="C15" s="10">
        <v>57347</v>
      </c>
      <c r="D15" s="10">
        <v>166842</v>
      </c>
      <c r="E15" s="10">
        <v>2173425</v>
      </c>
      <c r="F15" s="10">
        <v>1139283</v>
      </c>
      <c r="G15" s="10">
        <v>6812832</v>
      </c>
      <c r="H15" s="11">
        <v>51187</v>
      </c>
      <c r="I15" s="12">
        <v>47830</v>
      </c>
      <c r="J15" s="13"/>
      <c r="L15" s="9">
        <v>43879</v>
      </c>
      <c r="M15" s="10">
        <v>4426</v>
      </c>
      <c r="N15" s="12">
        <v>2340</v>
      </c>
    </row>
    <row r="16" spans="1:14">
      <c r="A16" s="9">
        <v>43880</v>
      </c>
      <c r="B16" s="10">
        <v>63926</v>
      </c>
      <c r="C16" s="10">
        <v>62454</v>
      </c>
      <c r="D16" s="10">
        <v>169898</v>
      </c>
      <c r="E16" s="10">
        <v>2179049</v>
      </c>
      <c r="F16" s="10">
        <v>1139283</v>
      </c>
      <c r="G16" s="10">
        <v>6818348</v>
      </c>
      <c r="H16" s="11">
        <v>55627</v>
      </c>
      <c r="I16" s="12">
        <v>47951</v>
      </c>
      <c r="J16" s="13"/>
      <c r="L16" s="9">
        <v>43880</v>
      </c>
      <c r="M16" s="10">
        <v>4498</v>
      </c>
      <c r="N16" s="12">
        <v>2340</v>
      </c>
    </row>
    <row r="17" spans="1:14">
      <c r="A17" s="9">
        <v>43881</v>
      </c>
      <c r="B17" s="10">
        <v>64079</v>
      </c>
      <c r="C17" s="10">
        <v>67294</v>
      </c>
      <c r="D17" s="10">
        <v>172536</v>
      </c>
      <c r="E17" s="10">
        <v>2184770</v>
      </c>
      <c r="F17" s="10">
        <v>1139283</v>
      </c>
      <c r="G17" s="10">
        <v>6823790</v>
      </c>
      <c r="H17" s="11">
        <v>59854</v>
      </c>
      <c r="I17" s="12">
        <v>48061</v>
      </c>
      <c r="J17" s="13"/>
      <c r="L17" s="9">
        <v>43881</v>
      </c>
      <c r="M17" s="10">
        <v>4532</v>
      </c>
      <c r="N17" s="12">
        <v>2340</v>
      </c>
    </row>
    <row r="18" spans="1:14">
      <c r="A18" s="9">
        <v>43884</v>
      </c>
      <c r="B18" s="10">
        <v>64590</v>
      </c>
      <c r="C18" s="10">
        <v>83593</v>
      </c>
      <c r="D18" s="10">
        <v>181031</v>
      </c>
      <c r="E18" s="10">
        <v>2201227</v>
      </c>
      <c r="F18" s="10">
        <v>1139283</v>
      </c>
      <c r="G18" s="10">
        <v>6842044</v>
      </c>
      <c r="H18" s="11">
        <v>73514</v>
      </c>
      <c r="I18" s="12">
        <v>48389</v>
      </c>
      <c r="J18" s="13"/>
      <c r="L18" s="9">
        <v>43884</v>
      </c>
      <c r="M18" s="10">
        <v>4541</v>
      </c>
      <c r="N18" s="12">
        <v>2340</v>
      </c>
    </row>
    <row r="19" spans="1:14">
      <c r="A19" s="9">
        <v>43885</v>
      </c>
      <c r="B19" s="10">
        <v>64762</v>
      </c>
      <c r="C19" s="10">
        <v>89051</v>
      </c>
      <c r="D19" s="10">
        <v>183666</v>
      </c>
      <c r="E19" s="10">
        <v>2208123</v>
      </c>
      <c r="F19" s="10">
        <v>1139283</v>
      </c>
      <c r="G19" s="10">
        <v>6848383</v>
      </c>
      <c r="H19" s="11">
        <v>77968</v>
      </c>
      <c r="I19" s="12">
        <v>48525</v>
      </c>
      <c r="J19" s="13"/>
      <c r="L19" s="9">
        <v>43885</v>
      </c>
      <c r="M19" s="10">
        <v>4556</v>
      </c>
      <c r="N19" s="12">
        <v>2340</v>
      </c>
    </row>
    <row r="20" spans="1:14">
      <c r="A20" s="9">
        <v>43886</v>
      </c>
      <c r="B20" s="10">
        <v>64933</v>
      </c>
      <c r="C20" s="10">
        <v>94426</v>
      </c>
      <c r="D20" s="10">
        <v>186693</v>
      </c>
      <c r="E20" s="10">
        <v>2214855</v>
      </c>
      <c r="F20" s="10">
        <v>1139283</v>
      </c>
      <c r="G20" s="10">
        <v>6854801</v>
      </c>
      <c r="H20" s="11">
        <v>82576</v>
      </c>
      <c r="I20" s="12">
        <v>48661</v>
      </c>
      <c r="J20" s="13"/>
      <c r="L20" s="9">
        <v>43886</v>
      </c>
      <c r="M20" s="10">
        <v>4598</v>
      </c>
      <c r="N20" s="12">
        <v>2340</v>
      </c>
    </row>
    <row r="21" spans="1:14">
      <c r="A21" s="9">
        <v>43887</v>
      </c>
      <c r="B21" s="10">
        <v>65095</v>
      </c>
      <c r="C21" s="10">
        <v>99616</v>
      </c>
      <c r="D21" s="10">
        <v>189586</v>
      </c>
      <c r="E21" s="10">
        <v>2221517</v>
      </c>
      <c r="F21" s="10">
        <v>1139283</v>
      </c>
      <c r="G21" s="10">
        <v>6860870</v>
      </c>
      <c r="H21" s="11">
        <v>86929</v>
      </c>
      <c r="I21" s="12">
        <v>48788</v>
      </c>
      <c r="J21" s="13"/>
      <c r="L21" s="9">
        <v>43887</v>
      </c>
      <c r="M21" s="10">
        <v>4625</v>
      </c>
      <c r="N21" s="12">
        <v>2340</v>
      </c>
    </row>
    <row r="22" spans="1:14" ht="15.75" thickBot="1">
      <c r="A22" s="14">
        <v>43888</v>
      </c>
      <c r="B22" s="15">
        <v>65273</v>
      </c>
      <c r="C22" s="15">
        <v>105175</v>
      </c>
      <c r="D22" s="15">
        <v>192769</v>
      </c>
      <c r="E22" s="15">
        <v>2226542</v>
      </c>
      <c r="F22" s="15">
        <v>1139283</v>
      </c>
      <c r="G22" s="15">
        <v>6867642</v>
      </c>
      <c r="H22" s="16">
        <v>91668</v>
      </c>
      <c r="I22" s="17">
        <v>48921</v>
      </c>
      <c r="J22" s="13"/>
      <c r="L22" s="9">
        <v>43888</v>
      </c>
      <c r="M22" s="15">
        <v>4643</v>
      </c>
      <c r="N22" s="17">
        <v>2340</v>
      </c>
    </row>
    <row r="23" spans="1:14" ht="15.75" thickBot="1"/>
    <row r="24" spans="1:14" ht="15.75" thickBot="1">
      <c r="A24" s="468" t="s">
        <v>16</v>
      </c>
      <c r="B24" s="469"/>
      <c r="C24" s="469"/>
      <c r="D24" s="469"/>
      <c r="E24" s="469"/>
      <c r="F24" s="469"/>
      <c r="G24" s="469"/>
      <c r="H24" s="469"/>
      <c r="I24" s="469"/>
      <c r="J24" s="470"/>
      <c r="L24" s="468" t="s">
        <v>17</v>
      </c>
      <c r="M24" s="469"/>
      <c r="N24" s="470"/>
    </row>
    <row r="25" spans="1:14" ht="24.75" thickBot="1">
      <c r="A25" s="2" t="s">
        <v>2</v>
      </c>
      <c r="B25" s="3" t="s">
        <v>3</v>
      </c>
      <c r="C25" s="3" t="s">
        <v>4</v>
      </c>
      <c r="D25" s="3" t="s">
        <v>5</v>
      </c>
      <c r="E25" s="3" t="s">
        <v>6</v>
      </c>
      <c r="F25" s="3" t="s">
        <v>7</v>
      </c>
      <c r="G25" s="3" t="s">
        <v>8</v>
      </c>
      <c r="H25" s="4" t="s">
        <v>9</v>
      </c>
      <c r="I25" s="5" t="s">
        <v>10</v>
      </c>
      <c r="J25" s="5" t="s">
        <v>18</v>
      </c>
      <c r="L25" s="2" t="s">
        <v>2</v>
      </c>
      <c r="M25" s="3" t="s">
        <v>11</v>
      </c>
      <c r="N25" s="5" t="s">
        <v>12</v>
      </c>
    </row>
    <row r="26" spans="1:14">
      <c r="A26" s="2"/>
      <c r="B26" s="7" t="s">
        <v>13</v>
      </c>
      <c r="C26" s="7" t="s">
        <v>13</v>
      </c>
      <c r="D26" s="7" t="s">
        <v>13</v>
      </c>
      <c r="E26" s="7" t="s">
        <v>13</v>
      </c>
      <c r="F26" s="7" t="s">
        <v>13</v>
      </c>
      <c r="G26" s="7" t="s">
        <v>13</v>
      </c>
      <c r="H26" s="7" t="s">
        <v>13</v>
      </c>
      <c r="I26" s="7" t="s">
        <v>13</v>
      </c>
      <c r="J26" s="7" t="s">
        <v>13</v>
      </c>
      <c r="L26" s="2"/>
      <c r="M26" s="7" t="s">
        <v>14</v>
      </c>
      <c r="N26" s="7" t="s">
        <v>15</v>
      </c>
    </row>
    <row r="27" spans="1:14">
      <c r="A27" s="18">
        <v>43863</v>
      </c>
      <c r="B27" s="10"/>
      <c r="C27" s="10"/>
      <c r="D27" s="10"/>
      <c r="E27" s="10"/>
      <c r="F27" s="10"/>
      <c r="G27" s="10"/>
      <c r="H27" s="11"/>
      <c r="I27" s="12"/>
      <c r="J27" s="12"/>
      <c r="L27" s="18">
        <v>43863</v>
      </c>
      <c r="M27" s="10"/>
      <c r="N27" s="12"/>
    </row>
    <row r="28" spans="1:14">
      <c r="A28" s="18">
        <v>43864</v>
      </c>
      <c r="B28" s="10"/>
      <c r="C28" s="10"/>
      <c r="D28" s="10"/>
      <c r="E28" s="10"/>
      <c r="F28" s="10"/>
      <c r="G28" s="10"/>
      <c r="H28" s="11"/>
      <c r="I28" s="12"/>
      <c r="J28" s="12"/>
      <c r="L28" s="18">
        <v>43864</v>
      </c>
      <c r="M28" s="10"/>
      <c r="N28" s="12"/>
    </row>
    <row r="29" spans="1:14">
      <c r="A29" s="18">
        <v>43865</v>
      </c>
      <c r="B29" s="10"/>
      <c r="C29" s="10"/>
      <c r="D29" s="10"/>
      <c r="E29" s="10"/>
      <c r="F29" s="10"/>
      <c r="G29" s="10"/>
      <c r="H29" s="11"/>
      <c r="I29" s="12"/>
      <c r="J29" s="12"/>
      <c r="L29" s="18">
        <v>43865</v>
      </c>
      <c r="M29" s="10"/>
      <c r="N29" s="12"/>
    </row>
    <row r="30" spans="1:14">
      <c r="A30" s="18">
        <v>43866</v>
      </c>
      <c r="B30" s="10"/>
      <c r="C30" s="10"/>
      <c r="D30" s="10"/>
      <c r="E30" s="10"/>
      <c r="F30" s="10"/>
      <c r="G30" s="10"/>
      <c r="H30" s="11"/>
      <c r="I30" s="12"/>
      <c r="J30" s="12"/>
      <c r="L30" s="18">
        <v>43866</v>
      </c>
      <c r="M30" s="10"/>
      <c r="N30" s="12"/>
    </row>
    <row r="31" spans="1:14">
      <c r="A31" s="18">
        <v>43867</v>
      </c>
      <c r="B31" s="10"/>
      <c r="C31" s="10"/>
      <c r="D31" s="10"/>
      <c r="E31" s="10"/>
      <c r="F31" s="10"/>
      <c r="G31" s="10"/>
      <c r="H31" s="11"/>
      <c r="I31" s="12"/>
      <c r="J31" s="12"/>
      <c r="L31" s="18">
        <v>43867</v>
      </c>
      <c r="M31" s="10"/>
      <c r="N31" s="12"/>
    </row>
    <row r="32" spans="1:14">
      <c r="A32" s="18">
        <v>43870</v>
      </c>
      <c r="B32" s="10"/>
      <c r="C32" s="10"/>
      <c r="D32" s="10"/>
      <c r="E32" s="10"/>
      <c r="F32" s="10"/>
      <c r="G32" s="10"/>
      <c r="H32" s="11"/>
      <c r="I32" s="12"/>
      <c r="J32" s="12"/>
      <c r="L32" s="18">
        <v>43870</v>
      </c>
      <c r="M32" s="10"/>
      <c r="N32" s="12"/>
    </row>
    <row r="33" spans="1:14">
      <c r="A33" s="18">
        <v>43871</v>
      </c>
      <c r="B33" s="10"/>
      <c r="C33" s="10"/>
      <c r="D33" s="10"/>
      <c r="E33" s="10"/>
      <c r="F33" s="10"/>
      <c r="G33" s="10"/>
      <c r="H33" s="11"/>
      <c r="I33" s="12"/>
      <c r="J33" s="12"/>
      <c r="L33" s="18">
        <v>43871</v>
      </c>
      <c r="M33" s="10"/>
      <c r="N33" s="12"/>
    </row>
    <row r="34" spans="1:14">
      <c r="A34" s="18">
        <v>43873</v>
      </c>
      <c r="B34" s="10"/>
      <c r="C34" s="10"/>
      <c r="D34" s="10"/>
      <c r="E34" s="10"/>
      <c r="F34" s="10"/>
      <c r="G34" s="10"/>
      <c r="H34" s="11"/>
      <c r="I34" s="12"/>
      <c r="J34" s="12"/>
      <c r="L34" s="18">
        <v>43873</v>
      </c>
      <c r="M34" s="10"/>
      <c r="N34" s="12"/>
    </row>
    <row r="35" spans="1:14">
      <c r="A35" s="18">
        <v>43874</v>
      </c>
      <c r="B35" s="10"/>
      <c r="C35" s="10"/>
      <c r="D35" s="10"/>
      <c r="E35" s="10"/>
      <c r="F35" s="10"/>
      <c r="G35" s="10"/>
      <c r="H35" s="11"/>
      <c r="I35" s="12"/>
      <c r="J35" s="12"/>
      <c r="L35" s="18">
        <v>43874</v>
      </c>
      <c r="M35" s="10"/>
      <c r="N35" s="12"/>
    </row>
    <row r="36" spans="1:14">
      <c r="A36" s="18">
        <v>43877</v>
      </c>
      <c r="B36" s="10"/>
      <c r="C36" s="10"/>
      <c r="D36" s="10"/>
      <c r="E36" s="10"/>
      <c r="F36" s="10"/>
      <c r="G36" s="10"/>
      <c r="H36" s="11"/>
      <c r="I36" s="12"/>
      <c r="J36" s="12"/>
      <c r="L36" s="18">
        <v>43877</v>
      </c>
      <c r="M36" s="10"/>
      <c r="N36" s="12"/>
    </row>
    <row r="37" spans="1:14">
      <c r="A37" s="18">
        <v>43878</v>
      </c>
      <c r="B37" s="10"/>
      <c r="C37" s="10"/>
      <c r="D37" s="10"/>
      <c r="E37" s="10"/>
      <c r="F37" s="10"/>
      <c r="G37" s="10"/>
      <c r="H37" s="11"/>
      <c r="I37" s="12"/>
      <c r="J37" s="12"/>
      <c r="L37" s="18">
        <v>43878</v>
      </c>
      <c r="M37" s="10"/>
      <c r="N37" s="12"/>
    </row>
    <row r="38" spans="1:14" ht="15.75">
      <c r="A38" s="18">
        <v>43879</v>
      </c>
      <c r="B38" s="10">
        <f>305/2</f>
        <v>152.5</v>
      </c>
      <c r="C38" s="10">
        <f>10505/2</f>
        <v>5252.5</v>
      </c>
      <c r="D38" s="10">
        <f>5782/2</f>
        <v>2891</v>
      </c>
      <c r="E38" s="10">
        <f>11617/2</f>
        <v>5808.5</v>
      </c>
      <c r="F38" s="10">
        <f>141/2</f>
        <v>70.5</v>
      </c>
      <c r="G38" s="10">
        <f>11854/2</f>
        <v>5927</v>
      </c>
      <c r="H38" s="11">
        <f>8668/2</f>
        <v>4334</v>
      </c>
      <c r="I38" s="12">
        <f>257/2</f>
        <v>128.5</v>
      </c>
      <c r="J38" s="19">
        <f>SUM(B38:I38)</f>
        <v>24564.5</v>
      </c>
      <c r="L38" s="18">
        <v>43879</v>
      </c>
      <c r="M38" s="10">
        <f>100/2</f>
        <v>50</v>
      </c>
      <c r="N38" s="12">
        <f>N15-N14</f>
        <v>0</v>
      </c>
    </row>
    <row r="39" spans="1:14" ht="15.75">
      <c r="A39" s="18">
        <v>43880</v>
      </c>
      <c r="B39" s="10">
        <f t="shared" ref="B39:I45" si="0">B16-B15</f>
        <v>164</v>
      </c>
      <c r="C39" s="10">
        <f t="shared" si="0"/>
        <v>5107</v>
      </c>
      <c r="D39" s="10">
        <f t="shared" si="0"/>
        <v>3056</v>
      </c>
      <c r="E39" s="10">
        <f t="shared" si="0"/>
        <v>5624</v>
      </c>
      <c r="F39" s="10">
        <f t="shared" si="0"/>
        <v>0</v>
      </c>
      <c r="G39" s="10">
        <f t="shared" si="0"/>
        <v>5516</v>
      </c>
      <c r="H39" s="11">
        <f t="shared" si="0"/>
        <v>4440</v>
      </c>
      <c r="I39" s="12">
        <f t="shared" si="0"/>
        <v>121</v>
      </c>
      <c r="J39" s="19">
        <f t="shared" ref="J39:J45" si="1">SUM(B39:I39)</f>
        <v>24028</v>
      </c>
      <c r="L39" s="18">
        <v>43880</v>
      </c>
      <c r="M39" s="10">
        <f t="shared" ref="M39:N45" si="2">M16-M15</f>
        <v>72</v>
      </c>
      <c r="N39" s="12">
        <f t="shared" si="2"/>
        <v>0</v>
      </c>
    </row>
    <row r="40" spans="1:14" ht="15.75">
      <c r="A40" s="18">
        <v>43881</v>
      </c>
      <c r="B40" s="10">
        <f t="shared" si="0"/>
        <v>153</v>
      </c>
      <c r="C40" s="10">
        <f t="shared" si="0"/>
        <v>4840</v>
      </c>
      <c r="D40" s="10">
        <f t="shared" si="0"/>
        <v>2638</v>
      </c>
      <c r="E40" s="10">
        <f t="shared" si="0"/>
        <v>5721</v>
      </c>
      <c r="F40" s="10">
        <f t="shared" si="0"/>
        <v>0</v>
      </c>
      <c r="G40" s="10">
        <f t="shared" si="0"/>
        <v>5442</v>
      </c>
      <c r="H40" s="11">
        <f t="shared" si="0"/>
        <v>4227</v>
      </c>
      <c r="I40" s="12">
        <f t="shared" si="0"/>
        <v>110</v>
      </c>
      <c r="J40" s="19">
        <f t="shared" si="1"/>
        <v>23131</v>
      </c>
      <c r="L40" s="18">
        <v>43881</v>
      </c>
      <c r="M40" s="10">
        <f t="shared" si="2"/>
        <v>34</v>
      </c>
      <c r="N40" s="12">
        <f t="shared" si="2"/>
        <v>0</v>
      </c>
    </row>
    <row r="41" spans="1:14" ht="15.75">
      <c r="A41" s="18">
        <v>43884</v>
      </c>
      <c r="B41" s="10">
        <f>511/3</f>
        <v>170.33333333333334</v>
      </c>
      <c r="C41" s="10">
        <f>16299/3</f>
        <v>5433</v>
      </c>
      <c r="D41" s="10">
        <f>8495/3</f>
        <v>2831.6666666666665</v>
      </c>
      <c r="E41" s="10">
        <f>16457/3</f>
        <v>5485.666666666667</v>
      </c>
      <c r="F41" s="10">
        <f t="shared" si="0"/>
        <v>0</v>
      </c>
      <c r="G41" s="10">
        <v>6084.666666666667</v>
      </c>
      <c r="H41" s="11">
        <f>13660/3</f>
        <v>4553.333333333333</v>
      </c>
      <c r="I41" s="12">
        <f>328/3</f>
        <v>109.33333333333333</v>
      </c>
      <c r="J41" s="19">
        <f t="shared" si="1"/>
        <v>24668</v>
      </c>
      <c r="L41" s="18">
        <v>43884</v>
      </c>
      <c r="M41" s="10">
        <f t="shared" si="2"/>
        <v>9</v>
      </c>
      <c r="N41" s="12">
        <f t="shared" si="2"/>
        <v>0</v>
      </c>
    </row>
    <row r="42" spans="1:14" ht="15.75">
      <c r="A42" s="18">
        <v>43885</v>
      </c>
      <c r="B42" s="10">
        <f t="shared" si="0"/>
        <v>172</v>
      </c>
      <c r="C42" s="10">
        <f t="shared" si="0"/>
        <v>5458</v>
      </c>
      <c r="D42" s="10">
        <f t="shared" si="0"/>
        <v>2635</v>
      </c>
      <c r="E42" s="10">
        <f t="shared" si="0"/>
        <v>6896</v>
      </c>
      <c r="F42" s="10">
        <f t="shared" si="0"/>
        <v>0</v>
      </c>
      <c r="G42" s="10">
        <f t="shared" si="0"/>
        <v>6339</v>
      </c>
      <c r="H42" s="11">
        <f t="shared" si="0"/>
        <v>4454</v>
      </c>
      <c r="I42" s="12">
        <f t="shared" si="0"/>
        <v>136</v>
      </c>
      <c r="J42" s="19">
        <f t="shared" si="1"/>
        <v>26090</v>
      </c>
      <c r="L42" s="18">
        <v>43885</v>
      </c>
      <c r="M42" s="10">
        <f t="shared" si="2"/>
        <v>15</v>
      </c>
      <c r="N42" s="12">
        <f t="shared" si="2"/>
        <v>0</v>
      </c>
    </row>
    <row r="43" spans="1:14" ht="15.75">
      <c r="A43" s="18">
        <v>43886</v>
      </c>
      <c r="B43" s="10">
        <f t="shared" si="0"/>
        <v>171</v>
      </c>
      <c r="C43" s="10">
        <f t="shared" si="0"/>
        <v>5375</v>
      </c>
      <c r="D43" s="10">
        <f t="shared" si="0"/>
        <v>3027</v>
      </c>
      <c r="E43" s="10">
        <f t="shared" si="0"/>
        <v>6732</v>
      </c>
      <c r="F43" s="10">
        <f t="shared" si="0"/>
        <v>0</v>
      </c>
      <c r="G43" s="10">
        <f t="shared" si="0"/>
        <v>6418</v>
      </c>
      <c r="H43" s="11">
        <f t="shared" si="0"/>
        <v>4608</v>
      </c>
      <c r="I43" s="12">
        <f t="shared" si="0"/>
        <v>136</v>
      </c>
      <c r="J43" s="19">
        <f t="shared" si="1"/>
        <v>26467</v>
      </c>
      <c r="L43" s="18">
        <v>43886</v>
      </c>
      <c r="M43" s="10">
        <f t="shared" si="2"/>
        <v>42</v>
      </c>
      <c r="N43" s="12">
        <f t="shared" si="2"/>
        <v>0</v>
      </c>
    </row>
    <row r="44" spans="1:14" ht="15.75">
      <c r="A44" s="18">
        <v>43887</v>
      </c>
      <c r="B44" s="10">
        <f t="shared" si="0"/>
        <v>162</v>
      </c>
      <c r="C44" s="10">
        <f t="shared" si="0"/>
        <v>5190</v>
      </c>
      <c r="D44" s="10">
        <f t="shared" si="0"/>
        <v>2893</v>
      </c>
      <c r="E44" s="10">
        <f t="shared" si="0"/>
        <v>6662</v>
      </c>
      <c r="F44" s="10">
        <f t="shared" si="0"/>
        <v>0</v>
      </c>
      <c r="G44" s="10">
        <f t="shared" si="0"/>
        <v>6069</v>
      </c>
      <c r="H44" s="11">
        <f t="shared" si="0"/>
        <v>4353</v>
      </c>
      <c r="I44" s="12">
        <f t="shared" si="0"/>
        <v>127</v>
      </c>
      <c r="J44" s="19">
        <f t="shared" si="1"/>
        <v>25456</v>
      </c>
      <c r="L44" s="18">
        <v>43887</v>
      </c>
      <c r="M44" s="10">
        <f t="shared" si="2"/>
        <v>27</v>
      </c>
      <c r="N44" s="12">
        <f t="shared" si="2"/>
        <v>0</v>
      </c>
    </row>
    <row r="45" spans="1:14" ht="15.75">
      <c r="A45" s="18">
        <v>43888</v>
      </c>
      <c r="B45" s="10">
        <f t="shared" si="0"/>
        <v>178</v>
      </c>
      <c r="C45" s="10">
        <f t="shared" si="0"/>
        <v>5559</v>
      </c>
      <c r="D45" s="10">
        <f t="shared" si="0"/>
        <v>3183</v>
      </c>
      <c r="E45" s="10">
        <f t="shared" si="0"/>
        <v>5025</v>
      </c>
      <c r="F45" s="10">
        <f t="shared" si="0"/>
        <v>0</v>
      </c>
      <c r="G45" s="10">
        <f t="shared" si="0"/>
        <v>6772</v>
      </c>
      <c r="H45" s="11">
        <f t="shared" si="0"/>
        <v>4739</v>
      </c>
      <c r="I45" s="12">
        <f t="shared" si="0"/>
        <v>133</v>
      </c>
      <c r="J45" s="19">
        <f t="shared" si="1"/>
        <v>25589</v>
      </c>
      <c r="L45" s="18">
        <v>43888</v>
      </c>
      <c r="M45" s="10">
        <f t="shared" si="2"/>
        <v>18</v>
      </c>
      <c r="N45" s="12">
        <f t="shared" si="2"/>
        <v>0</v>
      </c>
    </row>
    <row r="47" spans="1:14">
      <c r="A47" s="471" t="s">
        <v>19</v>
      </c>
      <c r="B47" s="471"/>
      <c r="C47" s="471"/>
      <c r="D47" s="471"/>
      <c r="E47" s="471"/>
      <c r="F47" s="471"/>
      <c r="G47" s="471"/>
      <c r="H47" s="471"/>
      <c r="I47" s="471"/>
      <c r="J47" s="471"/>
      <c r="K47" s="471"/>
      <c r="L47" s="471"/>
      <c r="M47" s="471"/>
      <c r="N47" s="471"/>
    </row>
  </sheetData>
  <mergeCells count="5">
    <mergeCell ref="A1:I1"/>
    <mergeCell ref="L1:N1"/>
    <mergeCell ref="A24:J24"/>
    <mergeCell ref="L24:N24"/>
    <mergeCell ref="A47:N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3C9B-0906-410B-962A-B31A18BB88B1}">
  <dimension ref="A1:N129"/>
  <sheetViews>
    <sheetView topLeftCell="A25" workbookViewId="0">
      <selection activeCell="C32" sqref="C32"/>
    </sheetView>
  </sheetViews>
  <sheetFormatPr defaultRowHeight="15"/>
  <cols>
    <col min="2" max="2" width="12.42578125" customWidth="1"/>
    <col min="3" max="3" width="10.85546875" customWidth="1"/>
    <col min="5" max="5" width="11" customWidth="1"/>
    <col min="6" max="6" width="10.7109375" customWidth="1"/>
    <col min="7" max="7" width="10.140625" customWidth="1"/>
    <col min="10" max="10" width="8.42578125" customWidth="1"/>
    <col min="11" max="11" width="5.28515625" style="20" customWidth="1"/>
    <col min="13" max="13" width="13.85546875" customWidth="1"/>
    <col min="14" max="14" width="14.28515625" customWidth="1"/>
  </cols>
  <sheetData>
    <row r="1" spans="1:14" ht="15.95" customHeight="1" thickBot="1">
      <c r="A1" s="464" t="s">
        <v>20</v>
      </c>
      <c r="B1" s="465"/>
      <c r="C1" s="465"/>
      <c r="D1" s="465"/>
      <c r="E1" s="465"/>
      <c r="F1" s="465"/>
      <c r="G1" s="465"/>
      <c r="H1" s="465"/>
      <c r="I1" s="466"/>
      <c r="J1" s="1"/>
      <c r="L1" s="467" t="s">
        <v>21</v>
      </c>
      <c r="M1" s="465"/>
      <c r="N1" s="466"/>
    </row>
    <row r="2" spans="1:14" ht="24.75" thickBot="1">
      <c r="A2" s="2" t="s">
        <v>2</v>
      </c>
      <c r="B2" s="3" t="s">
        <v>3</v>
      </c>
      <c r="C2" s="3" t="s">
        <v>4</v>
      </c>
      <c r="D2" s="3" t="s">
        <v>5</v>
      </c>
      <c r="E2" s="3" t="s">
        <v>6</v>
      </c>
      <c r="F2" s="3" t="s">
        <v>7</v>
      </c>
      <c r="G2" s="3" t="s">
        <v>8</v>
      </c>
      <c r="H2" s="4" t="s">
        <v>9</v>
      </c>
      <c r="I2" s="5" t="s">
        <v>10</v>
      </c>
      <c r="J2" s="6"/>
      <c r="L2" s="2" t="s">
        <v>2</v>
      </c>
      <c r="M2" s="3" t="s">
        <v>11</v>
      </c>
      <c r="N2" s="5" t="s">
        <v>12</v>
      </c>
    </row>
    <row r="3" spans="1:14">
      <c r="A3" s="2"/>
      <c r="B3" s="7" t="s">
        <v>13</v>
      </c>
      <c r="C3" s="7" t="s">
        <v>13</v>
      </c>
      <c r="D3" s="7" t="s">
        <v>13</v>
      </c>
      <c r="E3" s="7" t="s">
        <v>13</v>
      </c>
      <c r="F3" s="7" t="s">
        <v>13</v>
      </c>
      <c r="G3" s="7" t="s">
        <v>13</v>
      </c>
      <c r="H3" s="7" t="s">
        <v>13</v>
      </c>
      <c r="I3" s="8" t="s">
        <v>13</v>
      </c>
      <c r="J3" s="6"/>
      <c r="L3" s="2"/>
      <c r="M3" s="7" t="s">
        <v>14</v>
      </c>
      <c r="N3" s="7" t="s">
        <v>15</v>
      </c>
    </row>
    <row r="4" spans="1:14">
      <c r="A4" s="9">
        <v>43891</v>
      </c>
      <c r="B4" s="21">
        <v>65780</v>
      </c>
      <c r="C4" s="21">
        <v>119717</v>
      </c>
      <c r="D4" s="21">
        <v>201212</v>
      </c>
      <c r="E4" s="21">
        <v>2234549</v>
      </c>
      <c r="F4" s="21">
        <v>1141025</v>
      </c>
      <c r="G4" s="21">
        <v>6886005</v>
      </c>
      <c r="H4" s="21">
        <v>104169</v>
      </c>
      <c r="I4" s="21">
        <v>49279</v>
      </c>
      <c r="J4" s="13"/>
      <c r="L4" s="9">
        <v>43891</v>
      </c>
      <c r="M4" s="10">
        <v>4658</v>
      </c>
      <c r="N4" s="12">
        <v>2340</v>
      </c>
    </row>
    <row r="5" spans="1:14">
      <c r="A5" s="9">
        <v>43892</v>
      </c>
      <c r="B5" s="21">
        <v>65958</v>
      </c>
      <c r="C5" s="21">
        <v>124932</v>
      </c>
      <c r="D5" s="21">
        <v>203961</v>
      </c>
      <c r="E5" s="21">
        <v>2234640</v>
      </c>
      <c r="F5" s="21">
        <v>1142875</v>
      </c>
      <c r="G5" s="21">
        <v>6892583</v>
      </c>
      <c r="H5" s="21">
        <v>108481</v>
      </c>
      <c r="I5" s="21">
        <v>49403</v>
      </c>
      <c r="J5" s="13"/>
      <c r="L5" s="9">
        <v>43892</v>
      </c>
      <c r="M5" s="10">
        <v>4694</v>
      </c>
      <c r="N5" s="12">
        <v>2340</v>
      </c>
    </row>
    <row r="6" spans="1:14">
      <c r="A6" s="9">
        <v>43893</v>
      </c>
      <c r="B6" s="21">
        <v>66135</v>
      </c>
      <c r="C6" s="21">
        <v>130560</v>
      </c>
      <c r="D6" s="21">
        <v>206678</v>
      </c>
      <c r="E6" s="21">
        <v>2234732</v>
      </c>
      <c r="F6" s="21">
        <v>1144707</v>
      </c>
      <c r="G6" s="21">
        <v>6899327</v>
      </c>
      <c r="H6" s="21">
        <v>112754</v>
      </c>
      <c r="I6" s="21">
        <v>49531</v>
      </c>
      <c r="J6" s="13"/>
      <c r="L6" s="9">
        <v>43893</v>
      </c>
      <c r="M6" s="10">
        <v>4734</v>
      </c>
      <c r="N6" s="12">
        <v>2340</v>
      </c>
    </row>
    <row r="7" spans="1:14">
      <c r="A7" s="9">
        <v>43894</v>
      </c>
      <c r="B7" s="21">
        <v>66303</v>
      </c>
      <c r="C7" s="21">
        <v>136455</v>
      </c>
      <c r="D7" s="21">
        <v>209232</v>
      </c>
      <c r="E7" s="21">
        <v>2234822</v>
      </c>
      <c r="F7" s="21">
        <v>1146145</v>
      </c>
      <c r="G7" s="21">
        <v>6905756</v>
      </c>
      <c r="H7" s="21">
        <v>116790</v>
      </c>
      <c r="I7" s="21">
        <v>49652</v>
      </c>
      <c r="J7" s="13"/>
      <c r="L7" s="9">
        <v>43894</v>
      </c>
      <c r="M7" s="10">
        <v>4721</v>
      </c>
      <c r="N7" s="12">
        <v>2340</v>
      </c>
    </row>
    <row r="8" spans="1:14">
      <c r="A8" s="9">
        <v>43895</v>
      </c>
      <c r="B8" s="21">
        <v>66478</v>
      </c>
      <c r="C8" s="21">
        <v>142294</v>
      </c>
      <c r="D8" s="21">
        <v>212131</v>
      </c>
      <c r="E8" s="21">
        <v>2234917</v>
      </c>
      <c r="F8" s="21">
        <v>1147564</v>
      </c>
      <c r="G8" s="21">
        <v>6912268</v>
      </c>
      <c r="H8" s="21">
        <v>121275</v>
      </c>
      <c r="I8" s="21">
        <v>49758</v>
      </c>
      <c r="J8" s="13"/>
      <c r="L8" s="9">
        <v>43895</v>
      </c>
      <c r="M8" s="10">
        <v>4784</v>
      </c>
      <c r="N8" s="12">
        <v>2340</v>
      </c>
    </row>
    <row r="9" spans="1:14">
      <c r="A9" s="9">
        <v>43898</v>
      </c>
      <c r="B9" s="21">
        <v>66992</v>
      </c>
      <c r="C9" s="21">
        <v>159199</v>
      </c>
      <c r="D9" s="21">
        <v>221490</v>
      </c>
      <c r="E9" s="21">
        <v>2235196</v>
      </c>
      <c r="F9" s="21">
        <v>1152731</v>
      </c>
      <c r="G9" s="21">
        <v>6930552</v>
      </c>
      <c r="H9" s="21">
        <v>134608</v>
      </c>
      <c r="I9" s="21">
        <v>50070</v>
      </c>
      <c r="J9" s="13"/>
      <c r="L9" s="9">
        <v>43898</v>
      </c>
      <c r="M9" s="10">
        <v>4813</v>
      </c>
      <c r="N9" s="12">
        <v>2340</v>
      </c>
    </row>
    <row r="10" spans="1:14">
      <c r="A10" s="9">
        <v>43899</v>
      </c>
      <c r="B10" s="21">
        <v>67162</v>
      </c>
      <c r="C10" s="21">
        <v>164703</v>
      </c>
      <c r="D10" s="21">
        <v>224690</v>
      </c>
      <c r="E10" s="21">
        <v>2235286</v>
      </c>
      <c r="F10" s="21">
        <v>1154489</v>
      </c>
      <c r="G10" s="21">
        <v>6936153</v>
      </c>
      <c r="H10" s="21">
        <v>138664</v>
      </c>
      <c r="I10" s="21">
        <v>50197</v>
      </c>
      <c r="J10" s="13"/>
      <c r="L10" s="9">
        <v>43899</v>
      </c>
      <c r="M10" s="10">
        <v>4842</v>
      </c>
      <c r="N10" s="12">
        <v>2340</v>
      </c>
    </row>
    <row r="11" spans="1:14">
      <c r="A11" s="9">
        <v>43900</v>
      </c>
      <c r="B11" s="21">
        <v>67335</v>
      </c>
      <c r="C11" s="21">
        <v>170353</v>
      </c>
      <c r="D11" s="21">
        <v>227872</v>
      </c>
      <c r="E11" s="21">
        <v>2235377</v>
      </c>
      <c r="F11" s="21">
        <v>1156282</v>
      </c>
      <c r="G11" s="21">
        <v>6942384</v>
      </c>
      <c r="H11" s="21">
        <v>142779</v>
      </c>
      <c r="I11" s="21">
        <v>50336</v>
      </c>
      <c r="J11" s="13"/>
      <c r="L11" s="9">
        <v>43900</v>
      </c>
      <c r="M11" s="10">
        <v>4973</v>
      </c>
      <c r="N11" s="12">
        <v>2340</v>
      </c>
    </row>
    <row r="12" spans="1:14">
      <c r="A12" s="9">
        <v>43901</v>
      </c>
      <c r="B12" s="21">
        <v>67509</v>
      </c>
      <c r="C12" s="21">
        <v>175598</v>
      </c>
      <c r="D12" s="21">
        <v>231045</v>
      </c>
      <c r="E12" s="21">
        <v>2235468</v>
      </c>
      <c r="F12" s="21">
        <v>1158174</v>
      </c>
      <c r="G12" s="21">
        <v>6948852</v>
      </c>
      <c r="H12" s="21">
        <v>146873</v>
      </c>
      <c r="I12" s="21">
        <v>50465</v>
      </c>
      <c r="J12" s="13"/>
      <c r="L12" s="9">
        <v>43901</v>
      </c>
      <c r="M12" s="10">
        <v>5026</v>
      </c>
      <c r="N12" s="12">
        <v>2340</v>
      </c>
    </row>
    <row r="13" spans="1:14">
      <c r="A13" s="9">
        <v>43902</v>
      </c>
      <c r="B13" s="21">
        <v>67677</v>
      </c>
      <c r="C13" s="21">
        <v>181596</v>
      </c>
      <c r="D13" s="21">
        <v>234111</v>
      </c>
      <c r="E13" s="21">
        <v>2235557</v>
      </c>
      <c r="F13" s="21">
        <v>1160327</v>
      </c>
      <c r="G13" s="21">
        <v>6955420</v>
      </c>
      <c r="H13" s="21">
        <v>150951</v>
      </c>
      <c r="I13" s="21">
        <v>50588</v>
      </c>
      <c r="J13" s="13"/>
      <c r="L13" s="9">
        <v>43902</v>
      </c>
      <c r="M13" s="10">
        <v>5162</v>
      </c>
      <c r="N13" s="12">
        <v>2340</v>
      </c>
    </row>
    <row r="14" spans="1:14">
      <c r="A14" s="9">
        <v>43905</v>
      </c>
      <c r="B14" s="10">
        <v>68200</v>
      </c>
      <c r="C14" s="10">
        <v>198815</v>
      </c>
      <c r="D14" s="10">
        <v>243622</v>
      </c>
      <c r="E14" s="10">
        <v>2243949</v>
      </c>
      <c r="F14" s="10">
        <v>1164680</v>
      </c>
      <c r="G14" s="10">
        <v>6975926</v>
      </c>
      <c r="H14" s="11">
        <v>163808</v>
      </c>
      <c r="I14" s="12">
        <v>50975</v>
      </c>
      <c r="J14" s="13"/>
      <c r="L14" s="9">
        <v>43905</v>
      </c>
      <c r="M14" s="10">
        <v>5238</v>
      </c>
      <c r="N14" s="12">
        <v>2340</v>
      </c>
    </row>
    <row r="15" spans="1:14">
      <c r="A15" s="9">
        <v>43906</v>
      </c>
      <c r="B15" s="10">
        <v>68373</v>
      </c>
      <c r="C15" s="10">
        <v>204333</v>
      </c>
      <c r="D15" s="10">
        <v>246613</v>
      </c>
      <c r="E15" s="10">
        <v>2251103</v>
      </c>
      <c r="F15" s="10">
        <v>1164680</v>
      </c>
      <c r="G15" s="10">
        <v>6982552</v>
      </c>
      <c r="H15" s="11">
        <v>168180</v>
      </c>
      <c r="I15" s="12">
        <v>51112</v>
      </c>
      <c r="J15" s="13"/>
      <c r="L15" s="9">
        <v>43906</v>
      </c>
      <c r="M15" s="10">
        <v>5321</v>
      </c>
      <c r="N15" s="12">
        <v>2340</v>
      </c>
    </row>
    <row r="16" spans="1:14">
      <c r="A16" s="9">
        <v>43907</v>
      </c>
      <c r="B16" s="10">
        <v>68552</v>
      </c>
      <c r="C16" s="10">
        <v>210108</v>
      </c>
      <c r="D16" s="10">
        <v>249721</v>
      </c>
      <c r="E16" s="10">
        <v>2258728</v>
      </c>
      <c r="F16" s="10">
        <v>1164680</v>
      </c>
      <c r="G16" s="10">
        <v>6982938</v>
      </c>
      <c r="H16" s="11">
        <v>173033</v>
      </c>
      <c r="I16" s="12">
        <v>51258</v>
      </c>
      <c r="J16" s="13"/>
      <c r="L16" s="9">
        <v>43907</v>
      </c>
      <c r="M16" s="10">
        <v>5384</v>
      </c>
      <c r="N16" s="12">
        <v>2340</v>
      </c>
    </row>
    <row r="17" spans="1:14">
      <c r="A17" s="9">
        <v>43908</v>
      </c>
      <c r="B17" s="10">
        <v>68732</v>
      </c>
      <c r="C17" s="10">
        <v>216798</v>
      </c>
      <c r="D17" s="10">
        <v>253218</v>
      </c>
      <c r="E17" s="10">
        <v>2267364</v>
      </c>
      <c r="F17" s="10">
        <v>1164680</v>
      </c>
      <c r="G17" s="10">
        <v>6996260</v>
      </c>
      <c r="H17" s="11">
        <v>178420</v>
      </c>
      <c r="I17" s="12">
        <v>51402</v>
      </c>
      <c r="J17" s="13"/>
      <c r="L17" s="9">
        <v>43908</v>
      </c>
      <c r="M17" s="10">
        <v>5426</v>
      </c>
      <c r="N17" s="12">
        <v>2340</v>
      </c>
    </row>
    <row r="18" spans="1:14">
      <c r="A18" s="9">
        <v>43909</v>
      </c>
      <c r="B18" s="10">
        <v>68907</v>
      </c>
      <c r="C18" s="10">
        <v>221631</v>
      </c>
      <c r="D18" s="10">
        <v>255743</v>
      </c>
      <c r="E18" s="10">
        <v>2273526</v>
      </c>
      <c r="F18" s="10">
        <v>1164680</v>
      </c>
      <c r="G18" s="10">
        <v>7001247</v>
      </c>
      <c r="H18" s="11">
        <v>182722</v>
      </c>
      <c r="I18" s="12">
        <v>51511</v>
      </c>
      <c r="J18" s="13"/>
      <c r="L18" s="9">
        <v>43909</v>
      </c>
      <c r="M18" s="10">
        <v>5468</v>
      </c>
      <c r="N18" s="12">
        <v>2340</v>
      </c>
    </row>
    <row r="19" spans="1:14">
      <c r="A19" s="9">
        <v>43911</v>
      </c>
      <c r="B19" s="10">
        <v>69259</v>
      </c>
      <c r="C19" s="10">
        <v>233624</v>
      </c>
      <c r="D19" s="10">
        <v>261993</v>
      </c>
      <c r="E19" s="10">
        <v>2288606</v>
      </c>
      <c r="F19" s="10">
        <v>1164680</v>
      </c>
      <c r="G19" s="10">
        <v>7015130</v>
      </c>
      <c r="H19" s="11">
        <v>192611</v>
      </c>
      <c r="I19" s="10">
        <v>51772</v>
      </c>
      <c r="J19" s="13"/>
      <c r="L19" s="9">
        <v>43911</v>
      </c>
      <c r="M19" s="10">
        <v>5518</v>
      </c>
      <c r="N19" s="12">
        <v>2340</v>
      </c>
    </row>
    <row r="20" spans="1:14">
      <c r="A20" s="9">
        <v>43912</v>
      </c>
      <c r="B20" s="10">
        <v>69428</v>
      </c>
      <c r="C20" s="10">
        <v>239267</v>
      </c>
      <c r="D20" s="10">
        <v>265072</v>
      </c>
      <c r="E20" s="10">
        <v>2295871</v>
      </c>
      <c r="F20" s="10">
        <v>1164680</v>
      </c>
      <c r="G20" s="10">
        <v>7021464</v>
      </c>
      <c r="H20" s="10">
        <v>196954</v>
      </c>
      <c r="I20" s="10">
        <v>51916</v>
      </c>
      <c r="J20" s="13"/>
      <c r="L20" s="9">
        <v>43912</v>
      </c>
      <c r="M20" s="10">
        <v>5648</v>
      </c>
      <c r="N20" s="12">
        <v>2340</v>
      </c>
    </row>
    <row r="21" spans="1:14">
      <c r="A21" s="9">
        <v>43913</v>
      </c>
      <c r="B21" s="10">
        <v>69616</v>
      </c>
      <c r="C21" s="10">
        <v>245457</v>
      </c>
      <c r="D21" s="10">
        <v>268573</v>
      </c>
      <c r="E21" s="10">
        <v>2302256</v>
      </c>
      <c r="F21" s="10">
        <v>1164680</v>
      </c>
      <c r="G21" s="10">
        <v>7028247</v>
      </c>
      <c r="H21" s="10">
        <v>202003</v>
      </c>
      <c r="I21" s="10">
        <v>52074</v>
      </c>
      <c r="J21" s="13"/>
      <c r="L21" s="9">
        <v>43913</v>
      </c>
      <c r="M21" s="10">
        <v>5792</v>
      </c>
      <c r="N21" s="12">
        <v>2340</v>
      </c>
    </row>
    <row r="22" spans="1:14">
      <c r="A22" s="9">
        <v>43914</v>
      </c>
      <c r="B22" s="10">
        <v>69802</v>
      </c>
      <c r="C22" s="10">
        <v>251584</v>
      </c>
      <c r="D22" s="10">
        <v>271628</v>
      </c>
      <c r="E22" s="10">
        <v>2307273</v>
      </c>
      <c r="F22" s="10">
        <v>1164680</v>
      </c>
      <c r="G22" s="10">
        <v>7034750</v>
      </c>
      <c r="H22" s="10">
        <v>207265</v>
      </c>
      <c r="I22" s="10">
        <v>52229</v>
      </c>
      <c r="J22" s="13"/>
      <c r="L22" s="9">
        <v>43914</v>
      </c>
      <c r="M22" s="10">
        <v>5886</v>
      </c>
      <c r="N22" s="12">
        <v>2340</v>
      </c>
    </row>
    <row r="23" spans="1:14">
      <c r="A23" s="9">
        <v>43915</v>
      </c>
      <c r="B23" s="10">
        <v>69977</v>
      </c>
      <c r="C23" s="10">
        <v>257535</v>
      </c>
      <c r="D23" s="10">
        <v>274624</v>
      </c>
      <c r="E23" s="10">
        <v>2312124</v>
      </c>
      <c r="F23" s="10">
        <v>1164680</v>
      </c>
      <c r="G23" s="10">
        <v>7041394</v>
      </c>
      <c r="H23" s="10">
        <v>212583</v>
      </c>
      <c r="I23" s="10">
        <v>52381</v>
      </c>
      <c r="J23" s="13"/>
      <c r="L23" s="9">
        <v>43915</v>
      </c>
      <c r="M23" s="10">
        <v>5964</v>
      </c>
      <c r="N23" s="12">
        <v>2340</v>
      </c>
    </row>
    <row r="24" spans="1:14" ht="15.75">
      <c r="A24" s="9">
        <v>43916</v>
      </c>
      <c r="B24" s="10">
        <v>70161</v>
      </c>
      <c r="C24" s="10">
        <v>263766</v>
      </c>
      <c r="D24" s="10">
        <v>277718</v>
      </c>
      <c r="E24" s="10">
        <v>2318828</v>
      </c>
      <c r="F24" s="10">
        <v>1164680</v>
      </c>
      <c r="G24" s="10">
        <v>7048845</v>
      </c>
      <c r="H24" s="10">
        <v>218108</v>
      </c>
      <c r="I24" s="10">
        <v>52528</v>
      </c>
      <c r="L24" s="9">
        <v>43916</v>
      </c>
      <c r="M24" s="22">
        <v>6132</v>
      </c>
      <c r="N24" s="12">
        <v>2340</v>
      </c>
    </row>
    <row r="25" spans="1:14" ht="15.75">
      <c r="A25" s="9">
        <v>43918</v>
      </c>
      <c r="B25" s="10">
        <v>70516</v>
      </c>
      <c r="C25" s="10">
        <v>275606</v>
      </c>
      <c r="D25" s="10">
        <v>283279</v>
      </c>
      <c r="E25" s="10">
        <v>2331418</v>
      </c>
      <c r="F25" s="10">
        <v>1165050</v>
      </c>
      <c r="G25" s="10">
        <v>7062194</v>
      </c>
      <c r="H25" s="10">
        <v>229011</v>
      </c>
      <c r="I25" s="10">
        <v>52791</v>
      </c>
      <c r="L25" s="9">
        <v>43918</v>
      </c>
      <c r="M25" s="22">
        <v>6253</v>
      </c>
      <c r="N25" s="12">
        <v>2340</v>
      </c>
    </row>
    <row r="26" spans="1:14">
      <c r="A26" s="9">
        <v>43919</v>
      </c>
      <c r="B26" s="10"/>
      <c r="C26" s="10"/>
      <c r="D26" s="10"/>
      <c r="E26" s="10"/>
      <c r="F26" s="10"/>
      <c r="G26" s="10"/>
      <c r="H26" s="10"/>
      <c r="I26" s="10"/>
      <c r="L26" s="9">
        <v>43919</v>
      </c>
      <c r="M26" s="23"/>
      <c r="N26" s="12">
        <v>2340</v>
      </c>
    </row>
    <row r="27" spans="1:14">
      <c r="A27" s="9">
        <v>43920</v>
      </c>
      <c r="B27" s="10"/>
      <c r="C27" s="10"/>
      <c r="D27" s="10"/>
      <c r="E27" s="10"/>
      <c r="F27" s="10"/>
      <c r="G27" s="10"/>
      <c r="H27" s="10"/>
      <c r="I27" s="10"/>
      <c r="L27" s="9">
        <v>43920</v>
      </c>
      <c r="M27" s="24">
        <f>M24-M23</f>
        <v>168</v>
      </c>
      <c r="N27" s="12">
        <v>2340</v>
      </c>
    </row>
    <row r="28" spans="1:14" ht="15.75" thickBot="1">
      <c r="A28" s="9">
        <v>43921</v>
      </c>
      <c r="B28" s="10"/>
      <c r="C28" s="10"/>
      <c r="D28" s="10"/>
      <c r="E28" s="10"/>
      <c r="F28" s="10"/>
      <c r="G28" s="10"/>
      <c r="H28" s="10"/>
      <c r="I28" s="10"/>
      <c r="L28" s="9">
        <v>43921</v>
      </c>
      <c r="M28" s="23"/>
      <c r="N28" s="12">
        <v>2340</v>
      </c>
    </row>
    <row r="29" spans="1:14" ht="15.75" thickBot="1">
      <c r="A29" s="468" t="s">
        <v>22</v>
      </c>
      <c r="B29" s="476"/>
      <c r="C29" s="476"/>
      <c r="D29" s="476"/>
      <c r="E29" s="476"/>
      <c r="F29" s="476"/>
      <c r="G29" s="476"/>
      <c r="H29" s="476"/>
      <c r="I29" s="476"/>
      <c r="J29" s="470"/>
      <c r="L29" s="468" t="s">
        <v>23</v>
      </c>
      <c r="M29" s="476"/>
      <c r="N29" s="477"/>
    </row>
    <row r="30" spans="1:14" ht="24.75" thickBot="1">
      <c r="A30" s="2" t="s">
        <v>2</v>
      </c>
      <c r="B30" s="3" t="s">
        <v>3</v>
      </c>
      <c r="C30" s="3" t="s">
        <v>4</v>
      </c>
      <c r="D30" s="3" t="s">
        <v>5</v>
      </c>
      <c r="E30" s="3" t="s">
        <v>6</v>
      </c>
      <c r="F30" s="3" t="s">
        <v>7</v>
      </c>
      <c r="G30" s="3" t="s">
        <v>8</v>
      </c>
      <c r="H30" s="4" t="s">
        <v>9</v>
      </c>
      <c r="I30" s="5" t="s">
        <v>10</v>
      </c>
      <c r="J30" s="5" t="s">
        <v>18</v>
      </c>
      <c r="L30" s="2" t="s">
        <v>2</v>
      </c>
      <c r="M30" s="3" t="s">
        <v>11</v>
      </c>
      <c r="N30" s="5" t="s">
        <v>12</v>
      </c>
    </row>
    <row r="31" spans="1:14">
      <c r="A31" s="2"/>
      <c r="B31" s="7" t="s">
        <v>13</v>
      </c>
      <c r="C31" s="7" t="s">
        <v>13</v>
      </c>
      <c r="D31" s="7" t="s">
        <v>13</v>
      </c>
      <c r="E31" s="7" t="s">
        <v>13</v>
      </c>
      <c r="F31" s="7" t="s">
        <v>13</v>
      </c>
      <c r="G31" s="7" t="s">
        <v>13</v>
      </c>
      <c r="H31" s="7" t="s">
        <v>13</v>
      </c>
      <c r="I31" s="7" t="s">
        <v>13</v>
      </c>
      <c r="J31" s="7" t="s">
        <v>13</v>
      </c>
      <c r="L31" s="2"/>
      <c r="M31" s="7" t="s">
        <v>14</v>
      </c>
      <c r="N31" s="7" t="s">
        <v>15</v>
      </c>
    </row>
    <row r="32" spans="1:14">
      <c r="A32" s="9">
        <v>43891</v>
      </c>
      <c r="B32" s="10">
        <f>B4-65588</f>
        <v>192</v>
      </c>
      <c r="C32" s="10">
        <f>C4-115205</f>
        <v>4512</v>
      </c>
      <c r="D32" s="10">
        <f>D4-198300</f>
        <v>2912</v>
      </c>
      <c r="E32" s="10">
        <v>90</v>
      </c>
      <c r="F32" s="10">
        <f>F4-1139283</f>
        <v>1742</v>
      </c>
      <c r="G32" s="10">
        <f>G4-6879153</f>
        <v>6852</v>
      </c>
      <c r="H32" s="11">
        <f>H4-100248</f>
        <v>3921</v>
      </c>
      <c r="I32" s="12">
        <f>I4-49158</f>
        <v>121</v>
      </c>
      <c r="J32" s="12">
        <f>SUM(B32:I32)</f>
        <v>20342</v>
      </c>
      <c r="L32" s="9">
        <v>43891</v>
      </c>
      <c r="M32" s="10">
        <v>25</v>
      </c>
      <c r="N32" s="12">
        <v>0</v>
      </c>
    </row>
    <row r="33" spans="1:14">
      <c r="A33" s="9">
        <v>43892</v>
      </c>
      <c r="B33" s="10">
        <f t="shared" ref="B33:I36" si="0">B5-B4</f>
        <v>178</v>
      </c>
      <c r="C33" s="10">
        <f t="shared" si="0"/>
        <v>5215</v>
      </c>
      <c r="D33" s="10">
        <f t="shared" si="0"/>
        <v>2749</v>
      </c>
      <c r="E33" s="10">
        <f t="shared" si="0"/>
        <v>91</v>
      </c>
      <c r="F33" s="10">
        <f t="shared" si="0"/>
        <v>1850</v>
      </c>
      <c r="G33" s="10">
        <f t="shared" si="0"/>
        <v>6578</v>
      </c>
      <c r="H33" s="11">
        <f t="shared" si="0"/>
        <v>4312</v>
      </c>
      <c r="I33" s="12">
        <f t="shared" si="0"/>
        <v>124</v>
      </c>
      <c r="J33" s="12">
        <f t="shared" ref="J33:J56" si="1">SUM(B33:I33)</f>
        <v>21097</v>
      </c>
      <c r="L33" s="9">
        <v>43892</v>
      </c>
      <c r="M33" s="10">
        <v>27</v>
      </c>
      <c r="N33" s="12">
        <v>0</v>
      </c>
    </row>
    <row r="34" spans="1:14">
      <c r="A34" s="9">
        <v>43893</v>
      </c>
      <c r="B34" s="10">
        <f t="shared" si="0"/>
        <v>177</v>
      </c>
      <c r="C34" s="10">
        <f t="shared" si="0"/>
        <v>5628</v>
      </c>
      <c r="D34" s="10">
        <f t="shared" si="0"/>
        <v>2717</v>
      </c>
      <c r="E34" s="10">
        <f t="shared" si="0"/>
        <v>92</v>
      </c>
      <c r="F34" s="10">
        <f t="shared" si="0"/>
        <v>1832</v>
      </c>
      <c r="G34" s="10">
        <f t="shared" si="0"/>
        <v>6744</v>
      </c>
      <c r="H34" s="11">
        <f t="shared" si="0"/>
        <v>4273</v>
      </c>
      <c r="I34" s="12">
        <f t="shared" si="0"/>
        <v>128</v>
      </c>
      <c r="J34" s="12">
        <f t="shared" si="1"/>
        <v>21591</v>
      </c>
      <c r="L34" s="9">
        <v>43893</v>
      </c>
      <c r="M34" s="10">
        <v>31</v>
      </c>
      <c r="N34" s="12">
        <v>0</v>
      </c>
    </row>
    <row r="35" spans="1:14">
      <c r="A35" s="9">
        <v>43894</v>
      </c>
      <c r="B35" s="10">
        <f t="shared" si="0"/>
        <v>168</v>
      </c>
      <c r="C35" s="10">
        <f t="shared" si="0"/>
        <v>5895</v>
      </c>
      <c r="D35" s="10">
        <f t="shared" si="0"/>
        <v>2554</v>
      </c>
      <c r="E35" s="10">
        <f t="shared" si="0"/>
        <v>90</v>
      </c>
      <c r="F35" s="10">
        <f t="shared" si="0"/>
        <v>1438</v>
      </c>
      <c r="G35" s="10">
        <f t="shared" si="0"/>
        <v>6429</v>
      </c>
      <c r="H35" s="11">
        <f t="shared" si="0"/>
        <v>4036</v>
      </c>
      <c r="I35" s="12">
        <f t="shared" si="0"/>
        <v>121</v>
      </c>
      <c r="J35" s="12">
        <f t="shared" si="1"/>
        <v>20731</v>
      </c>
      <c r="L35" s="9">
        <v>43894</v>
      </c>
      <c r="M35" s="10">
        <v>25</v>
      </c>
      <c r="N35" s="12">
        <v>0</v>
      </c>
    </row>
    <row r="36" spans="1:14">
      <c r="A36" s="9">
        <v>43895</v>
      </c>
      <c r="B36" s="10">
        <f t="shared" si="0"/>
        <v>175</v>
      </c>
      <c r="C36" s="10">
        <f t="shared" si="0"/>
        <v>5839</v>
      </c>
      <c r="D36" s="10">
        <f t="shared" si="0"/>
        <v>2899</v>
      </c>
      <c r="E36" s="10">
        <f t="shared" si="0"/>
        <v>95</v>
      </c>
      <c r="F36" s="10">
        <f t="shared" si="0"/>
        <v>1419</v>
      </c>
      <c r="G36" s="10">
        <f t="shared" si="0"/>
        <v>6512</v>
      </c>
      <c r="H36" s="11">
        <f t="shared" si="0"/>
        <v>4485</v>
      </c>
      <c r="I36" s="12">
        <f t="shared" si="0"/>
        <v>106</v>
      </c>
      <c r="J36" s="12">
        <f t="shared" si="1"/>
        <v>21530</v>
      </c>
      <c r="L36" s="9">
        <v>43895</v>
      </c>
      <c r="M36" s="10">
        <v>25</v>
      </c>
      <c r="N36" s="12">
        <v>0</v>
      </c>
    </row>
    <row r="37" spans="1:14">
      <c r="A37" s="9">
        <v>43896</v>
      </c>
      <c r="B37" s="10">
        <v>171</v>
      </c>
      <c r="C37" s="10">
        <v>5635</v>
      </c>
      <c r="D37" s="10">
        <v>3120</v>
      </c>
      <c r="E37" s="10">
        <v>93</v>
      </c>
      <c r="F37" s="10">
        <v>1722</v>
      </c>
      <c r="G37" s="10">
        <v>6094</v>
      </c>
      <c r="H37" s="11">
        <v>4444</v>
      </c>
      <c r="I37" s="12">
        <v>104</v>
      </c>
      <c r="J37" s="12">
        <f t="shared" si="1"/>
        <v>21383</v>
      </c>
      <c r="K37" s="25"/>
      <c r="L37" s="9">
        <v>43896</v>
      </c>
      <c r="M37" s="10">
        <v>0</v>
      </c>
      <c r="N37" s="12">
        <v>0</v>
      </c>
    </row>
    <row r="38" spans="1:14">
      <c r="A38" s="9">
        <v>43897</v>
      </c>
      <c r="B38" s="10">
        <v>171</v>
      </c>
      <c r="C38" s="10">
        <v>5635</v>
      </c>
      <c r="D38" s="10">
        <v>3120</v>
      </c>
      <c r="E38" s="10">
        <v>93</v>
      </c>
      <c r="F38" s="10">
        <v>1722</v>
      </c>
      <c r="G38" s="10">
        <v>6094</v>
      </c>
      <c r="H38" s="11">
        <v>4444</v>
      </c>
      <c r="I38" s="12">
        <v>104</v>
      </c>
      <c r="J38" s="12">
        <f t="shared" si="1"/>
        <v>21383</v>
      </c>
      <c r="K38" s="25"/>
      <c r="L38" s="9">
        <v>43897</v>
      </c>
      <c r="M38" s="10">
        <v>0</v>
      </c>
      <c r="N38" s="12">
        <v>0</v>
      </c>
    </row>
    <row r="39" spans="1:14">
      <c r="A39" s="9">
        <v>43898</v>
      </c>
      <c r="B39" s="10">
        <v>171</v>
      </c>
      <c r="C39" s="10">
        <v>5635</v>
      </c>
      <c r="D39" s="10">
        <v>3120</v>
      </c>
      <c r="E39" s="10">
        <v>93</v>
      </c>
      <c r="F39" s="10">
        <v>1722</v>
      </c>
      <c r="G39" s="10">
        <v>6094</v>
      </c>
      <c r="H39" s="11">
        <v>4444</v>
      </c>
      <c r="I39" s="12">
        <v>104</v>
      </c>
      <c r="J39" s="12">
        <f t="shared" si="1"/>
        <v>21383</v>
      </c>
      <c r="K39" s="25"/>
      <c r="L39" s="9">
        <v>43898</v>
      </c>
      <c r="M39" s="10">
        <f>M9-M8</f>
        <v>29</v>
      </c>
      <c r="N39" s="12">
        <v>0</v>
      </c>
    </row>
    <row r="40" spans="1:14">
      <c r="A40" s="9">
        <v>43899</v>
      </c>
      <c r="B40" s="10">
        <f t="shared" ref="B40:I43" si="2">B10-B9</f>
        <v>170</v>
      </c>
      <c r="C40" s="10">
        <f t="shared" si="2"/>
        <v>5504</v>
      </c>
      <c r="D40" s="10">
        <f t="shared" si="2"/>
        <v>3200</v>
      </c>
      <c r="E40" s="10">
        <f t="shared" si="2"/>
        <v>90</v>
      </c>
      <c r="F40" s="10">
        <f t="shared" si="2"/>
        <v>1758</v>
      </c>
      <c r="G40" s="10">
        <f t="shared" si="2"/>
        <v>5601</v>
      </c>
      <c r="H40" s="11">
        <f t="shared" si="2"/>
        <v>4056</v>
      </c>
      <c r="I40" s="12">
        <f t="shared" si="2"/>
        <v>127</v>
      </c>
      <c r="J40" s="12">
        <f t="shared" si="1"/>
        <v>20506</v>
      </c>
      <c r="K40" s="25"/>
      <c r="L40" s="9">
        <v>43899</v>
      </c>
      <c r="M40" s="10">
        <f>M10-M9</f>
        <v>29</v>
      </c>
      <c r="N40" s="12">
        <v>0</v>
      </c>
    </row>
    <row r="41" spans="1:14">
      <c r="A41" s="9">
        <v>43900</v>
      </c>
      <c r="B41" s="10">
        <f t="shared" si="2"/>
        <v>173</v>
      </c>
      <c r="C41" s="10">
        <f t="shared" si="2"/>
        <v>5650</v>
      </c>
      <c r="D41" s="10">
        <f t="shared" si="2"/>
        <v>3182</v>
      </c>
      <c r="E41" s="10">
        <f t="shared" si="2"/>
        <v>91</v>
      </c>
      <c r="F41" s="10">
        <f t="shared" si="2"/>
        <v>1793</v>
      </c>
      <c r="G41" s="10">
        <f t="shared" si="2"/>
        <v>6231</v>
      </c>
      <c r="H41" s="11">
        <f t="shared" si="2"/>
        <v>4115</v>
      </c>
      <c r="I41" s="12">
        <f t="shared" si="2"/>
        <v>139</v>
      </c>
      <c r="J41" s="12">
        <f t="shared" si="1"/>
        <v>21374</v>
      </c>
      <c r="K41" s="25"/>
      <c r="L41" s="9">
        <v>43900</v>
      </c>
      <c r="M41" s="10">
        <f>M11-M10</f>
        <v>131</v>
      </c>
      <c r="N41" s="12">
        <v>0</v>
      </c>
    </row>
    <row r="42" spans="1:14">
      <c r="A42" s="9">
        <v>43901</v>
      </c>
      <c r="B42" s="10">
        <f t="shared" si="2"/>
        <v>174</v>
      </c>
      <c r="C42" s="10">
        <f t="shared" si="2"/>
        <v>5245</v>
      </c>
      <c r="D42" s="10">
        <f t="shared" si="2"/>
        <v>3173</v>
      </c>
      <c r="E42" s="10">
        <f t="shared" si="2"/>
        <v>91</v>
      </c>
      <c r="F42" s="10">
        <f t="shared" si="2"/>
        <v>1892</v>
      </c>
      <c r="G42" s="10">
        <f t="shared" si="2"/>
        <v>6468</v>
      </c>
      <c r="H42" s="11">
        <f t="shared" si="2"/>
        <v>4094</v>
      </c>
      <c r="I42" s="12">
        <f t="shared" si="2"/>
        <v>129</v>
      </c>
      <c r="J42" s="12">
        <f t="shared" si="1"/>
        <v>21266</v>
      </c>
      <c r="K42" s="25"/>
      <c r="L42" s="9">
        <v>43901</v>
      </c>
      <c r="M42" s="10">
        <f>M12-M11</f>
        <v>53</v>
      </c>
      <c r="N42" s="12">
        <v>0</v>
      </c>
    </row>
    <row r="43" spans="1:14">
      <c r="A43" s="9">
        <v>43902</v>
      </c>
      <c r="B43" s="10">
        <f t="shared" si="2"/>
        <v>168</v>
      </c>
      <c r="C43" s="10">
        <f t="shared" si="2"/>
        <v>5998</v>
      </c>
      <c r="D43" s="10">
        <f t="shared" si="2"/>
        <v>3066</v>
      </c>
      <c r="E43" s="10">
        <f t="shared" si="2"/>
        <v>89</v>
      </c>
      <c r="F43" s="10">
        <f t="shared" si="2"/>
        <v>2153</v>
      </c>
      <c r="G43" s="10">
        <f t="shared" si="2"/>
        <v>6568</v>
      </c>
      <c r="H43" s="11">
        <f t="shared" si="2"/>
        <v>4078</v>
      </c>
      <c r="I43" s="12">
        <f t="shared" si="2"/>
        <v>123</v>
      </c>
      <c r="J43" s="12">
        <f t="shared" si="1"/>
        <v>22243</v>
      </c>
      <c r="K43" s="25"/>
      <c r="L43" s="9">
        <v>43902</v>
      </c>
      <c r="M43" s="10">
        <f>M13-M12</f>
        <v>136</v>
      </c>
      <c r="N43" s="12">
        <v>0</v>
      </c>
    </row>
    <row r="44" spans="1:14">
      <c r="A44" s="9">
        <v>43903</v>
      </c>
      <c r="B44" s="10">
        <v>174</v>
      </c>
      <c r="C44" s="10">
        <v>5740</v>
      </c>
      <c r="D44" s="10">
        <v>3170</v>
      </c>
      <c r="E44" s="10">
        <v>2797</v>
      </c>
      <c r="F44" s="10">
        <v>1451</v>
      </c>
      <c r="G44" s="10">
        <v>6835</v>
      </c>
      <c r="H44" s="11">
        <v>4286</v>
      </c>
      <c r="I44" s="12">
        <v>129</v>
      </c>
      <c r="J44" s="12">
        <v>24583</v>
      </c>
      <c r="K44" s="25"/>
      <c r="L44" s="9">
        <v>43903</v>
      </c>
      <c r="M44" s="10">
        <v>0</v>
      </c>
      <c r="N44" s="12">
        <v>0</v>
      </c>
    </row>
    <row r="45" spans="1:14">
      <c r="A45" s="9">
        <v>43904</v>
      </c>
      <c r="B45" s="10">
        <v>174</v>
      </c>
      <c r="C45" s="10">
        <v>5740</v>
      </c>
      <c r="D45" s="10">
        <v>3170</v>
      </c>
      <c r="E45" s="10">
        <v>2797</v>
      </c>
      <c r="F45" s="10">
        <v>1451</v>
      </c>
      <c r="G45" s="10">
        <v>6835</v>
      </c>
      <c r="H45" s="11">
        <v>4286</v>
      </c>
      <c r="I45" s="12">
        <v>129</v>
      </c>
      <c r="J45" s="12">
        <v>24583</v>
      </c>
      <c r="K45" s="25"/>
      <c r="L45" s="9">
        <v>43904</v>
      </c>
      <c r="M45" s="10">
        <v>0</v>
      </c>
      <c r="N45" s="12">
        <v>0</v>
      </c>
    </row>
    <row r="46" spans="1:14">
      <c r="A46" s="9">
        <v>43905</v>
      </c>
      <c r="B46" s="10">
        <v>174</v>
      </c>
      <c r="C46" s="10">
        <v>5740</v>
      </c>
      <c r="D46" s="10">
        <v>3170</v>
      </c>
      <c r="E46" s="10">
        <v>2797</v>
      </c>
      <c r="F46" s="10">
        <v>1451</v>
      </c>
      <c r="G46" s="10">
        <v>6835</v>
      </c>
      <c r="H46" s="11">
        <v>4286</v>
      </c>
      <c r="I46" s="12">
        <v>129</v>
      </c>
      <c r="J46" s="12">
        <v>24583</v>
      </c>
      <c r="K46" s="25"/>
      <c r="L46" s="9">
        <v>43905</v>
      </c>
      <c r="M46" s="10">
        <f>M14-M13</f>
        <v>76</v>
      </c>
      <c r="N46" s="12">
        <v>0</v>
      </c>
    </row>
    <row r="47" spans="1:14">
      <c r="A47" s="9">
        <v>43906</v>
      </c>
      <c r="B47" s="10">
        <f t="shared" ref="B47:I50" si="3">B15-B14</f>
        <v>173</v>
      </c>
      <c r="C47" s="10">
        <f t="shared" si="3"/>
        <v>5518</v>
      </c>
      <c r="D47" s="10">
        <f t="shared" si="3"/>
        <v>2991</v>
      </c>
      <c r="E47" s="10">
        <f t="shared" si="3"/>
        <v>7154</v>
      </c>
      <c r="F47" s="10">
        <f t="shared" si="3"/>
        <v>0</v>
      </c>
      <c r="G47" s="10">
        <f t="shared" si="3"/>
        <v>6626</v>
      </c>
      <c r="H47" s="11">
        <f t="shared" si="3"/>
        <v>4372</v>
      </c>
      <c r="I47" s="12">
        <f t="shared" si="3"/>
        <v>137</v>
      </c>
      <c r="J47" s="12">
        <f t="shared" si="1"/>
        <v>26971</v>
      </c>
      <c r="K47" s="25"/>
      <c r="L47" s="9">
        <v>43906</v>
      </c>
      <c r="M47" s="10">
        <f>M15-M14</f>
        <v>83</v>
      </c>
      <c r="N47" s="12">
        <v>0</v>
      </c>
    </row>
    <row r="48" spans="1:14">
      <c r="A48" s="9">
        <v>43907</v>
      </c>
      <c r="B48" s="10">
        <f t="shared" si="3"/>
        <v>179</v>
      </c>
      <c r="C48" s="10">
        <f t="shared" si="3"/>
        <v>5775</v>
      </c>
      <c r="D48" s="10">
        <f t="shared" si="3"/>
        <v>3108</v>
      </c>
      <c r="E48" s="10">
        <f t="shared" si="3"/>
        <v>7625</v>
      </c>
      <c r="F48" s="10">
        <f t="shared" si="3"/>
        <v>0</v>
      </c>
      <c r="G48" s="10">
        <f t="shared" si="3"/>
        <v>386</v>
      </c>
      <c r="H48" s="11">
        <f t="shared" si="3"/>
        <v>4853</v>
      </c>
      <c r="I48" s="12">
        <f t="shared" si="3"/>
        <v>146</v>
      </c>
      <c r="J48" s="12">
        <f t="shared" si="1"/>
        <v>22072</v>
      </c>
      <c r="K48" s="25"/>
      <c r="L48" s="9">
        <v>43907</v>
      </c>
      <c r="M48" s="10">
        <f>M16-M15</f>
        <v>63</v>
      </c>
      <c r="N48" s="12">
        <v>0</v>
      </c>
    </row>
    <row r="49" spans="1:14">
      <c r="A49" s="9">
        <v>43908</v>
      </c>
      <c r="B49" s="10">
        <f t="shared" si="3"/>
        <v>180</v>
      </c>
      <c r="C49" s="10">
        <f t="shared" si="3"/>
        <v>6690</v>
      </c>
      <c r="D49" s="10">
        <f t="shared" si="3"/>
        <v>3497</v>
      </c>
      <c r="E49" s="10">
        <f t="shared" si="3"/>
        <v>8636</v>
      </c>
      <c r="F49" s="10">
        <f t="shared" si="3"/>
        <v>0</v>
      </c>
      <c r="G49" s="10">
        <f t="shared" si="3"/>
        <v>13322</v>
      </c>
      <c r="H49" s="11">
        <f t="shared" si="3"/>
        <v>5387</v>
      </c>
      <c r="I49" s="12">
        <f t="shared" si="3"/>
        <v>144</v>
      </c>
      <c r="J49" s="12">
        <f t="shared" si="1"/>
        <v>37856</v>
      </c>
      <c r="K49" s="25"/>
      <c r="L49" s="9">
        <v>43908</v>
      </c>
      <c r="M49" s="10">
        <f>M17-M16</f>
        <v>42</v>
      </c>
      <c r="N49" s="12">
        <v>0</v>
      </c>
    </row>
    <row r="50" spans="1:14">
      <c r="A50" s="9">
        <v>43909</v>
      </c>
      <c r="B50" s="10">
        <f t="shared" si="3"/>
        <v>175</v>
      </c>
      <c r="C50" s="10">
        <f t="shared" si="3"/>
        <v>4833</v>
      </c>
      <c r="D50" s="10">
        <f t="shared" si="3"/>
        <v>2525</v>
      </c>
      <c r="E50" s="10">
        <f t="shared" si="3"/>
        <v>6162</v>
      </c>
      <c r="F50" s="10">
        <f t="shared" si="3"/>
        <v>0</v>
      </c>
      <c r="G50" s="10">
        <f t="shared" si="3"/>
        <v>4987</v>
      </c>
      <c r="H50" s="11">
        <f t="shared" si="3"/>
        <v>4302</v>
      </c>
      <c r="I50" s="12">
        <f t="shared" si="3"/>
        <v>109</v>
      </c>
      <c r="J50" s="12">
        <f t="shared" si="1"/>
        <v>23093</v>
      </c>
      <c r="K50" s="25"/>
      <c r="L50" s="9">
        <v>43909</v>
      </c>
      <c r="M50" s="10">
        <f>M18-M17</f>
        <v>42</v>
      </c>
      <c r="N50" s="12">
        <v>0</v>
      </c>
    </row>
    <row r="51" spans="1:14">
      <c r="A51" s="9">
        <v>43910</v>
      </c>
      <c r="B51" s="10">
        <v>176</v>
      </c>
      <c r="C51" s="10">
        <v>5997</v>
      </c>
      <c r="D51" s="10">
        <v>3125</v>
      </c>
      <c r="E51" s="10">
        <v>7540</v>
      </c>
      <c r="F51" s="10">
        <v>0</v>
      </c>
      <c r="G51" s="10">
        <v>6942</v>
      </c>
      <c r="H51" s="11">
        <v>4945</v>
      </c>
      <c r="I51" s="12">
        <v>131</v>
      </c>
      <c r="J51" s="12">
        <v>28854</v>
      </c>
      <c r="K51" s="25"/>
      <c r="L51" s="9">
        <v>43910</v>
      </c>
      <c r="M51" s="10">
        <v>0</v>
      </c>
      <c r="N51" s="12">
        <v>0</v>
      </c>
    </row>
    <row r="52" spans="1:14">
      <c r="A52" s="9">
        <v>43911</v>
      </c>
      <c r="B52" s="10">
        <v>176</v>
      </c>
      <c r="C52" s="10">
        <v>5997</v>
      </c>
      <c r="D52" s="10">
        <v>3125</v>
      </c>
      <c r="E52" s="10">
        <v>7540</v>
      </c>
      <c r="F52" s="10">
        <v>0</v>
      </c>
      <c r="G52" s="10">
        <v>6942</v>
      </c>
      <c r="H52" s="11">
        <v>4945</v>
      </c>
      <c r="I52" s="12">
        <v>131</v>
      </c>
      <c r="J52" s="12">
        <v>28854</v>
      </c>
      <c r="K52" s="25"/>
      <c r="L52" s="9">
        <v>43911</v>
      </c>
      <c r="M52" s="10">
        <f>M19-M18</f>
        <v>50</v>
      </c>
      <c r="N52" s="12">
        <v>0</v>
      </c>
    </row>
    <row r="53" spans="1:14">
      <c r="A53" s="9">
        <v>43912</v>
      </c>
      <c r="B53" s="10">
        <f t="shared" ref="B53:I56" si="4">B20-B19</f>
        <v>169</v>
      </c>
      <c r="C53" s="10">
        <f t="shared" si="4"/>
        <v>5643</v>
      </c>
      <c r="D53" s="10">
        <f t="shared" si="4"/>
        <v>3079</v>
      </c>
      <c r="E53" s="10">
        <f t="shared" si="4"/>
        <v>7265</v>
      </c>
      <c r="F53" s="10">
        <f t="shared" si="4"/>
        <v>0</v>
      </c>
      <c r="G53" s="10">
        <f t="shared" si="4"/>
        <v>6334</v>
      </c>
      <c r="H53" s="11">
        <f t="shared" si="4"/>
        <v>4343</v>
      </c>
      <c r="I53" s="12">
        <f t="shared" si="4"/>
        <v>144</v>
      </c>
      <c r="J53" s="12">
        <f t="shared" si="1"/>
        <v>26977</v>
      </c>
      <c r="K53" s="25"/>
      <c r="L53" s="9">
        <v>43912</v>
      </c>
      <c r="M53" s="10">
        <f>M20-M19</f>
        <v>130</v>
      </c>
      <c r="N53" s="12">
        <v>0</v>
      </c>
    </row>
    <row r="54" spans="1:14">
      <c r="A54" s="9">
        <v>43913</v>
      </c>
      <c r="B54" s="10">
        <f t="shared" si="4"/>
        <v>188</v>
      </c>
      <c r="C54" s="10">
        <f t="shared" si="4"/>
        <v>6190</v>
      </c>
      <c r="D54" s="10">
        <f t="shared" si="4"/>
        <v>3501</v>
      </c>
      <c r="E54" s="10">
        <f t="shared" si="4"/>
        <v>6385</v>
      </c>
      <c r="F54" s="10">
        <f t="shared" si="4"/>
        <v>0</v>
      </c>
      <c r="G54" s="10">
        <f t="shared" si="4"/>
        <v>6783</v>
      </c>
      <c r="H54" s="11">
        <f t="shared" si="4"/>
        <v>5049</v>
      </c>
      <c r="I54" s="12">
        <f t="shared" si="4"/>
        <v>158</v>
      </c>
      <c r="J54" s="12">
        <f t="shared" si="1"/>
        <v>28254</v>
      </c>
      <c r="K54" s="25"/>
      <c r="L54" s="9">
        <v>43913</v>
      </c>
      <c r="M54" s="10">
        <f>M21-M20</f>
        <v>144</v>
      </c>
      <c r="N54" s="12">
        <v>0</v>
      </c>
    </row>
    <row r="55" spans="1:14">
      <c r="A55" s="9">
        <v>43914</v>
      </c>
      <c r="B55" s="10">
        <f t="shared" si="4"/>
        <v>186</v>
      </c>
      <c r="C55" s="10">
        <f t="shared" si="4"/>
        <v>6127</v>
      </c>
      <c r="D55" s="10">
        <f t="shared" si="4"/>
        <v>3055</v>
      </c>
      <c r="E55" s="10">
        <f t="shared" si="4"/>
        <v>5017</v>
      </c>
      <c r="F55" s="10">
        <f t="shared" si="4"/>
        <v>0</v>
      </c>
      <c r="G55" s="10">
        <f t="shared" si="4"/>
        <v>6503</v>
      </c>
      <c r="H55" s="11">
        <f t="shared" si="4"/>
        <v>5262</v>
      </c>
      <c r="I55" s="12">
        <f t="shared" si="4"/>
        <v>155</v>
      </c>
      <c r="J55" s="12">
        <f t="shared" si="1"/>
        <v>26305</v>
      </c>
      <c r="K55" s="25"/>
      <c r="L55" s="9">
        <v>43914</v>
      </c>
      <c r="M55" s="10">
        <f>M22-M21</f>
        <v>94</v>
      </c>
      <c r="N55" s="12">
        <v>0</v>
      </c>
    </row>
    <row r="56" spans="1:14">
      <c r="A56" s="9">
        <v>43915</v>
      </c>
      <c r="B56" s="10">
        <f t="shared" si="4"/>
        <v>175</v>
      </c>
      <c r="C56" s="10">
        <f t="shared" si="4"/>
        <v>5951</v>
      </c>
      <c r="D56" s="10">
        <f t="shared" si="4"/>
        <v>2996</v>
      </c>
      <c r="E56" s="10">
        <f t="shared" si="4"/>
        <v>4851</v>
      </c>
      <c r="F56" s="10">
        <f t="shared" si="4"/>
        <v>0</v>
      </c>
      <c r="G56" s="10">
        <f t="shared" si="4"/>
        <v>6644</v>
      </c>
      <c r="H56" s="11">
        <f t="shared" si="4"/>
        <v>5318</v>
      </c>
      <c r="I56" s="12">
        <f t="shared" si="4"/>
        <v>152</v>
      </c>
      <c r="J56" s="12">
        <f t="shared" si="1"/>
        <v>26087</v>
      </c>
      <c r="L56" s="9">
        <v>43915</v>
      </c>
      <c r="M56" s="10">
        <f>M23-M22</f>
        <v>78</v>
      </c>
      <c r="N56" s="12">
        <v>0</v>
      </c>
    </row>
    <row r="57" spans="1:14">
      <c r="A57" s="9">
        <v>43916</v>
      </c>
      <c r="B57" s="10">
        <v>184</v>
      </c>
      <c r="C57" s="10">
        <v>6231</v>
      </c>
      <c r="D57" s="10">
        <v>3094</v>
      </c>
      <c r="E57" s="10">
        <v>6704</v>
      </c>
      <c r="F57" s="10">
        <v>0</v>
      </c>
      <c r="G57" s="10">
        <v>7451</v>
      </c>
      <c r="H57" s="11">
        <v>5525</v>
      </c>
      <c r="I57" s="12">
        <v>147</v>
      </c>
      <c r="J57" s="12">
        <f>SUM(B57:I57)</f>
        <v>29336</v>
      </c>
      <c r="L57" s="9">
        <v>43916</v>
      </c>
      <c r="M57" s="10">
        <v>168</v>
      </c>
      <c r="N57" s="12">
        <v>0</v>
      </c>
    </row>
    <row r="58" spans="1:14">
      <c r="A58" s="9">
        <v>43917</v>
      </c>
      <c r="B58" s="10">
        <v>178</v>
      </c>
      <c r="C58" s="10">
        <v>5920</v>
      </c>
      <c r="D58" s="10">
        <v>2781</v>
      </c>
      <c r="E58" s="10">
        <v>6295</v>
      </c>
      <c r="F58" s="10">
        <v>185</v>
      </c>
      <c r="G58" s="10">
        <v>6675</v>
      </c>
      <c r="H58" s="11">
        <v>5452</v>
      </c>
      <c r="I58" s="12">
        <v>132</v>
      </c>
      <c r="J58" s="12">
        <f>SUM(B58:I58)</f>
        <v>27618</v>
      </c>
      <c r="L58" s="9">
        <v>43917</v>
      </c>
      <c r="M58" s="10">
        <v>61</v>
      </c>
      <c r="N58" s="12">
        <v>0</v>
      </c>
    </row>
    <row r="59" spans="1:14">
      <c r="A59" s="9">
        <v>43918</v>
      </c>
      <c r="B59" s="10">
        <v>178</v>
      </c>
      <c r="C59" s="10">
        <v>5920</v>
      </c>
      <c r="D59" s="10">
        <v>2781</v>
      </c>
      <c r="E59" s="10">
        <v>6295</v>
      </c>
      <c r="F59" s="10">
        <v>185</v>
      </c>
      <c r="G59" s="10">
        <v>6675</v>
      </c>
      <c r="H59" s="11">
        <v>5452</v>
      </c>
      <c r="I59" s="12">
        <v>132</v>
      </c>
      <c r="J59" s="12">
        <f>SUM(B59:I59)</f>
        <v>27618</v>
      </c>
      <c r="L59" s="9">
        <v>43918</v>
      </c>
      <c r="M59" s="10">
        <v>61</v>
      </c>
      <c r="N59" s="12">
        <v>0</v>
      </c>
    </row>
    <row r="60" spans="1:14" ht="15.75">
      <c r="A60" s="9">
        <v>43919</v>
      </c>
      <c r="B60" s="10"/>
      <c r="C60" s="10"/>
      <c r="D60" s="10"/>
      <c r="E60" s="10"/>
      <c r="F60" s="10"/>
      <c r="G60" s="10"/>
      <c r="H60" s="11"/>
      <c r="I60" s="12"/>
      <c r="J60" s="19"/>
      <c r="L60" s="9">
        <v>43919</v>
      </c>
      <c r="M60" s="10"/>
      <c r="N60" s="12">
        <v>0</v>
      </c>
    </row>
    <row r="61" spans="1:14" ht="15.75">
      <c r="A61" s="9">
        <v>43920</v>
      </c>
      <c r="B61" s="10"/>
      <c r="C61" s="10"/>
      <c r="D61" s="10"/>
      <c r="E61" s="10"/>
      <c r="F61" s="10"/>
      <c r="G61" s="10"/>
      <c r="H61" s="11"/>
      <c r="I61" s="12"/>
      <c r="J61" s="19"/>
      <c r="L61" s="9">
        <v>43920</v>
      </c>
      <c r="M61" s="10"/>
      <c r="N61" s="12">
        <v>0</v>
      </c>
    </row>
    <row r="62" spans="1:14" ht="15.75">
      <c r="A62" s="9">
        <v>43921</v>
      </c>
      <c r="B62" s="10"/>
      <c r="C62" s="10"/>
      <c r="D62" s="10"/>
      <c r="E62" s="10"/>
      <c r="F62" s="10"/>
      <c r="G62" s="10"/>
      <c r="H62" s="11"/>
      <c r="I62" s="12"/>
      <c r="J62" s="19"/>
      <c r="L62" s="9">
        <v>43921</v>
      </c>
      <c r="M62" s="10"/>
      <c r="N62" s="12">
        <v>0</v>
      </c>
    </row>
    <row r="63" spans="1:14">
      <c r="A63" s="471"/>
      <c r="B63" s="471"/>
      <c r="C63" s="471"/>
      <c r="D63" s="471"/>
      <c r="E63" s="471"/>
      <c r="F63" s="471"/>
      <c r="G63" s="471"/>
      <c r="H63" s="471"/>
      <c r="I63" s="471"/>
      <c r="J63" s="471"/>
      <c r="K63" s="471"/>
      <c r="L63" s="471"/>
      <c r="M63" s="471"/>
      <c r="N63" s="471"/>
    </row>
    <row r="64" spans="1:14" ht="60">
      <c r="A64" s="26" t="s">
        <v>24</v>
      </c>
      <c r="B64" s="27" t="s">
        <v>25</v>
      </c>
      <c r="C64" s="28" t="s">
        <v>26</v>
      </c>
      <c r="D64" s="27" t="s">
        <v>27</v>
      </c>
    </row>
    <row r="65" spans="1:4" ht="15.75">
      <c r="A65" s="9">
        <v>43891</v>
      </c>
      <c r="B65" s="29">
        <v>20342</v>
      </c>
      <c r="C65" s="10">
        <v>25</v>
      </c>
      <c r="D65" s="21">
        <v>0</v>
      </c>
    </row>
    <row r="66" spans="1:4" ht="15.75">
      <c r="A66" s="9">
        <v>43892</v>
      </c>
      <c r="B66" s="29">
        <v>21097</v>
      </c>
      <c r="C66" s="10">
        <v>27</v>
      </c>
      <c r="D66" s="21">
        <v>0</v>
      </c>
    </row>
    <row r="67" spans="1:4" ht="15.75">
      <c r="A67" s="9">
        <v>43893</v>
      </c>
      <c r="B67" s="29">
        <v>21591</v>
      </c>
      <c r="C67" s="10">
        <v>31</v>
      </c>
      <c r="D67" s="21">
        <v>0</v>
      </c>
    </row>
    <row r="68" spans="1:4" ht="15.75">
      <c r="A68" s="9">
        <v>43894</v>
      </c>
      <c r="B68" s="29">
        <v>20731</v>
      </c>
      <c r="C68" s="10">
        <v>25</v>
      </c>
      <c r="D68" s="21">
        <v>0</v>
      </c>
    </row>
    <row r="69" spans="1:4" ht="15.75">
      <c r="A69" s="9">
        <v>43895</v>
      </c>
      <c r="B69" s="29">
        <v>21530</v>
      </c>
      <c r="C69" s="10">
        <v>25</v>
      </c>
      <c r="D69" s="21">
        <v>0</v>
      </c>
    </row>
    <row r="70" spans="1:4">
      <c r="A70" s="9">
        <v>43896</v>
      </c>
      <c r="B70" s="10">
        <v>21383</v>
      </c>
      <c r="C70" s="10">
        <v>0</v>
      </c>
      <c r="D70" s="21">
        <v>0</v>
      </c>
    </row>
    <row r="71" spans="1:4">
      <c r="A71" s="9">
        <v>43897</v>
      </c>
      <c r="B71" s="10">
        <v>21383</v>
      </c>
      <c r="C71" s="10">
        <v>0</v>
      </c>
      <c r="D71" s="21">
        <v>0</v>
      </c>
    </row>
    <row r="72" spans="1:4">
      <c r="A72" s="9">
        <v>43898</v>
      </c>
      <c r="B72" s="10">
        <v>21383</v>
      </c>
      <c r="C72" s="10">
        <v>29</v>
      </c>
      <c r="D72" s="21">
        <v>0</v>
      </c>
    </row>
    <row r="73" spans="1:4">
      <c r="A73" s="9">
        <v>43899</v>
      </c>
      <c r="B73" s="10">
        <v>20506</v>
      </c>
      <c r="C73" s="10">
        <v>29</v>
      </c>
      <c r="D73" s="21">
        <v>0</v>
      </c>
    </row>
    <row r="74" spans="1:4">
      <c r="A74" s="9">
        <v>43900</v>
      </c>
      <c r="B74" s="10">
        <v>21374</v>
      </c>
      <c r="C74" s="10">
        <v>131</v>
      </c>
      <c r="D74" s="21">
        <v>0</v>
      </c>
    </row>
    <row r="75" spans="1:4">
      <c r="A75" s="9">
        <v>43901</v>
      </c>
      <c r="B75" s="10">
        <v>21266</v>
      </c>
      <c r="C75" s="10">
        <v>53</v>
      </c>
      <c r="D75" s="21">
        <v>0</v>
      </c>
    </row>
    <row r="76" spans="1:4">
      <c r="A76" s="9">
        <v>43902</v>
      </c>
      <c r="B76" s="10">
        <v>22243</v>
      </c>
      <c r="C76" s="10">
        <v>136</v>
      </c>
      <c r="D76" s="21">
        <v>0</v>
      </c>
    </row>
    <row r="77" spans="1:4">
      <c r="A77" s="9">
        <v>43903</v>
      </c>
      <c r="B77" s="10">
        <v>24583</v>
      </c>
      <c r="C77" s="10">
        <v>0</v>
      </c>
      <c r="D77" s="21">
        <v>0</v>
      </c>
    </row>
    <row r="78" spans="1:4">
      <c r="A78" s="9">
        <v>43904</v>
      </c>
      <c r="B78" s="10">
        <v>24583</v>
      </c>
      <c r="C78" s="10">
        <v>0</v>
      </c>
      <c r="D78" s="21">
        <v>0</v>
      </c>
    </row>
    <row r="79" spans="1:4">
      <c r="A79" s="9">
        <v>43905</v>
      </c>
      <c r="B79" s="10">
        <v>24583</v>
      </c>
      <c r="C79" s="10">
        <v>76</v>
      </c>
      <c r="D79" s="21">
        <v>0</v>
      </c>
    </row>
    <row r="80" spans="1:4">
      <c r="A80" s="9">
        <v>43906</v>
      </c>
      <c r="B80" s="10">
        <v>26971</v>
      </c>
      <c r="C80" s="10">
        <v>83</v>
      </c>
      <c r="D80" s="21">
        <v>0</v>
      </c>
    </row>
    <row r="81" spans="1:4" ht="15.75">
      <c r="A81" s="9">
        <v>43907</v>
      </c>
      <c r="B81" s="30">
        <v>29964</v>
      </c>
      <c r="C81" s="10">
        <v>63</v>
      </c>
      <c r="D81" s="21">
        <v>0</v>
      </c>
    </row>
    <row r="82" spans="1:4" ht="15.75">
      <c r="A82" s="9">
        <v>43908</v>
      </c>
      <c r="B82" s="30">
        <v>29964</v>
      </c>
      <c r="C82" s="10">
        <v>42</v>
      </c>
      <c r="D82" s="21">
        <v>0</v>
      </c>
    </row>
    <row r="83" spans="1:4">
      <c r="A83" s="9">
        <v>43909</v>
      </c>
      <c r="B83" s="10">
        <v>23093</v>
      </c>
      <c r="C83" s="10">
        <v>42</v>
      </c>
      <c r="D83" s="21">
        <v>0</v>
      </c>
    </row>
    <row r="84" spans="1:4">
      <c r="A84" s="9">
        <v>43910</v>
      </c>
      <c r="B84" s="10">
        <v>28854</v>
      </c>
      <c r="C84" s="10">
        <v>0</v>
      </c>
      <c r="D84" s="21">
        <v>0</v>
      </c>
    </row>
    <row r="85" spans="1:4">
      <c r="A85" s="9">
        <v>43911</v>
      </c>
      <c r="B85" s="10">
        <v>28854</v>
      </c>
      <c r="C85" s="10">
        <v>50</v>
      </c>
      <c r="D85" s="21">
        <v>0</v>
      </c>
    </row>
    <row r="86" spans="1:4">
      <c r="A86" s="9">
        <v>43912</v>
      </c>
      <c r="B86" s="10">
        <v>26977</v>
      </c>
      <c r="C86" s="10">
        <v>130</v>
      </c>
      <c r="D86" s="21">
        <v>0</v>
      </c>
    </row>
    <row r="87" spans="1:4">
      <c r="A87" s="9">
        <v>43913</v>
      </c>
      <c r="B87" s="10">
        <v>28254</v>
      </c>
      <c r="C87" s="10">
        <v>144</v>
      </c>
      <c r="D87" s="21">
        <v>0</v>
      </c>
    </row>
    <row r="88" spans="1:4">
      <c r="A88" s="9">
        <v>43914</v>
      </c>
      <c r="B88" s="10">
        <v>26305</v>
      </c>
      <c r="C88" s="10">
        <v>94</v>
      </c>
      <c r="D88" s="21">
        <v>0</v>
      </c>
    </row>
    <row r="89" spans="1:4" ht="15.75">
      <c r="A89" s="9">
        <v>43915</v>
      </c>
      <c r="B89" s="12">
        <v>26087</v>
      </c>
      <c r="C89" s="29">
        <v>78</v>
      </c>
      <c r="D89" s="21">
        <v>0</v>
      </c>
    </row>
    <row r="90" spans="1:4" ht="15.75">
      <c r="A90" s="9">
        <v>43916</v>
      </c>
      <c r="B90" s="29">
        <v>29336</v>
      </c>
      <c r="C90" s="29">
        <v>168</v>
      </c>
      <c r="D90" s="21">
        <v>0</v>
      </c>
    </row>
    <row r="91" spans="1:4" ht="15.75">
      <c r="A91" s="9">
        <v>43917</v>
      </c>
      <c r="B91" s="29">
        <v>27618</v>
      </c>
      <c r="C91" s="29">
        <v>61</v>
      </c>
      <c r="D91" s="21">
        <v>0</v>
      </c>
    </row>
    <row r="92" spans="1:4" ht="15.75">
      <c r="A92" s="9">
        <v>43918</v>
      </c>
      <c r="B92" s="29">
        <v>27618</v>
      </c>
      <c r="C92" s="29">
        <v>61</v>
      </c>
      <c r="D92" s="21">
        <v>0</v>
      </c>
    </row>
    <row r="93" spans="1:4">
      <c r="A93" s="9">
        <v>43919</v>
      </c>
      <c r="B93" s="31">
        <v>24583</v>
      </c>
      <c r="C93" s="31">
        <v>76</v>
      </c>
      <c r="D93" s="21">
        <v>0</v>
      </c>
    </row>
    <row r="94" spans="1:4" ht="15.75">
      <c r="A94" s="9">
        <v>43920</v>
      </c>
      <c r="B94" s="32">
        <v>26087</v>
      </c>
      <c r="C94" s="33">
        <v>78</v>
      </c>
      <c r="D94" s="21">
        <v>0</v>
      </c>
    </row>
    <row r="95" spans="1:4">
      <c r="A95" s="9">
        <v>43921</v>
      </c>
      <c r="B95" s="31">
        <v>28854</v>
      </c>
      <c r="C95" s="31">
        <v>130</v>
      </c>
      <c r="D95" s="21">
        <v>0</v>
      </c>
    </row>
    <row r="112" ht="15.75" thickBot="1"/>
    <row r="113" spans="1:14" ht="18.600000000000001" customHeight="1">
      <c r="A113" s="478" t="s">
        <v>28</v>
      </c>
      <c r="B113" s="479"/>
      <c r="C113" s="479"/>
      <c r="D113" s="479"/>
      <c r="E113" s="479"/>
      <c r="F113" s="479"/>
      <c r="G113" s="479"/>
      <c r="H113" s="479"/>
      <c r="I113" s="479"/>
      <c r="J113" s="479"/>
      <c r="K113" s="479"/>
      <c r="L113" s="479"/>
      <c r="M113" s="479"/>
      <c r="N113" s="480"/>
    </row>
    <row r="114" spans="1:14" ht="14.45" customHeight="1">
      <c r="A114" s="472" t="s">
        <v>29</v>
      </c>
      <c r="B114" s="473"/>
      <c r="C114" s="473"/>
      <c r="D114" s="473"/>
      <c r="E114" s="473"/>
      <c r="F114" s="473"/>
      <c r="G114" s="473"/>
      <c r="H114" s="473"/>
      <c r="I114" s="473"/>
      <c r="J114" s="473"/>
      <c r="K114" s="473"/>
      <c r="L114" s="473"/>
      <c r="M114" s="473"/>
      <c r="N114" s="473"/>
    </row>
    <row r="115" spans="1:14" ht="78" customHeight="1">
      <c r="A115" s="481" t="s">
        <v>30</v>
      </c>
      <c r="B115" s="482"/>
      <c r="C115" s="482"/>
      <c r="D115" s="482"/>
      <c r="E115" s="482"/>
      <c r="F115" s="482"/>
      <c r="G115" s="482"/>
      <c r="H115" s="482"/>
      <c r="I115" s="482"/>
      <c r="J115" s="482"/>
      <c r="K115" s="482"/>
      <c r="L115" s="482"/>
      <c r="M115" s="482"/>
      <c r="N115" s="482"/>
    </row>
    <row r="116" spans="1:14" ht="21" customHeight="1">
      <c r="A116" s="472" t="s">
        <v>31</v>
      </c>
      <c r="B116" s="473"/>
      <c r="C116" s="473"/>
      <c r="D116" s="473"/>
      <c r="E116" s="473"/>
      <c r="F116" s="473"/>
      <c r="G116" s="473"/>
      <c r="H116" s="473"/>
      <c r="I116" s="473"/>
      <c r="J116" s="473"/>
      <c r="K116" s="473"/>
      <c r="L116" s="473"/>
      <c r="M116" s="473"/>
      <c r="N116" s="473"/>
    </row>
    <row r="117" spans="1:14" ht="36.950000000000003" customHeight="1">
      <c r="A117" s="481" t="s">
        <v>32</v>
      </c>
      <c r="B117" s="482"/>
      <c r="C117" s="482"/>
      <c r="D117" s="482"/>
      <c r="E117" s="482"/>
      <c r="F117" s="482"/>
      <c r="G117" s="482"/>
      <c r="H117" s="482"/>
      <c r="I117" s="482"/>
      <c r="J117" s="482"/>
      <c r="K117" s="482"/>
      <c r="L117" s="482"/>
      <c r="M117" s="482"/>
      <c r="N117" s="482"/>
    </row>
    <row r="118" spans="1:14" ht="23.45" customHeight="1">
      <c r="A118" s="472" t="s">
        <v>33</v>
      </c>
      <c r="B118" s="473"/>
      <c r="C118" s="473"/>
      <c r="D118" s="473"/>
      <c r="E118" s="473"/>
      <c r="F118" s="473"/>
      <c r="G118" s="473"/>
      <c r="H118" s="473"/>
      <c r="I118" s="473"/>
      <c r="J118" s="473"/>
      <c r="K118" s="473"/>
      <c r="L118" s="473"/>
      <c r="M118" s="473"/>
      <c r="N118" s="473"/>
    </row>
    <row r="119" spans="1:14" ht="35.1" customHeight="1" thickBot="1">
      <c r="A119" s="474" t="s">
        <v>34</v>
      </c>
      <c r="B119" s="475"/>
      <c r="C119" s="475"/>
      <c r="D119" s="475"/>
      <c r="E119" s="475"/>
      <c r="F119" s="475"/>
      <c r="G119" s="475"/>
      <c r="H119" s="475"/>
      <c r="I119" s="475"/>
      <c r="J119" s="475"/>
      <c r="K119" s="475"/>
      <c r="L119" s="475"/>
      <c r="M119" s="475"/>
      <c r="N119" s="475"/>
    </row>
    <row r="120" spans="1:14">
      <c r="A120" s="472" t="s">
        <v>35</v>
      </c>
      <c r="B120" s="473"/>
      <c r="C120" s="473"/>
      <c r="D120" s="473"/>
      <c r="E120" s="473"/>
      <c r="F120" s="473"/>
      <c r="G120" s="473"/>
      <c r="H120" s="473"/>
      <c r="I120" s="473"/>
      <c r="J120" s="473"/>
      <c r="K120" s="473"/>
      <c r="L120" s="473"/>
      <c r="M120" s="473"/>
      <c r="N120" s="473"/>
    </row>
    <row r="121" spans="1:14" ht="81.95" customHeight="1" thickBot="1">
      <c r="A121" s="474" t="s">
        <v>36</v>
      </c>
      <c r="B121" s="475"/>
      <c r="C121" s="475"/>
      <c r="D121" s="475"/>
      <c r="E121" s="475"/>
      <c r="F121" s="475"/>
      <c r="G121" s="475"/>
      <c r="H121" s="475"/>
      <c r="I121" s="475"/>
      <c r="J121" s="475"/>
      <c r="K121" s="475"/>
      <c r="L121" s="475"/>
      <c r="M121" s="475"/>
      <c r="N121" s="475"/>
    </row>
    <row r="122" spans="1:14">
      <c r="A122" s="472" t="s">
        <v>37</v>
      </c>
      <c r="B122" s="473"/>
      <c r="C122" s="473"/>
      <c r="D122" s="473"/>
      <c r="E122" s="473"/>
      <c r="F122" s="473"/>
      <c r="G122" s="473"/>
      <c r="H122" s="473"/>
      <c r="I122" s="473"/>
      <c r="J122" s="473"/>
      <c r="K122" s="473"/>
      <c r="L122" s="473"/>
      <c r="M122" s="473"/>
      <c r="N122" s="473"/>
    </row>
    <row r="123" spans="1:14" ht="36" customHeight="1" thickBot="1">
      <c r="A123" s="474" t="s">
        <v>38</v>
      </c>
      <c r="B123" s="475"/>
      <c r="C123" s="475"/>
      <c r="D123" s="475"/>
      <c r="E123" s="475"/>
      <c r="F123" s="475"/>
      <c r="G123" s="475"/>
      <c r="H123" s="475"/>
      <c r="I123" s="475"/>
      <c r="J123" s="475"/>
      <c r="K123" s="475"/>
      <c r="L123" s="475"/>
      <c r="M123" s="475"/>
      <c r="N123" s="475"/>
    </row>
    <row r="124" spans="1:14">
      <c r="A124" s="472" t="s">
        <v>39</v>
      </c>
      <c r="B124" s="473"/>
      <c r="C124" s="473"/>
      <c r="D124" s="473"/>
      <c r="E124" s="473"/>
      <c r="F124" s="473"/>
      <c r="G124" s="473"/>
      <c r="H124" s="473"/>
      <c r="I124" s="473"/>
      <c r="J124" s="473"/>
      <c r="K124" s="473"/>
      <c r="L124" s="473"/>
      <c r="M124" s="473"/>
      <c r="N124" s="473"/>
    </row>
    <row r="125" spans="1:14" ht="36" customHeight="1" thickBot="1">
      <c r="A125" s="474" t="s">
        <v>40</v>
      </c>
      <c r="B125" s="475"/>
      <c r="C125" s="475"/>
      <c r="D125" s="475"/>
      <c r="E125" s="475"/>
      <c r="F125" s="475"/>
      <c r="G125" s="475"/>
      <c r="H125" s="475"/>
      <c r="I125" s="475"/>
      <c r="J125" s="475"/>
      <c r="K125" s="475"/>
      <c r="L125" s="475"/>
      <c r="M125" s="475"/>
      <c r="N125" s="475"/>
    </row>
    <row r="126" spans="1:14">
      <c r="A126" s="472" t="s">
        <v>41</v>
      </c>
      <c r="B126" s="473"/>
      <c r="C126" s="473"/>
      <c r="D126" s="473"/>
      <c r="E126" s="473"/>
      <c r="F126" s="473"/>
      <c r="G126" s="473"/>
      <c r="H126" s="473"/>
      <c r="I126" s="473"/>
      <c r="J126" s="473"/>
      <c r="K126" s="473"/>
      <c r="L126" s="473"/>
      <c r="M126" s="473"/>
      <c r="N126" s="473"/>
    </row>
    <row r="127" spans="1:14" ht="36" customHeight="1" thickBot="1">
      <c r="A127" s="474" t="s">
        <v>42</v>
      </c>
      <c r="B127" s="475"/>
      <c r="C127" s="475"/>
      <c r="D127" s="475"/>
      <c r="E127" s="475"/>
      <c r="F127" s="475"/>
      <c r="G127" s="475"/>
      <c r="H127" s="475"/>
      <c r="I127" s="475"/>
      <c r="J127" s="475"/>
      <c r="K127" s="475"/>
      <c r="L127" s="475"/>
      <c r="M127" s="475"/>
      <c r="N127" s="475"/>
    </row>
    <row r="128" spans="1:14">
      <c r="A128" s="472" t="s">
        <v>43</v>
      </c>
      <c r="B128" s="473"/>
      <c r="C128" s="473"/>
      <c r="D128" s="473"/>
      <c r="E128" s="473"/>
      <c r="F128" s="473"/>
      <c r="G128" s="473"/>
      <c r="H128" s="473"/>
      <c r="I128" s="473"/>
      <c r="J128" s="473"/>
      <c r="K128" s="473"/>
      <c r="L128" s="473"/>
      <c r="M128" s="473"/>
      <c r="N128" s="473"/>
    </row>
    <row r="129" spans="1:14" ht="86.45" customHeight="1" thickBot="1">
      <c r="A129" s="474" t="s">
        <v>44</v>
      </c>
      <c r="B129" s="475"/>
      <c r="C129" s="475"/>
      <c r="D129" s="475"/>
      <c r="E129" s="475"/>
      <c r="F129" s="475"/>
      <c r="G129" s="475"/>
      <c r="H129" s="475"/>
      <c r="I129" s="475"/>
      <c r="J129" s="475"/>
      <c r="K129" s="475"/>
      <c r="L129" s="475"/>
      <c r="M129" s="475"/>
      <c r="N129" s="475"/>
    </row>
  </sheetData>
  <mergeCells count="22">
    <mergeCell ref="A119:N119"/>
    <mergeCell ref="A1:I1"/>
    <mergeCell ref="L1:N1"/>
    <mergeCell ref="A29:J29"/>
    <mergeCell ref="L29:N29"/>
    <mergeCell ref="A63:N63"/>
    <mergeCell ref="A113:N113"/>
    <mergeCell ref="A114:N114"/>
    <mergeCell ref="A115:N115"/>
    <mergeCell ref="A116:N116"/>
    <mergeCell ref="A117:N117"/>
    <mergeCell ref="A118:N118"/>
    <mergeCell ref="A126:N126"/>
    <mergeCell ref="A127:N127"/>
    <mergeCell ref="A128:N128"/>
    <mergeCell ref="A129:N129"/>
    <mergeCell ref="A120:N120"/>
    <mergeCell ref="A121:N121"/>
    <mergeCell ref="A122:N122"/>
    <mergeCell ref="A123:N123"/>
    <mergeCell ref="A124:N124"/>
    <mergeCell ref="A125:N1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71EF-45AF-47C5-8AD5-AB618F732AD9}">
  <dimension ref="A1:P34"/>
  <sheetViews>
    <sheetView workbookViewId="0">
      <selection activeCell="B2" sqref="B2"/>
    </sheetView>
  </sheetViews>
  <sheetFormatPr defaultRowHeight="15"/>
  <cols>
    <col min="2" max="4" width="12.42578125" customWidth="1"/>
    <col min="5" max="5" width="10.85546875" customWidth="1"/>
    <col min="7" max="7" width="11" customWidth="1"/>
    <col min="8" max="8" width="10.7109375" customWidth="1"/>
    <col min="9" max="9" width="10.140625" customWidth="1"/>
    <col min="12" max="12" width="8.42578125" customWidth="1"/>
    <col min="13" max="13" width="5.28515625" style="20" customWidth="1"/>
    <col min="15" max="15" width="13.85546875" customWidth="1"/>
    <col min="16" max="16" width="14.28515625" customWidth="1"/>
  </cols>
  <sheetData>
    <row r="1" spans="1:16">
      <c r="A1" s="471"/>
      <c r="B1" s="471"/>
      <c r="C1" s="471"/>
      <c r="D1" s="471"/>
      <c r="E1" s="471"/>
      <c r="F1" s="471"/>
      <c r="G1" s="471"/>
      <c r="H1" s="471"/>
      <c r="I1" s="471"/>
      <c r="J1" s="471"/>
      <c r="K1" s="471"/>
      <c r="L1" s="471"/>
      <c r="M1" s="471"/>
      <c r="N1" s="471"/>
      <c r="O1" s="471"/>
      <c r="P1" s="471"/>
    </row>
    <row r="2" spans="1:16" ht="60">
      <c r="A2" s="34" t="s">
        <v>24</v>
      </c>
      <c r="B2" s="238" t="s">
        <v>510</v>
      </c>
      <c r="C2" s="36" t="s">
        <v>25</v>
      </c>
      <c r="D2" s="36"/>
      <c r="E2" s="36" t="s">
        <v>26</v>
      </c>
      <c r="F2" s="36" t="s">
        <v>27</v>
      </c>
    </row>
    <row r="3" spans="1:16" ht="15.75">
      <c r="A3" s="9">
        <v>43922</v>
      </c>
      <c r="B3" s="37">
        <v>11565666</v>
      </c>
      <c r="C3" s="38">
        <v>24381</v>
      </c>
      <c r="D3" s="38">
        <v>6532</v>
      </c>
      <c r="E3" s="10">
        <v>69</v>
      </c>
      <c r="F3" s="21">
        <v>2340</v>
      </c>
    </row>
    <row r="4" spans="1:16" ht="15.75">
      <c r="A4" s="9">
        <v>43923</v>
      </c>
      <c r="B4" s="39">
        <v>11590285</v>
      </c>
      <c r="C4" s="40">
        <f>B4-B3</f>
        <v>24619</v>
      </c>
      <c r="D4" s="38">
        <v>6554</v>
      </c>
      <c r="E4" s="10">
        <f>D4-D3</f>
        <v>22</v>
      </c>
      <c r="F4" s="21">
        <v>2340</v>
      </c>
    </row>
    <row r="5" spans="1:16" ht="15.75">
      <c r="A5" s="9">
        <v>43924</v>
      </c>
      <c r="B5" s="37">
        <v>11614904</v>
      </c>
      <c r="C5" s="40">
        <f t="shared" ref="C5:C28" si="0">B5-B4</f>
        <v>24619</v>
      </c>
      <c r="D5" s="38">
        <v>6576</v>
      </c>
      <c r="E5" s="10">
        <f t="shared" ref="E5:E31" si="1">D5-D4</f>
        <v>22</v>
      </c>
      <c r="F5" s="21">
        <v>2340</v>
      </c>
    </row>
    <row r="6" spans="1:16" ht="15.75">
      <c r="A6" s="9">
        <v>43925</v>
      </c>
      <c r="B6" s="37">
        <v>11639523</v>
      </c>
      <c r="C6" s="40">
        <f t="shared" si="0"/>
        <v>24619</v>
      </c>
      <c r="D6" s="38">
        <v>6598</v>
      </c>
      <c r="E6" s="10">
        <f t="shared" si="1"/>
        <v>22</v>
      </c>
      <c r="F6" s="21">
        <v>2340</v>
      </c>
    </row>
    <row r="7" spans="1:16" ht="15.75">
      <c r="A7" s="9">
        <v>43926</v>
      </c>
      <c r="B7" s="37">
        <v>11664810</v>
      </c>
      <c r="C7" s="40">
        <f t="shared" si="0"/>
        <v>25287</v>
      </c>
      <c r="D7" s="38">
        <v>6721</v>
      </c>
      <c r="E7" s="10">
        <f t="shared" si="1"/>
        <v>123</v>
      </c>
      <c r="F7" s="21">
        <v>2320</v>
      </c>
    </row>
    <row r="8" spans="1:16" ht="15.75">
      <c r="A8" s="9">
        <v>43927</v>
      </c>
      <c r="B8" s="37">
        <v>11689765</v>
      </c>
      <c r="C8" s="40">
        <f t="shared" si="0"/>
        <v>24955</v>
      </c>
      <c r="D8" s="41">
        <v>6854</v>
      </c>
      <c r="E8" s="10">
        <f t="shared" si="1"/>
        <v>133</v>
      </c>
      <c r="F8" s="21">
        <v>2320</v>
      </c>
    </row>
    <row r="9" spans="1:16" ht="15.75">
      <c r="A9" s="9">
        <v>43928</v>
      </c>
      <c r="B9" s="37">
        <v>11714061</v>
      </c>
      <c r="C9" s="40">
        <f t="shared" si="0"/>
        <v>24296</v>
      </c>
      <c r="D9" s="41">
        <v>6992</v>
      </c>
      <c r="E9" s="10">
        <f t="shared" si="1"/>
        <v>138</v>
      </c>
      <c r="F9" s="21">
        <v>2320</v>
      </c>
    </row>
    <row r="10" spans="1:16" ht="15.75">
      <c r="A10" s="9">
        <v>43929</v>
      </c>
      <c r="B10" s="37">
        <v>11738236</v>
      </c>
      <c r="C10" s="40">
        <f t="shared" si="0"/>
        <v>24175</v>
      </c>
      <c r="D10" s="41">
        <v>7126</v>
      </c>
      <c r="E10" s="10">
        <f t="shared" si="1"/>
        <v>134</v>
      </c>
      <c r="F10" s="21">
        <v>2320</v>
      </c>
    </row>
    <row r="11" spans="1:16" ht="15.75">
      <c r="A11" s="9">
        <v>43930</v>
      </c>
      <c r="B11" s="42">
        <v>11764521</v>
      </c>
      <c r="C11" s="40">
        <f t="shared" si="0"/>
        <v>26285</v>
      </c>
      <c r="D11" s="41">
        <v>7268</v>
      </c>
      <c r="E11" s="10">
        <f t="shared" si="1"/>
        <v>142</v>
      </c>
      <c r="F11" s="21">
        <v>2320</v>
      </c>
    </row>
    <row r="12" spans="1:16" ht="15.75">
      <c r="A12" s="9">
        <v>43931</v>
      </c>
      <c r="B12" s="42">
        <v>11788927</v>
      </c>
      <c r="C12" s="40">
        <f t="shared" si="0"/>
        <v>24406</v>
      </c>
      <c r="D12" s="41">
        <v>7308</v>
      </c>
      <c r="E12" s="10">
        <f t="shared" si="1"/>
        <v>40</v>
      </c>
      <c r="F12" s="21">
        <v>2320</v>
      </c>
    </row>
    <row r="13" spans="1:16" ht="15.75">
      <c r="A13" s="9">
        <v>43932</v>
      </c>
      <c r="B13" s="37">
        <v>11813334</v>
      </c>
      <c r="C13" s="40">
        <f t="shared" si="0"/>
        <v>24407</v>
      </c>
      <c r="D13" s="41">
        <v>7348</v>
      </c>
      <c r="E13" s="10">
        <f t="shared" si="1"/>
        <v>40</v>
      </c>
      <c r="F13" s="21">
        <v>2320</v>
      </c>
    </row>
    <row r="14" spans="1:16" ht="15.75">
      <c r="A14" s="9">
        <v>43933</v>
      </c>
      <c r="B14" s="37">
        <v>11842252</v>
      </c>
      <c r="C14" s="40">
        <f t="shared" si="0"/>
        <v>28918</v>
      </c>
      <c r="D14" s="41">
        <v>7462</v>
      </c>
      <c r="E14" s="10">
        <f t="shared" si="1"/>
        <v>114</v>
      </c>
      <c r="F14" s="21">
        <v>2320</v>
      </c>
    </row>
    <row r="15" spans="1:16" ht="15.75">
      <c r="A15" s="9">
        <v>43934</v>
      </c>
      <c r="B15" s="37">
        <v>11875801</v>
      </c>
      <c r="C15" s="40">
        <f t="shared" si="0"/>
        <v>33549</v>
      </c>
      <c r="D15" s="41">
        <v>7531</v>
      </c>
      <c r="E15" s="10">
        <f t="shared" si="1"/>
        <v>69</v>
      </c>
      <c r="F15" s="21">
        <v>2320</v>
      </c>
    </row>
    <row r="16" spans="1:16" ht="15.75">
      <c r="A16" s="9">
        <v>43935</v>
      </c>
      <c r="B16" s="37">
        <v>11905937</v>
      </c>
      <c r="C16" s="40">
        <f t="shared" si="0"/>
        <v>30136</v>
      </c>
      <c r="D16" s="41">
        <v>7620</v>
      </c>
      <c r="E16" s="10">
        <f t="shared" si="1"/>
        <v>89</v>
      </c>
      <c r="F16" s="21">
        <v>2320</v>
      </c>
    </row>
    <row r="17" spans="1:6" ht="15.75">
      <c r="A17" s="9">
        <v>43936</v>
      </c>
      <c r="B17" s="37">
        <v>11935969</v>
      </c>
      <c r="C17" s="40">
        <f t="shared" si="0"/>
        <v>30032</v>
      </c>
      <c r="D17" s="41">
        <v>7764</v>
      </c>
      <c r="E17" s="10">
        <f t="shared" si="1"/>
        <v>144</v>
      </c>
      <c r="F17" s="21">
        <v>2320</v>
      </c>
    </row>
    <row r="18" spans="1:6" ht="15.75">
      <c r="A18" s="9">
        <v>43937</v>
      </c>
      <c r="B18" s="37">
        <v>11965852</v>
      </c>
      <c r="C18" s="40">
        <f t="shared" si="0"/>
        <v>29883</v>
      </c>
      <c r="D18" s="41">
        <v>7798</v>
      </c>
      <c r="E18" s="10">
        <f t="shared" si="1"/>
        <v>34</v>
      </c>
      <c r="F18" s="21">
        <v>2320</v>
      </c>
    </row>
    <row r="19" spans="1:6" ht="15.75">
      <c r="A19" s="9">
        <v>43938</v>
      </c>
      <c r="B19" s="43">
        <v>11997465</v>
      </c>
      <c r="C19" s="40">
        <f t="shared" si="0"/>
        <v>31613</v>
      </c>
      <c r="D19" s="44">
        <v>7817</v>
      </c>
      <c r="E19" s="10">
        <f t="shared" si="1"/>
        <v>19</v>
      </c>
      <c r="F19" s="21">
        <v>2320</v>
      </c>
    </row>
    <row r="20" spans="1:6" ht="15.75">
      <c r="A20" s="9">
        <v>43939</v>
      </c>
      <c r="B20" s="37">
        <v>12029078</v>
      </c>
      <c r="C20" s="40">
        <f t="shared" si="0"/>
        <v>31613</v>
      </c>
      <c r="D20" s="45">
        <v>7836</v>
      </c>
      <c r="E20" s="10">
        <f t="shared" si="1"/>
        <v>19</v>
      </c>
      <c r="F20" s="21">
        <v>2320</v>
      </c>
    </row>
    <row r="21" spans="1:6" ht="15.75">
      <c r="A21" s="9">
        <v>43940</v>
      </c>
      <c r="B21" s="37">
        <v>12058942</v>
      </c>
      <c r="C21" s="40">
        <f t="shared" si="0"/>
        <v>29864</v>
      </c>
      <c r="D21" s="41">
        <v>7942</v>
      </c>
      <c r="E21" s="10">
        <f t="shared" si="1"/>
        <v>106</v>
      </c>
      <c r="F21" s="21">
        <v>2320</v>
      </c>
    </row>
    <row r="22" spans="1:6" ht="15.75">
      <c r="A22" s="9">
        <v>43941</v>
      </c>
      <c r="B22" s="37">
        <v>12091055</v>
      </c>
      <c r="C22" s="40">
        <f t="shared" si="0"/>
        <v>32113</v>
      </c>
      <c r="D22" s="41">
        <v>8106</v>
      </c>
      <c r="E22" s="10">
        <f t="shared" si="1"/>
        <v>164</v>
      </c>
      <c r="F22" s="21">
        <v>2320</v>
      </c>
    </row>
    <row r="23" spans="1:6" ht="15.75">
      <c r="A23" s="9">
        <v>43942</v>
      </c>
      <c r="B23" s="37">
        <v>12124069</v>
      </c>
      <c r="C23" s="40">
        <f t="shared" si="0"/>
        <v>33014</v>
      </c>
      <c r="D23" s="41">
        <v>8259</v>
      </c>
      <c r="E23" s="10">
        <f t="shared" si="1"/>
        <v>153</v>
      </c>
      <c r="F23" s="21">
        <v>2320</v>
      </c>
    </row>
    <row r="24" spans="1:6" ht="15.75">
      <c r="A24" s="9">
        <v>43943</v>
      </c>
      <c r="B24" s="37">
        <v>12157740</v>
      </c>
      <c r="C24" s="40">
        <f t="shared" si="0"/>
        <v>33671</v>
      </c>
      <c r="D24" s="41">
        <v>8391</v>
      </c>
      <c r="E24" s="10">
        <f t="shared" si="1"/>
        <v>132</v>
      </c>
      <c r="F24" s="21">
        <v>2320</v>
      </c>
    </row>
    <row r="25" spans="1:6" ht="15.75">
      <c r="A25" s="9">
        <v>43944</v>
      </c>
      <c r="B25" s="37">
        <v>12192784</v>
      </c>
      <c r="C25" s="40">
        <f t="shared" si="0"/>
        <v>35044</v>
      </c>
      <c r="D25" s="41">
        <v>8484</v>
      </c>
      <c r="E25" s="10">
        <f t="shared" si="1"/>
        <v>93</v>
      </c>
      <c r="F25" s="21">
        <v>2320</v>
      </c>
    </row>
    <row r="26" spans="1:6" ht="15.75">
      <c r="A26" s="9">
        <v>43945</v>
      </c>
      <c r="B26" s="37">
        <v>12223196</v>
      </c>
      <c r="C26" s="40">
        <f t="shared" si="0"/>
        <v>30412</v>
      </c>
      <c r="D26" s="41">
        <v>8543</v>
      </c>
      <c r="E26" s="10">
        <f t="shared" si="1"/>
        <v>59</v>
      </c>
      <c r="F26" s="21">
        <v>2320</v>
      </c>
    </row>
    <row r="27" spans="1:6" ht="15.75">
      <c r="A27" s="9">
        <v>43946</v>
      </c>
      <c r="B27" s="37">
        <v>12253608</v>
      </c>
      <c r="C27" s="40">
        <f t="shared" si="0"/>
        <v>30412</v>
      </c>
      <c r="D27" s="42">
        <v>8602</v>
      </c>
      <c r="E27" s="10">
        <f t="shared" si="1"/>
        <v>59</v>
      </c>
      <c r="F27" s="21">
        <v>2300</v>
      </c>
    </row>
    <row r="28" spans="1:6" ht="15.75">
      <c r="A28" s="9">
        <v>43947</v>
      </c>
      <c r="B28" s="37">
        <v>12281712</v>
      </c>
      <c r="C28" s="40">
        <f t="shared" si="0"/>
        <v>28104</v>
      </c>
      <c r="D28" s="45">
        <v>8762</v>
      </c>
      <c r="E28" s="10">
        <f t="shared" si="1"/>
        <v>160</v>
      </c>
      <c r="F28" s="21">
        <v>2250</v>
      </c>
    </row>
    <row r="29" spans="1:6" ht="15.75">
      <c r="A29" s="9">
        <v>43948</v>
      </c>
      <c r="B29" s="37">
        <v>12309878</v>
      </c>
      <c r="C29" s="46">
        <f>B29-B28</f>
        <v>28166</v>
      </c>
      <c r="D29" s="47">
        <v>8847</v>
      </c>
      <c r="E29" s="10">
        <f t="shared" si="1"/>
        <v>85</v>
      </c>
      <c r="F29" s="21"/>
    </row>
    <row r="30" spans="1:6" ht="15.75">
      <c r="A30" s="9">
        <v>43949</v>
      </c>
      <c r="B30" s="37">
        <v>12334770</v>
      </c>
      <c r="C30" s="46">
        <f t="shared" ref="C30:C31" si="2">B30-B29</f>
        <v>24892</v>
      </c>
      <c r="D30" s="46">
        <v>8963</v>
      </c>
      <c r="E30" s="10">
        <f t="shared" si="1"/>
        <v>116</v>
      </c>
      <c r="F30" s="21"/>
    </row>
    <row r="31" spans="1:6" ht="15.75">
      <c r="A31" s="9">
        <v>43950</v>
      </c>
      <c r="B31" s="37">
        <v>12361520</v>
      </c>
      <c r="C31" s="46">
        <f t="shared" si="2"/>
        <v>26750</v>
      </c>
      <c r="D31" s="47">
        <v>9146</v>
      </c>
      <c r="E31" s="10">
        <f t="shared" si="1"/>
        <v>183</v>
      </c>
      <c r="F31" s="21"/>
    </row>
    <row r="32" spans="1:6">
      <c r="A32" s="9">
        <v>43951</v>
      </c>
      <c r="B32" s="37"/>
      <c r="C32" s="41">
        <v>28166</v>
      </c>
      <c r="D32" s="41"/>
      <c r="E32" s="10">
        <v>160</v>
      </c>
      <c r="F32" s="21"/>
    </row>
    <row r="33" spans="1:6" ht="15.75">
      <c r="A33" s="9"/>
      <c r="B33" s="37"/>
      <c r="C33" s="41"/>
      <c r="D33" s="41"/>
      <c r="E33" s="29"/>
      <c r="F33" s="21"/>
    </row>
    <row r="34" spans="1:6">
      <c r="D34" s="48"/>
    </row>
  </sheetData>
  <mergeCells count="1">
    <mergeCell ref="A1:P1"/>
  </mergeCells>
  <pageMargins left="0.7" right="0.7" top="0.75" bottom="0.75" header="0.3" footer="0.3"/>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46A5F-96C7-4985-AD9F-CD20AC369A9C}">
  <dimension ref="A1:R101"/>
  <sheetViews>
    <sheetView workbookViewId="0">
      <selection activeCell="D10" sqref="D10"/>
    </sheetView>
  </sheetViews>
  <sheetFormatPr defaultRowHeight="15"/>
  <cols>
    <col min="2" max="5" width="12.42578125" customWidth="1"/>
    <col min="6" max="7" width="10.85546875" customWidth="1"/>
    <col min="9" max="9" width="11" customWidth="1"/>
    <col min="10" max="10" width="10.7109375" customWidth="1"/>
    <col min="11" max="11" width="10.140625" customWidth="1"/>
    <col min="14" max="14" width="8.42578125" customWidth="1"/>
    <col min="15" max="15" width="5.28515625" style="20" customWidth="1"/>
    <col min="17" max="17" width="13.85546875" customWidth="1"/>
    <col min="18" max="18" width="14.28515625" customWidth="1"/>
  </cols>
  <sheetData>
    <row r="1" spans="1:18">
      <c r="A1" s="471"/>
      <c r="B1" s="471"/>
      <c r="C1" s="471"/>
      <c r="D1" s="471"/>
      <c r="E1" s="471"/>
      <c r="F1" s="471"/>
      <c r="G1" s="471"/>
      <c r="H1" s="471"/>
      <c r="I1" s="471"/>
      <c r="J1" s="471"/>
      <c r="K1" s="471"/>
      <c r="L1" s="471"/>
      <c r="M1" s="471"/>
      <c r="N1" s="471"/>
      <c r="O1" s="471"/>
      <c r="P1" s="471"/>
      <c r="Q1" s="471"/>
      <c r="R1" s="471"/>
    </row>
    <row r="2" spans="1:18" ht="60">
      <c r="A2" s="34" t="s">
        <v>24</v>
      </c>
      <c r="B2" s="35" t="s">
        <v>510</v>
      </c>
      <c r="C2" s="36" t="s">
        <v>25</v>
      </c>
      <c r="D2" s="36"/>
      <c r="E2" s="36"/>
      <c r="F2" s="36" t="s">
        <v>26</v>
      </c>
      <c r="G2" s="36"/>
      <c r="H2" s="36" t="s">
        <v>27</v>
      </c>
    </row>
    <row r="3" spans="1:18" ht="15.75">
      <c r="A3" s="9">
        <v>43952</v>
      </c>
      <c r="B3" s="174">
        <v>12412616</v>
      </c>
      <c r="C3" s="58">
        <f>B3-12389519</f>
        <v>23097</v>
      </c>
      <c r="D3" s="58">
        <v>23097</v>
      </c>
      <c r="E3" s="58">
        <v>9276</v>
      </c>
      <c r="F3" s="10">
        <v>69</v>
      </c>
      <c r="G3" s="10">
        <v>69</v>
      </c>
      <c r="H3" s="239">
        <v>2950</v>
      </c>
    </row>
    <row r="4" spans="1:18" ht="15.75">
      <c r="A4" s="9">
        <v>43953</v>
      </c>
      <c r="B4" s="59">
        <v>12446971</v>
      </c>
      <c r="C4" s="80">
        <f>B4-B3</f>
        <v>34355</v>
      </c>
      <c r="D4" s="80">
        <v>34355</v>
      </c>
      <c r="E4" s="59">
        <v>9355</v>
      </c>
      <c r="F4" s="10">
        <f>E4-E3</f>
        <v>79</v>
      </c>
      <c r="G4" s="10">
        <v>79</v>
      </c>
      <c r="H4" s="239">
        <v>2950</v>
      </c>
    </row>
    <row r="5" spans="1:18" ht="15.75">
      <c r="A5" s="9">
        <v>43954</v>
      </c>
      <c r="B5" s="59">
        <v>12481326</v>
      </c>
      <c r="C5" s="80">
        <f t="shared" ref="C5:C33" si="0">B5-B4</f>
        <v>34355</v>
      </c>
      <c r="D5" s="80">
        <v>34355</v>
      </c>
      <c r="E5" s="59">
        <v>9499</v>
      </c>
      <c r="F5" s="10">
        <f t="shared" ref="F5:F33" si="1">E5-E4</f>
        <v>144</v>
      </c>
      <c r="G5" s="10">
        <v>144</v>
      </c>
      <c r="H5" s="239">
        <v>2950</v>
      </c>
    </row>
    <row r="6" spans="1:18" ht="15.75">
      <c r="A6" s="9">
        <v>43955</v>
      </c>
      <c r="B6" s="59">
        <v>12509763</v>
      </c>
      <c r="C6" s="80">
        <f t="shared" si="0"/>
        <v>28437</v>
      </c>
      <c r="D6" s="80">
        <v>28437</v>
      </c>
      <c r="E6" s="59">
        <v>9587</v>
      </c>
      <c r="F6" s="10">
        <f t="shared" si="1"/>
        <v>88</v>
      </c>
      <c r="G6" s="10">
        <v>88</v>
      </c>
      <c r="H6" s="239">
        <v>2950</v>
      </c>
    </row>
    <row r="7" spans="1:18" ht="15.75">
      <c r="A7" s="9">
        <v>43956</v>
      </c>
      <c r="B7" s="59">
        <v>12536462</v>
      </c>
      <c r="C7" s="80">
        <f t="shared" si="0"/>
        <v>26699</v>
      </c>
      <c r="D7" s="80">
        <v>26699</v>
      </c>
      <c r="E7" s="59">
        <v>9724</v>
      </c>
      <c r="F7" s="10">
        <f t="shared" si="1"/>
        <v>137</v>
      </c>
      <c r="G7" s="10">
        <v>137</v>
      </c>
      <c r="H7" s="239">
        <v>2320</v>
      </c>
    </row>
    <row r="8" spans="1:18" ht="15.75">
      <c r="A8" s="9">
        <v>43957</v>
      </c>
      <c r="B8" s="59">
        <v>12563587</v>
      </c>
      <c r="C8" s="80">
        <f t="shared" si="0"/>
        <v>27125</v>
      </c>
      <c r="D8" s="80">
        <v>27125</v>
      </c>
      <c r="E8" s="59">
        <v>9869</v>
      </c>
      <c r="F8" s="10">
        <f t="shared" si="1"/>
        <v>145</v>
      </c>
      <c r="G8" s="10">
        <v>145</v>
      </c>
      <c r="H8" s="239">
        <v>2340</v>
      </c>
    </row>
    <row r="9" spans="1:18" ht="15.75">
      <c r="A9" s="9">
        <v>43958</v>
      </c>
      <c r="B9" s="59">
        <v>12591785</v>
      </c>
      <c r="C9" s="80">
        <f t="shared" si="0"/>
        <v>28198</v>
      </c>
      <c r="D9" s="80">
        <v>28198</v>
      </c>
      <c r="E9" s="59">
        <v>9948</v>
      </c>
      <c r="F9" s="10">
        <f t="shared" si="1"/>
        <v>79</v>
      </c>
      <c r="G9" s="10">
        <v>79</v>
      </c>
      <c r="H9" s="239">
        <v>2950</v>
      </c>
    </row>
    <row r="10" spans="1:18" ht="15.75">
      <c r="A10" s="9">
        <v>43959</v>
      </c>
      <c r="B10" s="59">
        <v>12619983</v>
      </c>
      <c r="C10" s="80">
        <f t="shared" si="0"/>
        <v>28198</v>
      </c>
      <c r="D10" s="80">
        <v>28198</v>
      </c>
      <c r="E10" s="59">
        <f>E9-E8+E9</f>
        <v>10027</v>
      </c>
      <c r="F10" s="10">
        <f t="shared" si="1"/>
        <v>79</v>
      </c>
      <c r="G10" s="10">
        <v>79</v>
      </c>
      <c r="H10" s="239">
        <v>3560</v>
      </c>
    </row>
    <row r="11" spans="1:18" ht="15.75">
      <c r="A11" s="9">
        <v>43960</v>
      </c>
      <c r="B11" s="59">
        <v>12646956</v>
      </c>
      <c r="C11" s="80">
        <f t="shared" si="0"/>
        <v>26973</v>
      </c>
      <c r="D11" s="80">
        <v>26973</v>
      </c>
      <c r="E11" s="59">
        <v>10216</v>
      </c>
      <c r="F11" s="10">
        <f t="shared" si="1"/>
        <v>189</v>
      </c>
      <c r="G11" s="10">
        <v>189</v>
      </c>
      <c r="H11" s="239">
        <v>2950</v>
      </c>
    </row>
    <row r="12" spans="1:18" ht="15.75">
      <c r="A12" s="9">
        <v>43961</v>
      </c>
      <c r="B12" s="59">
        <v>12680159</v>
      </c>
      <c r="C12" s="80">
        <f t="shared" si="0"/>
        <v>33203</v>
      </c>
      <c r="D12" s="80">
        <v>33203</v>
      </c>
      <c r="E12" s="59">
        <v>10322</v>
      </c>
      <c r="F12" s="10">
        <f t="shared" si="1"/>
        <v>106</v>
      </c>
      <c r="G12" s="10">
        <v>106</v>
      </c>
      <c r="H12" s="239">
        <v>2950</v>
      </c>
    </row>
    <row r="13" spans="1:18" ht="15.75">
      <c r="A13" s="9">
        <v>43962</v>
      </c>
      <c r="B13" s="59">
        <v>12714920</v>
      </c>
      <c r="C13" s="80">
        <f t="shared" si="0"/>
        <v>34761</v>
      </c>
      <c r="D13" s="80">
        <v>34761</v>
      </c>
      <c r="E13" s="59">
        <v>10467</v>
      </c>
      <c r="F13" s="10">
        <f t="shared" si="1"/>
        <v>145</v>
      </c>
      <c r="G13" s="10">
        <v>145</v>
      </c>
      <c r="H13" s="239">
        <v>2950</v>
      </c>
    </row>
    <row r="14" spans="1:18" ht="15.75">
      <c r="A14" s="9">
        <v>43963</v>
      </c>
      <c r="B14" s="59">
        <v>12748384</v>
      </c>
      <c r="C14" s="80">
        <f t="shared" si="0"/>
        <v>33464</v>
      </c>
      <c r="D14" s="80">
        <v>33464</v>
      </c>
      <c r="E14" s="59">
        <v>10572</v>
      </c>
      <c r="F14" s="10">
        <f t="shared" si="1"/>
        <v>105</v>
      </c>
      <c r="G14" s="10">
        <v>105</v>
      </c>
      <c r="H14" s="239">
        <v>2950</v>
      </c>
    </row>
    <row r="15" spans="1:18" ht="15.75">
      <c r="A15" s="9">
        <v>43964</v>
      </c>
      <c r="B15" s="59">
        <v>12781152</v>
      </c>
      <c r="C15" s="80">
        <f t="shared" si="0"/>
        <v>32768</v>
      </c>
      <c r="D15" s="80">
        <v>32768</v>
      </c>
      <c r="E15" s="59">
        <v>10684</v>
      </c>
      <c r="F15" s="10">
        <f t="shared" si="1"/>
        <v>112</v>
      </c>
      <c r="G15" s="10">
        <v>112</v>
      </c>
      <c r="H15" s="239">
        <v>2950</v>
      </c>
    </row>
    <row r="16" spans="1:18" ht="15.75">
      <c r="A16" s="9">
        <v>43965</v>
      </c>
      <c r="B16" s="59">
        <v>12814298</v>
      </c>
      <c r="C16" s="80">
        <f t="shared" si="0"/>
        <v>33146</v>
      </c>
      <c r="D16" s="80">
        <v>33146</v>
      </c>
      <c r="E16" s="59">
        <v>10763</v>
      </c>
      <c r="F16" s="10">
        <f t="shared" si="1"/>
        <v>79</v>
      </c>
      <c r="G16" s="10">
        <v>79</v>
      </c>
      <c r="H16" s="239">
        <v>2950</v>
      </c>
    </row>
    <row r="17" spans="1:8" ht="15.75">
      <c r="A17" s="9">
        <v>43966</v>
      </c>
      <c r="B17" s="59">
        <v>12847444</v>
      </c>
      <c r="C17" s="80">
        <f t="shared" si="0"/>
        <v>33146</v>
      </c>
      <c r="D17" s="80">
        <v>33146</v>
      </c>
      <c r="E17" s="59">
        <f>E16-E15+E16</f>
        <v>10842</v>
      </c>
      <c r="F17" s="10">
        <f t="shared" si="1"/>
        <v>79</v>
      </c>
      <c r="G17" s="10">
        <v>79</v>
      </c>
      <c r="H17" s="239">
        <v>2950</v>
      </c>
    </row>
    <row r="18" spans="1:8" ht="15.75">
      <c r="A18" s="9">
        <v>43967</v>
      </c>
      <c r="B18" s="59">
        <v>12881721</v>
      </c>
      <c r="C18" s="80">
        <f t="shared" si="0"/>
        <v>34277</v>
      </c>
      <c r="D18" s="80">
        <v>34277</v>
      </c>
      <c r="E18" s="59">
        <v>10894</v>
      </c>
      <c r="F18" s="10">
        <f t="shared" si="1"/>
        <v>52</v>
      </c>
      <c r="G18" s="10">
        <v>52</v>
      </c>
      <c r="H18" s="239">
        <v>2950</v>
      </c>
    </row>
    <row r="19" spans="1:8" ht="15.75">
      <c r="A19" s="9">
        <v>43968</v>
      </c>
      <c r="B19" s="59">
        <v>12915592</v>
      </c>
      <c r="C19" s="80">
        <f t="shared" si="0"/>
        <v>33871</v>
      </c>
      <c r="D19" s="80">
        <v>33871</v>
      </c>
      <c r="E19" s="59">
        <v>10982</v>
      </c>
      <c r="F19" s="10">
        <f t="shared" si="1"/>
        <v>88</v>
      </c>
      <c r="G19" s="10">
        <v>88</v>
      </c>
      <c r="H19" s="239">
        <v>2950</v>
      </c>
    </row>
    <row r="20" spans="1:8" ht="15.75">
      <c r="A20" s="9">
        <v>43969</v>
      </c>
      <c r="B20" s="59">
        <v>12948941</v>
      </c>
      <c r="C20" s="80">
        <f t="shared" si="0"/>
        <v>33349</v>
      </c>
      <c r="D20" s="80">
        <v>33349</v>
      </c>
      <c r="E20" s="59">
        <v>11096</v>
      </c>
      <c r="F20" s="10">
        <f t="shared" si="1"/>
        <v>114</v>
      </c>
      <c r="G20" s="10">
        <v>114</v>
      </c>
      <c r="H20" s="239">
        <v>2950</v>
      </c>
    </row>
    <row r="21" spans="1:8" ht="15.75">
      <c r="A21" s="9">
        <v>43970</v>
      </c>
      <c r="B21" s="59">
        <v>12984481</v>
      </c>
      <c r="C21" s="80">
        <f t="shared" si="0"/>
        <v>35540</v>
      </c>
      <c r="D21" s="80">
        <v>35540</v>
      </c>
      <c r="E21" s="59">
        <v>11176</v>
      </c>
      <c r="F21" s="10">
        <f t="shared" si="1"/>
        <v>80</v>
      </c>
      <c r="G21" s="10">
        <v>80</v>
      </c>
      <c r="H21" s="239">
        <v>2950</v>
      </c>
    </row>
    <row r="22" spans="1:8" ht="15.75">
      <c r="A22" s="9">
        <v>43971</v>
      </c>
      <c r="B22" s="59">
        <v>13014188</v>
      </c>
      <c r="C22" s="80">
        <f t="shared" si="0"/>
        <v>29707</v>
      </c>
      <c r="D22" s="80">
        <v>29707</v>
      </c>
      <c r="E22" s="59">
        <v>11292</v>
      </c>
      <c r="F22" s="10">
        <f t="shared" si="1"/>
        <v>116</v>
      </c>
      <c r="G22" s="10">
        <v>116</v>
      </c>
      <c r="H22" s="239">
        <v>2950</v>
      </c>
    </row>
    <row r="23" spans="1:8" ht="15.75">
      <c r="A23" s="9">
        <v>43972</v>
      </c>
      <c r="B23" s="59">
        <v>13043191</v>
      </c>
      <c r="C23" s="80">
        <f t="shared" si="0"/>
        <v>29003</v>
      </c>
      <c r="D23" s="80">
        <v>29003</v>
      </c>
      <c r="E23" s="59">
        <v>11379</v>
      </c>
      <c r="F23" s="10">
        <f t="shared" si="1"/>
        <v>87</v>
      </c>
      <c r="G23" s="10">
        <v>87</v>
      </c>
      <c r="H23" s="239">
        <v>2950</v>
      </c>
    </row>
    <row r="24" spans="1:8" ht="15.75">
      <c r="A24" s="9">
        <v>43973</v>
      </c>
      <c r="B24" s="59">
        <v>13072194</v>
      </c>
      <c r="C24" s="80">
        <f t="shared" si="0"/>
        <v>29003</v>
      </c>
      <c r="D24" s="80">
        <v>29003</v>
      </c>
      <c r="E24" s="59">
        <f>E23-E22+E23</f>
        <v>11466</v>
      </c>
      <c r="F24" s="10">
        <f t="shared" si="1"/>
        <v>87</v>
      </c>
      <c r="G24" s="10">
        <v>87</v>
      </c>
      <c r="H24" s="239">
        <v>2950</v>
      </c>
    </row>
    <row r="25" spans="1:8" ht="15.75">
      <c r="A25" s="9">
        <v>43974</v>
      </c>
      <c r="B25" s="59">
        <v>13103194</v>
      </c>
      <c r="C25" s="80">
        <f t="shared" si="0"/>
        <v>31000</v>
      </c>
      <c r="D25" s="80">
        <v>31000</v>
      </c>
      <c r="E25" s="61">
        <f>E24+F20</f>
        <v>11580</v>
      </c>
      <c r="F25" s="10">
        <f t="shared" si="1"/>
        <v>114</v>
      </c>
      <c r="G25" s="10"/>
      <c r="H25" s="239">
        <v>2950</v>
      </c>
    </row>
    <row r="26" spans="1:8" ht="15.75">
      <c r="A26" s="9">
        <v>43975</v>
      </c>
      <c r="B26" s="37">
        <v>13130770</v>
      </c>
      <c r="C26" s="80">
        <f t="shared" si="0"/>
        <v>27576</v>
      </c>
      <c r="D26" s="80"/>
      <c r="E26" s="41">
        <v>11672</v>
      </c>
      <c r="F26" s="10">
        <f t="shared" si="1"/>
        <v>92</v>
      </c>
      <c r="G26" s="10"/>
      <c r="H26" s="239">
        <v>2950</v>
      </c>
    </row>
    <row r="27" spans="1:8" ht="15.75">
      <c r="A27" s="9">
        <v>43976</v>
      </c>
      <c r="B27" s="56">
        <f>B26+C20</f>
        <v>13164119</v>
      </c>
      <c r="C27" s="80">
        <f t="shared" si="0"/>
        <v>33349</v>
      </c>
      <c r="D27" s="81"/>
      <c r="E27" s="42">
        <f>E26+F12</f>
        <v>11778</v>
      </c>
      <c r="F27" s="10">
        <f t="shared" si="1"/>
        <v>106</v>
      </c>
      <c r="G27" s="10"/>
      <c r="H27" s="239">
        <v>2950</v>
      </c>
    </row>
    <row r="28" spans="1:8" ht="15.75">
      <c r="A28" s="9">
        <v>43977</v>
      </c>
      <c r="B28" s="37">
        <v>13187324</v>
      </c>
      <c r="C28" s="80">
        <f t="shared" si="0"/>
        <v>23205</v>
      </c>
      <c r="D28" s="80"/>
      <c r="E28" s="62">
        <v>11836</v>
      </c>
      <c r="F28" s="10">
        <f t="shared" si="1"/>
        <v>58</v>
      </c>
      <c r="G28" s="10"/>
      <c r="H28" s="239">
        <v>2950</v>
      </c>
    </row>
    <row r="29" spans="1:8" ht="15.75">
      <c r="A29" s="9">
        <v>43978</v>
      </c>
      <c r="B29" s="37">
        <v>13217228</v>
      </c>
      <c r="C29" s="80">
        <f t="shared" si="0"/>
        <v>29904</v>
      </c>
      <c r="D29" s="64"/>
      <c r="E29" s="63">
        <v>12069</v>
      </c>
      <c r="F29" s="10">
        <f t="shared" si="1"/>
        <v>233</v>
      </c>
      <c r="G29" s="10"/>
      <c r="H29" s="239">
        <v>2950</v>
      </c>
    </row>
    <row r="30" spans="1:8" ht="15.75">
      <c r="A30" s="9">
        <v>43979</v>
      </c>
      <c r="B30" s="37">
        <v>13250170</v>
      </c>
      <c r="C30" s="80">
        <f t="shared" si="0"/>
        <v>32942</v>
      </c>
      <c r="D30" s="64">
        <v>32942</v>
      </c>
      <c r="E30" s="64">
        <v>12184</v>
      </c>
      <c r="F30" s="10">
        <f t="shared" si="1"/>
        <v>115</v>
      </c>
      <c r="G30" s="10">
        <v>115</v>
      </c>
      <c r="H30" s="239">
        <v>2950</v>
      </c>
    </row>
    <row r="31" spans="1:8" ht="15.75">
      <c r="A31" s="9">
        <v>43980</v>
      </c>
      <c r="B31" s="56">
        <f>B30+C21</f>
        <v>13285710</v>
      </c>
      <c r="C31" s="80">
        <f t="shared" si="0"/>
        <v>35540</v>
      </c>
      <c r="D31" s="64">
        <v>35540</v>
      </c>
      <c r="E31" s="63">
        <f>E30+F3</f>
        <v>12253</v>
      </c>
      <c r="F31" s="10">
        <f t="shared" si="1"/>
        <v>69</v>
      </c>
      <c r="G31" s="10">
        <v>69</v>
      </c>
      <c r="H31" s="239">
        <v>2950</v>
      </c>
    </row>
    <row r="32" spans="1:8" ht="15.75">
      <c r="A32" s="9">
        <v>43981</v>
      </c>
      <c r="B32" s="37">
        <v>13310321</v>
      </c>
      <c r="C32" s="80">
        <f t="shared" si="0"/>
        <v>24611</v>
      </c>
      <c r="D32" s="41">
        <v>24611</v>
      </c>
      <c r="E32" s="41">
        <v>12316</v>
      </c>
      <c r="F32" s="10">
        <f t="shared" si="1"/>
        <v>63</v>
      </c>
      <c r="G32" s="10">
        <v>63</v>
      </c>
      <c r="H32" s="239">
        <v>2950</v>
      </c>
    </row>
    <row r="33" spans="1:8" ht="15.75">
      <c r="A33" s="9">
        <v>43982</v>
      </c>
      <c r="B33" s="56">
        <f>B32+C27</f>
        <v>13343670</v>
      </c>
      <c r="C33" s="80">
        <f t="shared" si="0"/>
        <v>33349</v>
      </c>
      <c r="D33" s="41">
        <v>33349</v>
      </c>
      <c r="E33" s="41">
        <f>E32+F6</f>
        <v>12404</v>
      </c>
      <c r="F33" s="10">
        <f t="shared" si="1"/>
        <v>88</v>
      </c>
      <c r="G33" s="79">
        <v>88</v>
      </c>
      <c r="H33" s="239">
        <v>2950</v>
      </c>
    </row>
    <row r="34" spans="1:8">
      <c r="E34" s="48"/>
    </row>
    <row r="37" spans="1:8" ht="45">
      <c r="A37" s="34" t="s">
        <v>24</v>
      </c>
      <c r="B37" s="36" t="s">
        <v>26</v>
      </c>
    </row>
    <row r="38" spans="1:8">
      <c r="A38" s="9">
        <v>43952</v>
      </c>
      <c r="B38" s="50">
        <v>69</v>
      </c>
    </row>
    <row r="39" spans="1:8">
      <c r="A39" s="9">
        <v>43953</v>
      </c>
      <c r="B39" s="50">
        <v>79</v>
      </c>
    </row>
    <row r="40" spans="1:8">
      <c r="A40" s="9">
        <v>43954</v>
      </c>
      <c r="B40" s="50">
        <v>144</v>
      </c>
    </row>
    <row r="41" spans="1:8">
      <c r="A41" s="9">
        <v>43955</v>
      </c>
      <c r="B41" s="50">
        <v>88</v>
      </c>
    </row>
    <row r="42" spans="1:8">
      <c r="A42" s="9">
        <v>43956</v>
      </c>
      <c r="B42" s="50">
        <v>137</v>
      </c>
    </row>
    <row r="43" spans="1:8">
      <c r="A43" s="9">
        <v>43957</v>
      </c>
      <c r="B43" s="50">
        <v>145</v>
      </c>
    </row>
    <row r="44" spans="1:8">
      <c r="A44" s="9">
        <v>43958</v>
      </c>
      <c r="B44" s="50">
        <v>79</v>
      </c>
    </row>
    <row r="45" spans="1:8">
      <c r="A45" s="9">
        <v>43959</v>
      </c>
      <c r="B45" s="50">
        <v>79</v>
      </c>
    </row>
    <row r="46" spans="1:8">
      <c r="A46" s="9">
        <v>43960</v>
      </c>
      <c r="B46" s="50">
        <v>189</v>
      </c>
    </row>
    <row r="47" spans="1:8">
      <c r="A47" s="9">
        <v>43961</v>
      </c>
      <c r="B47" s="50">
        <v>106</v>
      </c>
    </row>
    <row r="48" spans="1:8">
      <c r="A48" s="9">
        <v>43962</v>
      </c>
      <c r="B48" s="50">
        <v>145</v>
      </c>
    </row>
    <row r="49" spans="1:2">
      <c r="A49" s="9">
        <v>43963</v>
      </c>
      <c r="B49" s="50">
        <v>105</v>
      </c>
    </row>
    <row r="50" spans="1:2">
      <c r="A50" s="9">
        <v>43964</v>
      </c>
      <c r="B50" s="50">
        <v>112</v>
      </c>
    </row>
    <row r="51" spans="1:2">
      <c r="A51" s="9">
        <v>43965</v>
      </c>
      <c r="B51" s="50">
        <v>79</v>
      </c>
    </row>
    <row r="52" spans="1:2">
      <c r="A52" s="9">
        <v>43966</v>
      </c>
      <c r="B52" s="50">
        <v>79</v>
      </c>
    </row>
    <row r="53" spans="1:2">
      <c r="A53" s="9">
        <v>43967</v>
      </c>
      <c r="B53" s="50">
        <v>52</v>
      </c>
    </row>
    <row r="54" spans="1:2">
      <c r="A54" s="9">
        <v>43968</v>
      </c>
      <c r="B54" s="50">
        <v>88</v>
      </c>
    </row>
    <row r="55" spans="1:2">
      <c r="A55" s="9">
        <v>43969</v>
      </c>
      <c r="B55" s="50">
        <v>114</v>
      </c>
    </row>
    <row r="56" spans="1:2">
      <c r="A56" s="9">
        <v>43970</v>
      </c>
      <c r="B56" s="50">
        <v>80</v>
      </c>
    </row>
    <row r="57" spans="1:2">
      <c r="A57" s="9">
        <v>43971</v>
      </c>
      <c r="B57" s="50">
        <v>116</v>
      </c>
    </row>
    <row r="58" spans="1:2">
      <c r="A58" s="9">
        <v>43972</v>
      </c>
      <c r="B58" s="50">
        <v>87</v>
      </c>
    </row>
    <row r="59" spans="1:2">
      <c r="A59" s="9">
        <v>43973</v>
      </c>
      <c r="B59" s="50">
        <v>87</v>
      </c>
    </row>
    <row r="60" spans="1:2">
      <c r="A60" s="9">
        <v>43974</v>
      </c>
      <c r="B60" s="50">
        <v>114</v>
      </c>
    </row>
    <row r="61" spans="1:2">
      <c r="A61" s="9">
        <v>43975</v>
      </c>
      <c r="B61" s="50">
        <v>92</v>
      </c>
    </row>
    <row r="62" spans="1:2">
      <c r="A62" s="9">
        <v>43976</v>
      </c>
      <c r="B62" s="50">
        <v>106</v>
      </c>
    </row>
    <row r="63" spans="1:2">
      <c r="A63" s="9">
        <v>43977</v>
      </c>
      <c r="B63" s="50">
        <v>58</v>
      </c>
    </row>
    <row r="64" spans="1:2">
      <c r="A64" s="9">
        <v>43978</v>
      </c>
      <c r="B64" s="50">
        <v>233</v>
      </c>
    </row>
    <row r="65" spans="1:2">
      <c r="A65" s="9">
        <v>43979</v>
      </c>
      <c r="B65" s="50">
        <v>115</v>
      </c>
    </row>
    <row r="66" spans="1:2">
      <c r="A66" s="9">
        <v>43980</v>
      </c>
      <c r="B66" s="50">
        <v>69</v>
      </c>
    </row>
    <row r="67" spans="1:2">
      <c r="A67" s="9">
        <v>43981</v>
      </c>
      <c r="B67" s="50">
        <v>63</v>
      </c>
    </row>
    <row r="68" spans="1:2" ht="15.75">
      <c r="A68" s="9">
        <v>43982</v>
      </c>
      <c r="B68" s="29">
        <v>88</v>
      </c>
    </row>
    <row r="70" spans="1:2" ht="60">
      <c r="A70" s="34" t="s">
        <v>24</v>
      </c>
      <c r="B70" s="36" t="s">
        <v>25</v>
      </c>
    </row>
    <row r="71" spans="1:2" ht="15.75">
      <c r="A71" s="9">
        <v>43952</v>
      </c>
      <c r="B71" s="49">
        <v>23097</v>
      </c>
    </row>
    <row r="72" spans="1:2" ht="15.75">
      <c r="A72" s="9">
        <v>43953</v>
      </c>
      <c r="B72" s="52">
        <v>34355</v>
      </c>
    </row>
    <row r="73" spans="1:2" ht="15.75">
      <c r="A73" s="9">
        <v>43954</v>
      </c>
      <c r="B73" s="52">
        <v>34355</v>
      </c>
    </row>
    <row r="74" spans="1:2" ht="15.75">
      <c r="A74" s="9">
        <v>43955</v>
      </c>
      <c r="B74" s="52">
        <v>28437</v>
      </c>
    </row>
    <row r="75" spans="1:2" ht="15.75">
      <c r="A75" s="9">
        <v>43956</v>
      </c>
      <c r="B75" s="52">
        <v>26699</v>
      </c>
    </row>
    <row r="76" spans="1:2" ht="15.75">
      <c r="A76" s="9">
        <v>43957</v>
      </c>
      <c r="B76" s="52">
        <v>27125</v>
      </c>
    </row>
    <row r="77" spans="1:2" ht="15.75">
      <c r="A77" s="9">
        <v>43958</v>
      </c>
      <c r="B77" s="52">
        <v>28198</v>
      </c>
    </row>
    <row r="78" spans="1:2" ht="15.75">
      <c r="A78" s="9">
        <v>43959</v>
      </c>
      <c r="B78" s="52">
        <v>28198</v>
      </c>
    </row>
    <row r="79" spans="1:2" ht="15.75">
      <c r="A79" s="9">
        <v>43960</v>
      </c>
      <c r="B79" s="52">
        <v>26973</v>
      </c>
    </row>
    <row r="80" spans="1:2" ht="15.75">
      <c r="A80" s="9">
        <v>43961</v>
      </c>
      <c r="B80" s="52">
        <v>33203</v>
      </c>
    </row>
    <row r="81" spans="1:2" ht="15.75">
      <c r="A81" s="9">
        <v>43962</v>
      </c>
      <c r="B81" s="52">
        <v>34761</v>
      </c>
    </row>
    <row r="82" spans="1:2" ht="15.75">
      <c r="A82" s="9">
        <v>43963</v>
      </c>
      <c r="B82" s="52">
        <v>33464</v>
      </c>
    </row>
    <row r="83" spans="1:2" ht="15.75">
      <c r="A83" s="9">
        <v>43964</v>
      </c>
      <c r="B83" s="52">
        <v>32768</v>
      </c>
    </row>
    <row r="84" spans="1:2" ht="15.75">
      <c r="A84" s="9">
        <v>43965</v>
      </c>
      <c r="B84" s="52">
        <v>33146</v>
      </c>
    </row>
    <row r="85" spans="1:2" ht="15.75">
      <c r="A85" s="9">
        <v>43966</v>
      </c>
      <c r="B85" s="52">
        <v>33146</v>
      </c>
    </row>
    <row r="86" spans="1:2" ht="15.75">
      <c r="A86" s="9">
        <v>43967</v>
      </c>
      <c r="B86" s="52">
        <v>34277</v>
      </c>
    </row>
    <row r="87" spans="1:2" ht="15.75">
      <c r="A87" s="9">
        <v>43968</v>
      </c>
      <c r="B87" s="52">
        <v>33871</v>
      </c>
    </row>
    <row r="88" spans="1:2" ht="15.75">
      <c r="A88" s="9">
        <v>43969</v>
      </c>
      <c r="B88" s="52">
        <v>33349</v>
      </c>
    </row>
    <row r="89" spans="1:2" ht="15.75">
      <c r="A89" s="9">
        <v>43970</v>
      </c>
      <c r="B89" s="52">
        <v>35540</v>
      </c>
    </row>
    <row r="90" spans="1:2" ht="15.75">
      <c r="A90" s="9">
        <v>43971</v>
      </c>
      <c r="B90" s="52">
        <v>29707</v>
      </c>
    </row>
    <row r="91" spans="1:2" ht="15.75">
      <c r="A91" s="9">
        <v>43972</v>
      </c>
      <c r="B91" s="52">
        <v>29003</v>
      </c>
    </row>
    <row r="92" spans="1:2" ht="15.75">
      <c r="A92" s="9">
        <v>43973</v>
      </c>
      <c r="B92" s="52">
        <v>29003</v>
      </c>
    </row>
    <row r="93" spans="1:2" ht="15.75">
      <c r="A93" s="9">
        <v>43974</v>
      </c>
      <c r="B93" s="52">
        <v>31000</v>
      </c>
    </row>
    <row r="94" spans="1:2" ht="15.75">
      <c r="A94" s="9">
        <v>43975</v>
      </c>
      <c r="B94" s="55">
        <v>27576</v>
      </c>
    </row>
    <row r="95" spans="1:2" ht="15.75">
      <c r="A95" s="9">
        <v>43976</v>
      </c>
      <c r="B95" s="55">
        <v>33349</v>
      </c>
    </row>
    <row r="96" spans="1:2">
      <c r="A96" s="9">
        <v>43977</v>
      </c>
      <c r="B96" s="53">
        <v>23205</v>
      </c>
    </row>
    <row r="97" spans="1:2">
      <c r="A97" s="9">
        <v>43978</v>
      </c>
      <c r="B97" s="41">
        <v>29904</v>
      </c>
    </row>
    <row r="98" spans="1:2" ht="15.75">
      <c r="A98" s="9">
        <v>43979</v>
      </c>
      <c r="B98" s="55">
        <v>32942</v>
      </c>
    </row>
    <row r="99" spans="1:2" ht="15.75">
      <c r="A99" s="9">
        <v>43980</v>
      </c>
      <c r="B99" s="55">
        <v>35540</v>
      </c>
    </row>
    <row r="100" spans="1:2">
      <c r="A100" s="9">
        <v>43981</v>
      </c>
      <c r="B100" s="53">
        <v>24611</v>
      </c>
    </row>
    <row r="101" spans="1:2">
      <c r="A101" s="9">
        <v>43982</v>
      </c>
      <c r="B101" s="41">
        <v>33349</v>
      </c>
    </row>
  </sheetData>
  <mergeCells count="1">
    <mergeCell ref="A1:R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44AA3-5CE1-45CA-8A3E-A711F971FAA0}">
  <dimension ref="A1:U101"/>
  <sheetViews>
    <sheetView workbookViewId="0">
      <selection activeCell="E15" sqref="E15"/>
    </sheetView>
  </sheetViews>
  <sheetFormatPr defaultRowHeight="15"/>
  <cols>
    <col min="2" max="2" width="12.42578125" style="20" customWidth="1"/>
    <col min="3" max="5" width="12.42578125" customWidth="1"/>
    <col min="6" max="7" width="10.85546875" customWidth="1"/>
    <col min="9" max="9" width="11" customWidth="1"/>
    <col min="10" max="10" width="10.7109375" customWidth="1"/>
    <col min="11" max="11" width="10.140625" customWidth="1"/>
    <col min="14" max="14" width="8.42578125" customWidth="1"/>
    <col min="15" max="15" width="5.28515625" style="20" customWidth="1"/>
    <col min="17" max="17" width="13.85546875" customWidth="1"/>
    <col min="18" max="18" width="14.28515625" customWidth="1"/>
  </cols>
  <sheetData>
    <row r="1" spans="1:18">
      <c r="A1" s="471"/>
      <c r="B1" s="471"/>
      <c r="C1" s="471"/>
      <c r="D1" s="471"/>
      <c r="E1" s="471"/>
      <c r="F1" s="471"/>
      <c r="G1" s="471"/>
      <c r="H1" s="471"/>
      <c r="I1" s="471"/>
      <c r="J1" s="471"/>
      <c r="K1" s="471"/>
      <c r="L1" s="471"/>
      <c r="M1" s="471"/>
      <c r="N1" s="471"/>
      <c r="O1" s="471"/>
      <c r="P1" s="471"/>
      <c r="Q1" s="471"/>
      <c r="R1" s="471"/>
    </row>
    <row r="2" spans="1:18" ht="60">
      <c r="A2" s="34" t="s">
        <v>24</v>
      </c>
      <c r="B2" s="57" t="s">
        <v>510</v>
      </c>
      <c r="C2" s="36" t="s">
        <v>25</v>
      </c>
      <c r="D2" s="36"/>
      <c r="E2" s="36"/>
      <c r="F2" s="36" t="s">
        <v>26</v>
      </c>
      <c r="G2" s="36"/>
      <c r="H2" s="36" t="s">
        <v>27</v>
      </c>
    </row>
    <row r="3" spans="1:18" ht="15.75">
      <c r="A3" s="9">
        <v>43983</v>
      </c>
      <c r="B3" s="174">
        <v>13386626</v>
      </c>
      <c r="C3" s="58">
        <f>B3-12389519</f>
        <v>997107</v>
      </c>
      <c r="D3" s="80">
        <v>43390</v>
      </c>
      <c r="E3" s="58">
        <v>12613</v>
      </c>
      <c r="F3" s="10">
        <v>69</v>
      </c>
      <c r="G3" s="10">
        <v>69</v>
      </c>
      <c r="H3" s="239">
        <v>2900</v>
      </c>
    </row>
    <row r="4" spans="1:18" ht="15.75">
      <c r="A4" s="9">
        <v>43984</v>
      </c>
      <c r="B4" s="59">
        <v>13425583</v>
      </c>
      <c r="C4" s="80">
        <f>B4-B3</f>
        <v>38957</v>
      </c>
      <c r="D4" s="80">
        <v>38957</v>
      </c>
      <c r="E4" s="59">
        <v>12732</v>
      </c>
      <c r="F4" s="10">
        <f>E4-E3</f>
        <v>119</v>
      </c>
      <c r="G4" s="10">
        <v>119</v>
      </c>
      <c r="H4" s="239">
        <v>2900</v>
      </c>
    </row>
    <row r="5" spans="1:18" ht="15.75">
      <c r="A5" s="9">
        <v>43985</v>
      </c>
      <c r="B5" s="59">
        <v>13463693</v>
      </c>
      <c r="C5" s="80">
        <f t="shared" ref="C5:C32" si="0">B5-B4</f>
        <v>38110</v>
      </c>
      <c r="D5" s="80">
        <v>38110</v>
      </c>
      <c r="E5" s="59">
        <v>12924</v>
      </c>
      <c r="F5" s="10">
        <f t="shared" ref="F5:F32" si="1">E5-E4</f>
        <v>192</v>
      </c>
      <c r="G5" s="10">
        <v>192</v>
      </c>
      <c r="H5" s="239">
        <v>2900</v>
      </c>
    </row>
    <row r="6" spans="1:18" ht="15.75">
      <c r="A6" s="9">
        <v>43986</v>
      </c>
      <c r="B6" s="59">
        <v>13500583</v>
      </c>
      <c r="C6" s="80">
        <f t="shared" si="0"/>
        <v>36890</v>
      </c>
      <c r="D6" s="80">
        <v>36890</v>
      </c>
      <c r="E6" s="59">
        <v>13104</v>
      </c>
      <c r="F6" s="10">
        <f t="shared" si="1"/>
        <v>180</v>
      </c>
      <c r="G6" s="10">
        <v>180</v>
      </c>
      <c r="H6" s="239">
        <v>2900</v>
      </c>
    </row>
    <row r="7" spans="1:18" ht="15.75">
      <c r="A7" s="9">
        <v>43987</v>
      </c>
      <c r="B7" s="60">
        <f>B6+C11</f>
        <v>13541726</v>
      </c>
      <c r="C7" s="80">
        <f t="shared" si="0"/>
        <v>41143</v>
      </c>
      <c r="D7" s="80">
        <v>41143</v>
      </c>
      <c r="E7" s="61">
        <f>E6+F4</f>
        <v>13223</v>
      </c>
      <c r="F7" s="10">
        <f t="shared" si="1"/>
        <v>119</v>
      </c>
      <c r="G7" s="10">
        <v>119</v>
      </c>
      <c r="H7" s="239">
        <v>2900</v>
      </c>
    </row>
    <row r="8" spans="1:18" ht="15.75">
      <c r="A8" s="9">
        <v>43988</v>
      </c>
      <c r="B8" s="59">
        <v>13561150</v>
      </c>
      <c r="C8" s="80">
        <f t="shared" si="0"/>
        <v>19424</v>
      </c>
      <c r="D8" s="80">
        <v>19424</v>
      </c>
      <c r="E8" s="59">
        <v>13312</v>
      </c>
      <c r="F8" s="10">
        <f t="shared" si="1"/>
        <v>89</v>
      </c>
      <c r="G8" s="10">
        <v>89</v>
      </c>
      <c r="H8" s="239">
        <v>2900</v>
      </c>
    </row>
    <row r="9" spans="1:18" ht="15.75">
      <c r="A9" s="9">
        <v>43989</v>
      </c>
      <c r="B9" s="59">
        <v>13604540</v>
      </c>
      <c r="C9" s="80">
        <f t="shared" si="0"/>
        <v>43390</v>
      </c>
      <c r="D9" s="80">
        <v>43390</v>
      </c>
      <c r="E9" s="59">
        <v>13462</v>
      </c>
      <c r="F9" s="10">
        <f t="shared" si="1"/>
        <v>150</v>
      </c>
      <c r="G9" s="10">
        <v>150</v>
      </c>
      <c r="H9" s="239">
        <v>2900</v>
      </c>
    </row>
    <row r="10" spans="1:18" ht="15.75">
      <c r="A10" s="9">
        <v>43990</v>
      </c>
      <c r="B10" s="59">
        <v>13644694</v>
      </c>
      <c r="C10" s="80">
        <f t="shared" si="0"/>
        <v>40154</v>
      </c>
      <c r="D10" s="80">
        <v>40154</v>
      </c>
      <c r="E10" s="59">
        <v>13521</v>
      </c>
      <c r="F10" s="10">
        <f t="shared" si="1"/>
        <v>59</v>
      </c>
      <c r="G10" s="10">
        <v>59</v>
      </c>
      <c r="H10" s="239">
        <v>2900</v>
      </c>
    </row>
    <row r="11" spans="1:18" ht="15.75">
      <c r="A11" s="9">
        <v>43991</v>
      </c>
      <c r="B11" s="59">
        <v>13685837</v>
      </c>
      <c r="C11" s="80">
        <f t="shared" si="0"/>
        <v>41143</v>
      </c>
      <c r="D11" s="80">
        <v>41143</v>
      </c>
      <c r="E11" s="59">
        <v>13650</v>
      </c>
      <c r="F11" s="10">
        <f t="shared" si="1"/>
        <v>129</v>
      </c>
      <c r="G11" s="10">
        <v>129</v>
      </c>
      <c r="H11" s="239">
        <v>2900</v>
      </c>
    </row>
    <row r="12" spans="1:18" ht="15.75">
      <c r="A12" s="9">
        <v>43992</v>
      </c>
      <c r="B12" s="59">
        <v>13729472</v>
      </c>
      <c r="C12" s="80">
        <f t="shared" si="0"/>
        <v>43635</v>
      </c>
      <c r="D12" s="80">
        <v>43635</v>
      </c>
      <c r="E12" s="59">
        <v>13773</v>
      </c>
      <c r="F12" s="10">
        <f t="shared" si="1"/>
        <v>123</v>
      </c>
      <c r="G12" s="10">
        <v>123</v>
      </c>
      <c r="H12" s="239">
        <v>2900</v>
      </c>
    </row>
    <row r="13" spans="1:18" ht="15.75">
      <c r="A13" s="9">
        <v>43993</v>
      </c>
      <c r="B13" s="59">
        <v>13774311</v>
      </c>
      <c r="C13" s="80">
        <f t="shared" si="0"/>
        <v>44839</v>
      </c>
      <c r="D13" s="80">
        <v>44839</v>
      </c>
      <c r="E13" s="59">
        <v>13866</v>
      </c>
      <c r="F13" s="10">
        <f t="shared" si="1"/>
        <v>93</v>
      </c>
      <c r="G13" s="10">
        <v>93</v>
      </c>
      <c r="H13" s="239">
        <v>2900</v>
      </c>
    </row>
    <row r="14" spans="1:18" ht="15.75">
      <c r="A14" s="9">
        <v>43994</v>
      </c>
      <c r="B14" s="60">
        <f>B13+C10</f>
        <v>13814465</v>
      </c>
      <c r="C14" s="80">
        <f t="shared" si="0"/>
        <v>40154</v>
      </c>
      <c r="D14" s="80">
        <v>40154</v>
      </c>
      <c r="E14" s="61">
        <f>E13+F8</f>
        <v>13955</v>
      </c>
      <c r="F14" s="10">
        <f t="shared" si="1"/>
        <v>89</v>
      </c>
      <c r="G14" s="10">
        <v>89</v>
      </c>
      <c r="H14" s="239">
        <v>2900</v>
      </c>
    </row>
    <row r="15" spans="1:18" ht="15.75">
      <c r="A15" s="9">
        <v>43995</v>
      </c>
      <c r="B15" s="59">
        <v>13855909</v>
      </c>
      <c r="C15" s="80">
        <f t="shared" si="0"/>
        <v>41444</v>
      </c>
      <c r="D15" s="80">
        <v>41444</v>
      </c>
      <c r="E15" s="59">
        <v>14086</v>
      </c>
      <c r="F15" s="10">
        <f t="shared" si="1"/>
        <v>131</v>
      </c>
      <c r="G15" s="10">
        <v>131</v>
      </c>
      <c r="H15" s="239">
        <v>2900</v>
      </c>
    </row>
    <row r="16" spans="1:18" ht="15.75">
      <c r="A16" s="9">
        <v>43996</v>
      </c>
      <c r="B16" s="59">
        <v>13892188</v>
      </c>
      <c r="C16" s="80">
        <f t="shared" si="0"/>
        <v>36279</v>
      </c>
      <c r="D16" s="80">
        <v>36279</v>
      </c>
      <c r="E16" s="59">
        <v>14167</v>
      </c>
      <c r="F16" s="10">
        <f t="shared" si="1"/>
        <v>81</v>
      </c>
      <c r="G16" s="10">
        <v>81</v>
      </c>
      <c r="H16" s="239">
        <v>2900</v>
      </c>
    </row>
    <row r="17" spans="1:21" ht="15.75">
      <c r="A17" s="9">
        <v>43997</v>
      </c>
      <c r="B17" s="59">
        <v>13930987</v>
      </c>
      <c r="C17" s="80">
        <f t="shared" si="0"/>
        <v>38799</v>
      </c>
      <c r="D17" s="80">
        <v>38799</v>
      </c>
      <c r="E17" s="59">
        <v>14272</v>
      </c>
      <c r="F17" s="10">
        <f t="shared" si="1"/>
        <v>105</v>
      </c>
      <c r="G17" s="10">
        <v>105</v>
      </c>
      <c r="H17" s="239">
        <v>2900</v>
      </c>
    </row>
    <row r="18" spans="1:21" ht="15.75">
      <c r="A18" s="9">
        <v>43998</v>
      </c>
      <c r="B18" s="59">
        <v>13967037</v>
      </c>
      <c r="C18" s="80">
        <f t="shared" si="0"/>
        <v>36050</v>
      </c>
      <c r="D18" s="80">
        <v>36050</v>
      </c>
      <c r="E18" s="61">
        <f>14259+69</f>
        <v>14328</v>
      </c>
      <c r="F18" s="10">
        <f t="shared" si="1"/>
        <v>56</v>
      </c>
      <c r="G18" s="10">
        <v>76</v>
      </c>
      <c r="H18" s="239">
        <v>2900</v>
      </c>
      <c r="U18">
        <v>88188</v>
      </c>
    </row>
    <row r="19" spans="1:21" ht="15.75">
      <c r="A19" s="9">
        <v>43999</v>
      </c>
      <c r="B19" s="59">
        <v>14004582</v>
      </c>
      <c r="C19" s="80">
        <f t="shared" si="0"/>
        <v>37545</v>
      </c>
      <c r="D19" s="80">
        <v>37545</v>
      </c>
      <c r="E19" s="59">
        <v>14381</v>
      </c>
      <c r="F19" s="10">
        <f t="shared" si="1"/>
        <v>53</v>
      </c>
      <c r="G19" s="10">
        <v>122</v>
      </c>
      <c r="H19" s="239">
        <v>2900</v>
      </c>
      <c r="U19">
        <v>939230</v>
      </c>
    </row>
    <row r="20" spans="1:21" ht="15.75">
      <c r="A20" s="9">
        <v>44000</v>
      </c>
      <c r="B20" s="59">
        <v>14042667</v>
      </c>
      <c r="C20" s="80">
        <f t="shared" si="0"/>
        <v>38085</v>
      </c>
      <c r="D20" s="80">
        <v>38085</v>
      </c>
      <c r="E20" s="59">
        <v>14476</v>
      </c>
      <c r="F20" s="10">
        <f t="shared" si="1"/>
        <v>95</v>
      </c>
      <c r="G20" s="10">
        <v>95</v>
      </c>
      <c r="H20" s="239">
        <v>2900</v>
      </c>
      <c r="U20">
        <v>591110</v>
      </c>
    </row>
    <row r="21" spans="1:21" ht="15.75">
      <c r="A21" s="9">
        <v>44001</v>
      </c>
      <c r="B21" s="60">
        <f>B20+C18</f>
        <v>14078717</v>
      </c>
      <c r="C21" s="80">
        <f t="shared" si="0"/>
        <v>36050</v>
      </c>
      <c r="D21" s="80">
        <v>36050</v>
      </c>
      <c r="E21" s="61">
        <f>E20+F13</f>
        <v>14569</v>
      </c>
      <c r="F21" s="10">
        <f t="shared" si="1"/>
        <v>93</v>
      </c>
      <c r="G21" s="10">
        <v>93</v>
      </c>
      <c r="H21" s="239">
        <v>2900</v>
      </c>
      <c r="U21">
        <v>2763208</v>
      </c>
    </row>
    <row r="22" spans="1:21" ht="15.75">
      <c r="A22" s="9">
        <v>44002</v>
      </c>
      <c r="B22" s="59">
        <v>14113136</v>
      </c>
      <c r="C22" s="80">
        <f t="shared" si="0"/>
        <v>34419</v>
      </c>
      <c r="D22" s="80">
        <v>34419</v>
      </c>
      <c r="E22" s="59">
        <v>14693</v>
      </c>
      <c r="F22" s="10">
        <f t="shared" si="1"/>
        <v>124</v>
      </c>
      <c r="G22" s="10">
        <v>124</v>
      </c>
      <c r="H22" s="239">
        <v>2900</v>
      </c>
      <c r="U22">
        <v>1350395</v>
      </c>
    </row>
    <row r="23" spans="1:21" ht="15.75">
      <c r="A23" s="9">
        <v>44003</v>
      </c>
      <c r="B23" s="59">
        <v>14143332</v>
      </c>
      <c r="C23" s="80">
        <f t="shared" si="0"/>
        <v>30196</v>
      </c>
      <c r="D23" s="80">
        <v>30196</v>
      </c>
      <c r="E23" s="59">
        <v>14821</v>
      </c>
      <c r="F23" s="10">
        <f t="shared" si="1"/>
        <v>128</v>
      </c>
      <c r="G23" s="10">
        <v>128</v>
      </c>
      <c r="H23" s="239">
        <v>2900</v>
      </c>
      <c r="U23">
        <v>7878161</v>
      </c>
    </row>
    <row r="24" spans="1:21" ht="15.75">
      <c r="A24" s="9">
        <v>44004</v>
      </c>
      <c r="B24" s="59">
        <v>14171953</v>
      </c>
      <c r="C24" s="80">
        <f t="shared" si="0"/>
        <v>28621</v>
      </c>
      <c r="D24" s="80">
        <v>28621</v>
      </c>
      <c r="E24" s="59">
        <v>14983</v>
      </c>
      <c r="F24" s="10">
        <f t="shared" si="1"/>
        <v>162</v>
      </c>
      <c r="G24" s="10">
        <v>162</v>
      </c>
      <c r="H24" s="239">
        <v>2900</v>
      </c>
      <c r="U24">
        <v>766589</v>
      </c>
    </row>
    <row r="25" spans="1:21" ht="15.75">
      <c r="A25" s="9">
        <v>44005</v>
      </c>
      <c r="B25" s="59">
        <v>14199197</v>
      </c>
      <c r="C25" s="80">
        <f t="shared" si="0"/>
        <v>27244</v>
      </c>
      <c r="D25" s="80">
        <v>27244</v>
      </c>
      <c r="E25" s="61">
        <v>15122</v>
      </c>
      <c r="F25" s="10">
        <f t="shared" si="1"/>
        <v>139</v>
      </c>
      <c r="G25" s="10">
        <v>139</v>
      </c>
      <c r="H25" s="239">
        <v>2900</v>
      </c>
      <c r="U25">
        <v>67618</v>
      </c>
    </row>
    <row r="26" spans="1:21" ht="15.75">
      <c r="A26" s="9">
        <v>44006</v>
      </c>
      <c r="B26" s="37">
        <v>14231795</v>
      </c>
      <c r="C26" s="80">
        <f t="shared" si="0"/>
        <v>32598</v>
      </c>
      <c r="D26" s="80">
        <v>32598</v>
      </c>
      <c r="E26" s="41">
        <v>15264</v>
      </c>
      <c r="F26" s="10">
        <f t="shared" si="1"/>
        <v>142</v>
      </c>
      <c r="G26" s="10">
        <v>142</v>
      </c>
      <c r="H26" s="239">
        <v>2900</v>
      </c>
      <c r="U26">
        <f>SUM(U18:U25)</f>
        <v>14444499</v>
      </c>
    </row>
    <row r="27" spans="1:21" ht="15.75">
      <c r="A27" s="9">
        <v>44007</v>
      </c>
      <c r="B27" s="56">
        <v>14262661</v>
      </c>
      <c r="C27" s="80">
        <f t="shared" si="0"/>
        <v>30866</v>
      </c>
      <c r="D27" s="81">
        <v>30866</v>
      </c>
      <c r="E27" s="42">
        <v>15412</v>
      </c>
      <c r="F27" s="10">
        <f t="shared" si="1"/>
        <v>148</v>
      </c>
      <c r="G27" s="10">
        <v>148</v>
      </c>
      <c r="H27" s="239">
        <v>2900</v>
      </c>
    </row>
    <row r="28" spans="1:21" ht="15.75">
      <c r="A28" s="9">
        <v>44008</v>
      </c>
      <c r="B28" s="56">
        <f>B27+C23</f>
        <v>14292857</v>
      </c>
      <c r="C28" s="80">
        <f t="shared" si="0"/>
        <v>30196</v>
      </c>
      <c r="D28" s="80">
        <v>30196</v>
      </c>
      <c r="E28" s="62">
        <f>E27+F12</f>
        <v>15535</v>
      </c>
      <c r="F28" s="10">
        <f t="shared" si="1"/>
        <v>123</v>
      </c>
      <c r="G28" s="10">
        <v>123</v>
      </c>
      <c r="H28" s="239">
        <v>2900</v>
      </c>
    </row>
    <row r="29" spans="1:21" ht="15.75">
      <c r="A29" s="9">
        <v>44009</v>
      </c>
      <c r="B29" s="37">
        <v>14333563</v>
      </c>
      <c r="C29" s="80">
        <f t="shared" si="0"/>
        <v>40706</v>
      </c>
      <c r="D29" s="64">
        <v>40706</v>
      </c>
      <c r="E29" s="63">
        <v>15692</v>
      </c>
      <c r="F29" s="10">
        <f t="shared" si="1"/>
        <v>157</v>
      </c>
      <c r="G29" s="10">
        <v>157</v>
      </c>
      <c r="H29" s="239">
        <v>2900</v>
      </c>
    </row>
    <row r="30" spans="1:21" ht="15.75">
      <c r="A30" s="9">
        <v>44010</v>
      </c>
      <c r="B30" s="37">
        <v>14369296</v>
      </c>
      <c r="C30" s="80">
        <f t="shared" si="0"/>
        <v>35733</v>
      </c>
      <c r="D30" s="64">
        <v>35733</v>
      </c>
      <c r="E30" s="64">
        <v>15876</v>
      </c>
      <c r="F30" s="10">
        <f t="shared" si="1"/>
        <v>184</v>
      </c>
      <c r="G30" s="10">
        <v>184</v>
      </c>
      <c r="H30" s="239">
        <v>2900</v>
      </c>
    </row>
    <row r="31" spans="1:21" ht="15.75">
      <c r="A31" s="9">
        <v>44011</v>
      </c>
      <c r="B31" s="56">
        <v>14408113</v>
      </c>
      <c r="C31" s="80">
        <f t="shared" si="0"/>
        <v>38817</v>
      </c>
      <c r="D31" s="64">
        <v>38817</v>
      </c>
      <c r="E31" s="63">
        <v>16156</v>
      </c>
      <c r="F31" s="10">
        <f t="shared" si="1"/>
        <v>280</v>
      </c>
      <c r="G31" s="10">
        <v>280</v>
      </c>
      <c r="H31" s="239">
        <v>2900</v>
      </c>
    </row>
    <row r="32" spans="1:21" ht="15.75">
      <c r="A32" s="9">
        <v>44012</v>
      </c>
      <c r="B32" s="56">
        <v>14444499</v>
      </c>
      <c r="C32" s="80">
        <f t="shared" si="0"/>
        <v>36386</v>
      </c>
      <c r="D32" s="41">
        <v>36386</v>
      </c>
      <c r="E32" s="41">
        <v>16344</v>
      </c>
      <c r="F32" s="10">
        <f t="shared" si="1"/>
        <v>188</v>
      </c>
      <c r="G32" s="10">
        <v>188</v>
      </c>
      <c r="H32" s="239">
        <v>2900</v>
      </c>
    </row>
    <row r="33" spans="1:8" ht="15.75">
      <c r="A33" s="9"/>
      <c r="B33"/>
      <c r="C33" s="52"/>
      <c r="D33" s="41"/>
      <c r="E33" s="41"/>
      <c r="F33" s="50"/>
      <c r="G33" s="29"/>
      <c r="H33" s="51"/>
    </row>
    <row r="34" spans="1:8">
      <c r="E34" s="48"/>
    </row>
    <row r="35" spans="1:8">
      <c r="B35"/>
    </row>
    <row r="37" spans="1:8" ht="45">
      <c r="A37" s="34" t="s">
        <v>24</v>
      </c>
      <c r="B37" s="65" t="s">
        <v>26</v>
      </c>
    </row>
    <row r="38" spans="1:8">
      <c r="A38" s="9">
        <v>43983</v>
      </c>
      <c r="B38" s="50">
        <v>69</v>
      </c>
    </row>
    <row r="39" spans="1:8">
      <c r="A39" s="9">
        <v>43984</v>
      </c>
      <c r="B39" s="50">
        <v>119</v>
      </c>
    </row>
    <row r="40" spans="1:8">
      <c r="A40" s="9">
        <v>43985</v>
      </c>
      <c r="B40" s="50">
        <v>192</v>
      </c>
    </row>
    <row r="41" spans="1:8">
      <c r="A41" s="9">
        <v>43986</v>
      </c>
      <c r="B41" s="50">
        <v>180</v>
      </c>
    </row>
    <row r="42" spans="1:8">
      <c r="A42" s="9">
        <v>43987</v>
      </c>
      <c r="B42" s="50">
        <v>119</v>
      </c>
    </row>
    <row r="43" spans="1:8">
      <c r="A43" s="9">
        <v>43988</v>
      </c>
      <c r="B43" s="50">
        <v>89</v>
      </c>
    </row>
    <row r="44" spans="1:8">
      <c r="A44" s="9">
        <v>43989</v>
      </c>
      <c r="B44" s="50">
        <v>150</v>
      </c>
    </row>
    <row r="45" spans="1:8">
      <c r="A45" s="9">
        <v>43990</v>
      </c>
      <c r="B45" s="50">
        <v>59</v>
      </c>
    </row>
    <row r="46" spans="1:8">
      <c r="A46" s="9">
        <v>43991</v>
      </c>
      <c r="B46" s="50">
        <v>129</v>
      </c>
    </row>
    <row r="47" spans="1:8">
      <c r="A47" s="9">
        <v>43992</v>
      </c>
      <c r="B47" s="50">
        <v>123</v>
      </c>
    </row>
    <row r="48" spans="1:8">
      <c r="A48" s="9">
        <v>43993</v>
      </c>
      <c r="B48" s="50">
        <v>93</v>
      </c>
    </row>
    <row r="49" spans="1:2">
      <c r="A49" s="9">
        <v>43994</v>
      </c>
      <c r="B49" s="50">
        <v>89</v>
      </c>
    </row>
    <row r="50" spans="1:2">
      <c r="A50" s="9">
        <v>43995</v>
      </c>
      <c r="B50" s="50">
        <v>131</v>
      </c>
    </row>
    <row r="51" spans="1:2">
      <c r="A51" s="9">
        <v>43996</v>
      </c>
      <c r="B51" s="50">
        <v>81</v>
      </c>
    </row>
    <row r="52" spans="1:2">
      <c r="A52" s="9">
        <v>43997</v>
      </c>
      <c r="B52" s="50">
        <v>105</v>
      </c>
    </row>
    <row r="53" spans="1:2">
      <c r="A53" s="9">
        <v>43998</v>
      </c>
      <c r="B53" s="50">
        <v>76</v>
      </c>
    </row>
    <row r="54" spans="1:2">
      <c r="A54" s="9">
        <v>43999</v>
      </c>
      <c r="B54" s="50">
        <v>122</v>
      </c>
    </row>
    <row r="55" spans="1:2">
      <c r="A55" s="9">
        <v>44000</v>
      </c>
      <c r="B55" s="50">
        <v>95</v>
      </c>
    </row>
    <row r="56" spans="1:2">
      <c r="A56" s="9">
        <v>44001</v>
      </c>
      <c r="B56" s="50">
        <v>93</v>
      </c>
    </row>
    <row r="57" spans="1:2">
      <c r="A57" s="9">
        <v>44002</v>
      </c>
      <c r="B57" s="50">
        <v>124</v>
      </c>
    </row>
    <row r="58" spans="1:2">
      <c r="A58" s="9">
        <v>44003</v>
      </c>
      <c r="B58" s="50">
        <v>128</v>
      </c>
    </row>
    <row r="59" spans="1:2">
      <c r="A59" s="9">
        <v>44004</v>
      </c>
      <c r="B59" s="50">
        <v>162</v>
      </c>
    </row>
    <row r="60" spans="1:2">
      <c r="A60" s="9">
        <v>44005</v>
      </c>
      <c r="B60" s="50">
        <v>139</v>
      </c>
    </row>
    <row r="61" spans="1:2">
      <c r="A61" s="9">
        <v>44006</v>
      </c>
      <c r="B61" s="50">
        <v>142</v>
      </c>
    </row>
    <row r="62" spans="1:2">
      <c r="A62" s="9">
        <v>44007</v>
      </c>
      <c r="B62" s="50">
        <v>148</v>
      </c>
    </row>
    <row r="63" spans="1:2">
      <c r="A63" s="9">
        <v>44008</v>
      </c>
      <c r="B63" s="50">
        <v>123</v>
      </c>
    </row>
    <row r="64" spans="1:2">
      <c r="A64" s="9">
        <v>44009</v>
      </c>
      <c r="B64" s="50">
        <v>157</v>
      </c>
    </row>
    <row r="65" spans="1:2">
      <c r="A65" s="9">
        <v>44010</v>
      </c>
      <c r="B65" s="50">
        <v>184</v>
      </c>
    </row>
    <row r="66" spans="1:2">
      <c r="A66" s="9">
        <v>44011</v>
      </c>
      <c r="B66" s="50">
        <v>280</v>
      </c>
    </row>
    <row r="67" spans="1:2">
      <c r="A67" s="9">
        <v>44012</v>
      </c>
      <c r="B67" s="50">
        <v>188</v>
      </c>
    </row>
    <row r="68" spans="1:2" ht="15.75">
      <c r="A68" s="9"/>
      <c r="B68" s="46"/>
    </row>
    <row r="70" spans="1:2" ht="60">
      <c r="A70" s="34" t="s">
        <v>24</v>
      </c>
      <c r="B70" s="65" t="s">
        <v>25</v>
      </c>
    </row>
    <row r="71" spans="1:2" ht="15.75">
      <c r="A71" s="9">
        <v>43983</v>
      </c>
      <c r="B71" s="52">
        <v>43390</v>
      </c>
    </row>
    <row r="72" spans="1:2" ht="15.75">
      <c r="A72" s="9">
        <v>43984</v>
      </c>
      <c r="B72" s="52">
        <v>38957</v>
      </c>
    </row>
    <row r="73" spans="1:2" ht="15.75">
      <c r="A73" s="9">
        <v>43985</v>
      </c>
      <c r="B73" s="52">
        <v>38110</v>
      </c>
    </row>
    <row r="74" spans="1:2" ht="15.75">
      <c r="A74" s="9">
        <v>43986</v>
      </c>
      <c r="B74" s="52">
        <v>36890</v>
      </c>
    </row>
    <row r="75" spans="1:2" ht="15.75">
      <c r="A75" s="9">
        <v>43987</v>
      </c>
      <c r="B75" s="52">
        <v>41143</v>
      </c>
    </row>
    <row r="76" spans="1:2" ht="15.75">
      <c r="A76" s="9">
        <v>43988</v>
      </c>
      <c r="B76" s="52">
        <v>19424</v>
      </c>
    </row>
    <row r="77" spans="1:2" ht="15.75">
      <c r="A77" s="9">
        <v>43989</v>
      </c>
      <c r="B77" s="52">
        <v>43390</v>
      </c>
    </row>
    <row r="78" spans="1:2" ht="15.75">
      <c r="A78" s="9">
        <v>43990</v>
      </c>
      <c r="B78" s="52">
        <v>40154</v>
      </c>
    </row>
    <row r="79" spans="1:2" ht="15.75">
      <c r="A79" s="9">
        <v>43991</v>
      </c>
      <c r="B79" s="52">
        <v>41143</v>
      </c>
    </row>
    <row r="80" spans="1:2" ht="15.75">
      <c r="A80" s="9">
        <v>43992</v>
      </c>
      <c r="B80" s="52">
        <v>43635</v>
      </c>
    </row>
    <row r="81" spans="1:2" ht="15.75">
      <c r="A81" s="9">
        <v>43993</v>
      </c>
      <c r="B81" s="52">
        <v>44839</v>
      </c>
    </row>
    <row r="82" spans="1:2" ht="15.75">
      <c r="A82" s="9">
        <v>43994</v>
      </c>
      <c r="B82" s="52">
        <v>40154</v>
      </c>
    </row>
    <row r="83" spans="1:2" ht="15.75">
      <c r="A83" s="9">
        <v>43995</v>
      </c>
      <c r="B83" s="52">
        <v>41444</v>
      </c>
    </row>
    <row r="84" spans="1:2" ht="15.75">
      <c r="A84" s="9">
        <v>43996</v>
      </c>
      <c r="B84" s="52">
        <v>36279</v>
      </c>
    </row>
    <row r="85" spans="1:2" ht="15.75">
      <c r="A85" s="9">
        <v>43997</v>
      </c>
      <c r="B85" s="52">
        <v>38799</v>
      </c>
    </row>
    <row r="86" spans="1:2" ht="15.75">
      <c r="A86" s="9">
        <v>43998</v>
      </c>
      <c r="B86" s="52">
        <v>36050</v>
      </c>
    </row>
    <row r="87" spans="1:2" ht="15.75">
      <c r="A87" s="9">
        <v>43999</v>
      </c>
      <c r="B87" s="52">
        <v>37545</v>
      </c>
    </row>
    <row r="88" spans="1:2" ht="15.75">
      <c r="A88" s="9">
        <v>44000</v>
      </c>
      <c r="B88" s="52">
        <v>38085</v>
      </c>
    </row>
    <row r="89" spans="1:2" ht="15.75">
      <c r="A89" s="9">
        <v>44001</v>
      </c>
      <c r="B89" s="52">
        <v>36050</v>
      </c>
    </row>
    <row r="90" spans="1:2" ht="15.75">
      <c r="A90" s="9">
        <v>44002</v>
      </c>
      <c r="B90" s="52">
        <v>34419</v>
      </c>
    </row>
    <row r="91" spans="1:2" ht="15.75">
      <c r="A91" s="9">
        <v>44003</v>
      </c>
      <c r="B91" s="52">
        <v>30196</v>
      </c>
    </row>
    <row r="92" spans="1:2" ht="15.75">
      <c r="A92" s="9">
        <v>44004</v>
      </c>
      <c r="B92" s="52">
        <v>28621</v>
      </c>
    </row>
    <row r="93" spans="1:2" ht="15.75">
      <c r="A93" s="9">
        <v>44005</v>
      </c>
      <c r="B93" s="52">
        <v>27244</v>
      </c>
    </row>
    <row r="94" spans="1:2" ht="15.75">
      <c r="A94" s="9">
        <v>44006</v>
      </c>
      <c r="B94" s="52">
        <v>32598</v>
      </c>
    </row>
    <row r="95" spans="1:2" ht="15.75">
      <c r="A95" s="9">
        <v>44007</v>
      </c>
      <c r="B95" s="54">
        <v>30866</v>
      </c>
    </row>
    <row r="96" spans="1:2" ht="15.75">
      <c r="A96" s="9">
        <v>44008</v>
      </c>
      <c r="B96" s="52">
        <v>30196</v>
      </c>
    </row>
    <row r="97" spans="1:2" ht="15.75">
      <c r="A97" s="9">
        <v>44009</v>
      </c>
      <c r="B97" s="55">
        <v>40706</v>
      </c>
    </row>
    <row r="98" spans="1:2" ht="15.75">
      <c r="A98" s="9">
        <v>44010</v>
      </c>
      <c r="B98" s="55">
        <v>35733</v>
      </c>
    </row>
    <row r="99" spans="1:2" ht="15.75">
      <c r="A99" s="9">
        <v>44011</v>
      </c>
      <c r="B99" s="55">
        <v>38817</v>
      </c>
    </row>
    <row r="100" spans="1:2">
      <c r="A100" s="9">
        <v>44012</v>
      </c>
      <c r="B100" s="53">
        <v>36386</v>
      </c>
    </row>
    <row r="101" spans="1:2">
      <c r="A101" s="9"/>
      <c r="B101" s="41"/>
    </row>
  </sheetData>
  <mergeCells count="1">
    <mergeCell ref="A1:R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EBAD-67B3-4BED-B8F4-2F599DA3BF45}">
  <dimension ref="A1:U101"/>
  <sheetViews>
    <sheetView workbookViewId="0">
      <selection activeCell="B3" sqref="B3:H33"/>
    </sheetView>
  </sheetViews>
  <sheetFormatPr defaultRowHeight="15"/>
  <cols>
    <col min="2" max="2" width="12.42578125" style="20" customWidth="1"/>
    <col min="3" max="5" width="12.42578125" customWidth="1"/>
    <col min="6" max="7" width="10.85546875" customWidth="1"/>
    <col min="9" max="9" width="11" customWidth="1"/>
    <col min="10" max="10" width="10.7109375" customWidth="1"/>
    <col min="11" max="11" width="10.140625" customWidth="1"/>
    <col min="14" max="14" width="8.42578125" customWidth="1"/>
    <col min="15" max="15" width="5.28515625" style="20" customWidth="1"/>
    <col min="17" max="17" width="13.85546875" customWidth="1"/>
    <col min="18" max="18" width="14.28515625" customWidth="1"/>
  </cols>
  <sheetData>
    <row r="1" spans="1:18">
      <c r="A1" s="471"/>
      <c r="B1" s="471"/>
      <c r="C1" s="471"/>
      <c r="D1" s="471"/>
      <c r="E1" s="471"/>
      <c r="F1" s="471"/>
      <c r="G1" s="471"/>
      <c r="H1" s="471"/>
      <c r="I1" s="471"/>
      <c r="J1" s="471"/>
      <c r="K1" s="471"/>
      <c r="L1" s="471"/>
      <c r="M1" s="471"/>
      <c r="N1" s="471"/>
      <c r="O1" s="471"/>
      <c r="P1" s="471"/>
      <c r="Q1" s="471"/>
      <c r="R1" s="471"/>
    </row>
    <row r="2" spans="1:18" ht="60">
      <c r="A2" s="34" t="s">
        <v>24</v>
      </c>
      <c r="B2" s="57" t="s">
        <v>510</v>
      </c>
      <c r="C2" s="36" t="s">
        <v>25</v>
      </c>
      <c r="D2" s="36"/>
      <c r="E2" s="36"/>
      <c r="F2" s="36" t="s">
        <v>26</v>
      </c>
      <c r="G2" s="36"/>
      <c r="H2" s="36" t="s">
        <v>27</v>
      </c>
    </row>
    <row r="3" spans="1:18" ht="15.75">
      <c r="A3" s="9">
        <v>44013</v>
      </c>
      <c r="B3" s="174">
        <v>14483252</v>
      </c>
      <c r="C3" s="58">
        <f>B3-14444499</f>
        <v>38753</v>
      </c>
      <c r="D3" s="80">
        <v>38753</v>
      </c>
      <c r="E3" s="58">
        <v>16557</v>
      </c>
      <c r="F3" s="10">
        <v>69</v>
      </c>
      <c r="G3" s="10">
        <v>69</v>
      </c>
      <c r="H3" s="239">
        <v>2900</v>
      </c>
    </row>
    <row r="4" spans="1:18" ht="15.75">
      <c r="A4" s="9">
        <v>44014</v>
      </c>
      <c r="B4" s="59">
        <v>14525553</v>
      </c>
      <c r="C4" s="80">
        <f>B4-B3</f>
        <v>42301</v>
      </c>
      <c r="D4" s="80">
        <v>42301</v>
      </c>
      <c r="E4" s="59">
        <v>16764</v>
      </c>
      <c r="F4" s="10">
        <f>E4-E3</f>
        <v>207</v>
      </c>
      <c r="G4" s="10">
        <v>207</v>
      </c>
      <c r="H4" s="239">
        <v>2900</v>
      </c>
    </row>
    <row r="5" spans="1:18" ht="15.75">
      <c r="A5" s="9">
        <v>44015</v>
      </c>
      <c r="B5" s="60">
        <f>B4+C10</f>
        <v>14571260</v>
      </c>
      <c r="C5" s="80">
        <f t="shared" ref="C5:C33" si="0">B5-B4</f>
        <v>45707</v>
      </c>
      <c r="D5" s="80">
        <v>45707</v>
      </c>
      <c r="E5" s="61">
        <f>E4+F11</f>
        <v>16974</v>
      </c>
      <c r="F5" s="10">
        <f t="shared" ref="F5:F33" si="1">E5-E4</f>
        <v>210</v>
      </c>
      <c r="G5" s="10">
        <v>210</v>
      </c>
      <c r="H5" s="239">
        <v>2900</v>
      </c>
    </row>
    <row r="6" spans="1:18" ht="15.75">
      <c r="A6" s="9">
        <v>44016</v>
      </c>
      <c r="B6" s="59">
        <v>14607230</v>
      </c>
      <c r="C6" s="80">
        <f t="shared" si="0"/>
        <v>35970</v>
      </c>
      <c r="D6" s="80">
        <v>35970</v>
      </c>
      <c r="E6" s="59">
        <v>17168</v>
      </c>
      <c r="F6" s="10">
        <f t="shared" si="1"/>
        <v>194</v>
      </c>
      <c r="G6" s="10">
        <v>194</v>
      </c>
      <c r="H6" s="239">
        <v>2900</v>
      </c>
    </row>
    <row r="7" spans="1:18" ht="15.75">
      <c r="A7" s="9">
        <v>44017</v>
      </c>
      <c r="B7" s="60">
        <f>B6+C11</f>
        <v>14656121</v>
      </c>
      <c r="C7" s="80">
        <f t="shared" si="0"/>
        <v>48891</v>
      </c>
      <c r="D7" s="80">
        <v>48891</v>
      </c>
      <c r="E7" s="61">
        <v>17347</v>
      </c>
      <c r="F7" s="10">
        <f t="shared" si="1"/>
        <v>179</v>
      </c>
      <c r="G7" s="10">
        <v>179</v>
      </c>
      <c r="H7" s="239">
        <v>2900</v>
      </c>
    </row>
    <row r="8" spans="1:18" ht="15.75">
      <c r="A8" s="9">
        <v>44018</v>
      </c>
      <c r="B8" s="59">
        <v>14697490</v>
      </c>
      <c r="C8" s="80">
        <f t="shared" si="0"/>
        <v>41369</v>
      </c>
      <c r="D8" s="80">
        <v>41369</v>
      </c>
      <c r="E8" s="59">
        <v>17552</v>
      </c>
      <c r="F8" s="10">
        <f t="shared" si="1"/>
        <v>205</v>
      </c>
      <c r="G8" s="10">
        <v>205</v>
      </c>
      <c r="H8" s="239">
        <v>49080</v>
      </c>
    </row>
    <row r="9" spans="1:18" ht="15.75">
      <c r="A9" s="9">
        <v>44019</v>
      </c>
      <c r="B9" s="59">
        <v>14742032</v>
      </c>
      <c r="C9" s="80">
        <f t="shared" si="0"/>
        <v>44542</v>
      </c>
      <c r="D9" s="80">
        <v>44542</v>
      </c>
      <c r="E9" s="59">
        <v>17749</v>
      </c>
      <c r="F9" s="10">
        <f t="shared" si="1"/>
        <v>197</v>
      </c>
      <c r="G9" s="10">
        <v>197</v>
      </c>
      <c r="H9" s="239">
        <v>2900</v>
      </c>
    </row>
    <row r="10" spans="1:18" ht="15.75">
      <c r="A10" s="9">
        <v>44020</v>
      </c>
      <c r="B10" s="59">
        <v>14787739</v>
      </c>
      <c r="C10" s="80">
        <f t="shared" si="0"/>
        <v>45707</v>
      </c>
      <c r="D10" s="80">
        <v>45707</v>
      </c>
      <c r="E10" s="59">
        <v>17952</v>
      </c>
      <c r="F10" s="10">
        <f t="shared" si="1"/>
        <v>203</v>
      </c>
      <c r="G10" s="10">
        <v>203</v>
      </c>
      <c r="H10" s="239">
        <v>2900</v>
      </c>
    </row>
    <row r="11" spans="1:18" ht="15.75">
      <c r="A11" s="9">
        <v>44021</v>
      </c>
      <c r="B11" s="59">
        <v>14836630</v>
      </c>
      <c r="C11" s="80">
        <f t="shared" si="0"/>
        <v>48891</v>
      </c>
      <c r="D11" s="80">
        <v>48891</v>
      </c>
      <c r="E11" s="59">
        <v>18162</v>
      </c>
      <c r="F11" s="10">
        <f t="shared" si="1"/>
        <v>210</v>
      </c>
      <c r="G11" s="10">
        <v>210</v>
      </c>
      <c r="H11" s="239">
        <v>2900</v>
      </c>
    </row>
    <row r="12" spans="1:18" ht="15.75">
      <c r="A12" s="9">
        <v>44022</v>
      </c>
      <c r="B12" s="60">
        <f>B11+C16</f>
        <v>14879019</v>
      </c>
      <c r="C12" s="80">
        <f t="shared" si="0"/>
        <v>42389</v>
      </c>
      <c r="D12" s="80">
        <v>42389</v>
      </c>
      <c r="E12" s="61">
        <f>E11+F8</f>
        <v>18367</v>
      </c>
      <c r="F12" s="10">
        <f t="shared" si="1"/>
        <v>205</v>
      </c>
      <c r="G12" s="10">
        <v>205</v>
      </c>
      <c r="H12" s="239">
        <v>2900</v>
      </c>
    </row>
    <row r="13" spans="1:18" ht="15.75">
      <c r="A13" s="9">
        <v>44023</v>
      </c>
      <c r="B13" s="59">
        <v>14930140</v>
      </c>
      <c r="C13" s="80">
        <f t="shared" si="0"/>
        <v>51121</v>
      </c>
      <c r="D13" s="80">
        <v>51121</v>
      </c>
      <c r="E13" s="61">
        <f>E12+F17</f>
        <v>18605</v>
      </c>
      <c r="F13" s="10">
        <f t="shared" si="1"/>
        <v>238</v>
      </c>
      <c r="G13" s="10">
        <v>238</v>
      </c>
      <c r="H13" s="239">
        <v>2900</v>
      </c>
    </row>
    <row r="14" spans="1:18" ht="15.75">
      <c r="A14" s="9">
        <v>44024</v>
      </c>
      <c r="B14" s="60">
        <v>14966536</v>
      </c>
      <c r="C14" s="80">
        <f t="shared" si="0"/>
        <v>36396</v>
      </c>
      <c r="D14" s="80">
        <v>36396</v>
      </c>
      <c r="E14" s="61">
        <v>18812</v>
      </c>
      <c r="F14" s="10">
        <f t="shared" si="1"/>
        <v>207</v>
      </c>
      <c r="G14" s="10">
        <v>207</v>
      </c>
      <c r="H14" s="239">
        <v>2900</v>
      </c>
    </row>
    <row r="15" spans="1:18" ht="15.75">
      <c r="A15" s="9">
        <v>44025</v>
      </c>
      <c r="B15" s="59">
        <v>15006357</v>
      </c>
      <c r="C15" s="80">
        <f t="shared" si="0"/>
        <v>39821</v>
      </c>
      <c r="D15" s="80">
        <v>39821</v>
      </c>
      <c r="E15" s="59">
        <v>19037</v>
      </c>
      <c r="F15" s="10">
        <f t="shared" si="1"/>
        <v>225</v>
      </c>
      <c r="G15" s="10">
        <v>225</v>
      </c>
      <c r="H15" s="239">
        <v>2900</v>
      </c>
    </row>
    <row r="16" spans="1:18" ht="15.75">
      <c r="A16" s="9">
        <v>44026</v>
      </c>
      <c r="B16" s="59">
        <v>15048746</v>
      </c>
      <c r="C16" s="80">
        <f t="shared" si="0"/>
        <v>42389</v>
      </c>
      <c r="D16" s="80">
        <v>42389</v>
      </c>
      <c r="E16" s="59">
        <v>19268</v>
      </c>
      <c r="F16" s="10">
        <f t="shared" si="1"/>
        <v>231</v>
      </c>
      <c r="G16" s="10">
        <v>231</v>
      </c>
      <c r="H16" s="239">
        <v>2900</v>
      </c>
    </row>
    <row r="17" spans="1:21" ht="15.75">
      <c r="A17" s="9">
        <v>44027</v>
      </c>
      <c r="B17" s="59">
        <v>15087256</v>
      </c>
      <c r="C17" s="80">
        <f t="shared" si="0"/>
        <v>38510</v>
      </c>
      <c r="D17" s="80">
        <v>38510</v>
      </c>
      <c r="E17" s="59">
        <v>19506</v>
      </c>
      <c r="F17" s="10">
        <f t="shared" si="1"/>
        <v>238</v>
      </c>
      <c r="G17" s="10">
        <v>238</v>
      </c>
      <c r="H17" s="239">
        <v>2900</v>
      </c>
    </row>
    <row r="18" spans="1:21" ht="15.75">
      <c r="A18" s="9">
        <v>44028</v>
      </c>
      <c r="B18" s="59">
        <v>15131570</v>
      </c>
      <c r="C18" s="80">
        <f t="shared" si="0"/>
        <v>44314</v>
      </c>
      <c r="D18" s="80">
        <v>44314</v>
      </c>
      <c r="E18" s="61">
        <v>19733</v>
      </c>
      <c r="F18" s="10">
        <f t="shared" si="1"/>
        <v>227</v>
      </c>
      <c r="G18" s="10">
        <v>227</v>
      </c>
      <c r="H18" s="239">
        <v>2900</v>
      </c>
      <c r="U18">
        <v>89474</v>
      </c>
    </row>
    <row r="19" spans="1:21" ht="15.75">
      <c r="A19" s="9">
        <v>44029</v>
      </c>
      <c r="B19" s="60">
        <f>B18+C11</f>
        <v>15180461</v>
      </c>
      <c r="C19" s="80">
        <f t="shared" si="0"/>
        <v>48891</v>
      </c>
      <c r="D19" s="80">
        <v>48891</v>
      </c>
      <c r="E19" s="61">
        <f>E18+250</f>
        <v>19983</v>
      </c>
      <c r="F19" s="10">
        <f t="shared" si="1"/>
        <v>250</v>
      </c>
      <c r="G19" s="10">
        <v>250</v>
      </c>
      <c r="H19" s="239">
        <v>2900</v>
      </c>
      <c r="U19">
        <v>984025</v>
      </c>
    </row>
    <row r="20" spans="1:21" ht="15.75">
      <c r="A20" s="9">
        <v>44030</v>
      </c>
      <c r="B20" s="59">
        <v>15212569</v>
      </c>
      <c r="C20" s="80">
        <f t="shared" si="0"/>
        <v>32108</v>
      </c>
      <c r="D20" s="80">
        <v>32108</v>
      </c>
      <c r="E20" s="59">
        <v>20248</v>
      </c>
      <c r="F20" s="10">
        <f t="shared" si="1"/>
        <v>265</v>
      </c>
      <c r="G20" s="10">
        <v>265</v>
      </c>
      <c r="H20" s="239">
        <v>2900</v>
      </c>
      <c r="U20">
        <v>611338</v>
      </c>
    </row>
    <row r="21" spans="1:21" ht="15.75">
      <c r="A21" s="9">
        <v>44031</v>
      </c>
      <c r="B21" s="60">
        <v>15250973</v>
      </c>
      <c r="C21" s="80">
        <f t="shared" si="0"/>
        <v>38404</v>
      </c>
      <c r="D21" s="80">
        <v>38404</v>
      </c>
      <c r="E21" s="61">
        <v>20474</v>
      </c>
      <c r="F21" s="10">
        <f t="shared" si="1"/>
        <v>226</v>
      </c>
      <c r="G21" s="10">
        <v>226</v>
      </c>
      <c r="H21" s="239">
        <v>2900</v>
      </c>
      <c r="U21">
        <v>2820960</v>
      </c>
    </row>
    <row r="22" spans="1:21" ht="15.75">
      <c r="A22" s="9">
        <v>44032</v>
      </c>
      <c r="B22" s="59">
        <v>15295561</v>
      </c>
      <c r="C22" s="80">
        <f t="shared" si="0"/>
        <v>44588</v>
      </c>
      <c r="D22" s="80">
        <v>44588</v>
      </c>
      <c r="E22" s="59">
        <v>20687</v>
      </c>
      <c r="F22" s="10">
        <f t="shared" si="1"/>
        <v>213</v>
      </c>
      <c r="G22" s="10">
        <v>213</v>
      </c>
      <c r="H22" s="239">
        <v>2900</v>
      </c>
      <c r="U22">
        <v>1366032</v>
      </c>
    </row>
    <row r="23" spans="1:21" ht="15.75">
      <c r="A23" s="9">
        <v>44033</v>
      </c>
      <c r="B23" s="59">
        <v>15337226</v>
      </c>
      <c r="C23" s="80">
        <f t="shared" si="0"/>
        <v>41665</v>
      </c>
      <c r="D23" s="80">
        <v>41665</v>
      </c>
      <c r="E23" s="59">
        <v>20908</v>
      </c>
      <c r="F23" s="10">
        <f t="shared" si="1"/>
        <v>221</v>
      </c>
      <c r="G23" s="10">
        <v>221</v>
      </c>
      <c r="H23" s="239">
        <v>2900</v>
      </c>
      <c r="U23">
        <v>7952672</v>
      </c>
    </row>
    <row r="24" spans="1:21" ht="15.75">
      <c r="A24" s="9">
        <v>44034</v>
      </c>
      <c r="B24" s="59">
        <v>15382385</v>
      </c>
      <c r="C24" s="80">
        <f t="shared" si="0"/>
        <v>45159</v>
      </c>
      <c r="D24" s="80">
        <v>45159</v>
      </c>
      <c r="E24" s="59">
        <v>21131</v>
      </c>
      <c r="F24" s="10">
        <f t="shared" si="1"/>
        <v>223</v>
      </c>
      <c r="G24" s="10">
        <v>223</v>
      </c>
      <c r="H24" s="239">
        <v>2900</v>
      </c>
      <c r="U24">
        <v>804255</v>
      </c>
    </row>
    <row r="25" spans="1:21" ht="15.75">
      <c r="A25" s="9">
        <v>44035</v>
      </c>
      <c r="B25" s="59">
        <v>15425729</v>
      </c>
      <c r="C25" s="80">
        <f t="shared" si="0"/>
        <v>43344</v>
      </c>
      <c r="D25" s="80">
        <v>43344</v>
      </c>
      <c r="E25" s="61">
        <v>21359</v>
      </c>
      <c r="F25" s="10">
        <f t="shared" si="1"/>
        <v>228</v>
      </c>
      <c r="G25" s="10">
        <v>228</v>
      </c>
      <c r="H25" s="239">
        <v>2900</v>
      </c>
      <c r="U25">
        <v>68734</v>
      </c>
    </row>
    <row r="26" spans="1:21" ht="15.75">
      <c r="A26" s="9">
        <v>44036</v>
      </c>
      <c r="B26" s="56">
        <f>B25+C17</f>
        <v>15464239</v>
      </c>
      <c r="C26" s="80">
        <f t="shared" si="0"/>
        <v>38510</v>
      </c>
      <c r="D26" s="80">
        <v>38510</v>
      </c>
      <c r="E26" s="41">
        <f>E25+F17</f>
        <v>21597</v>
      </c>
      <c r="F26" s="10">
        <f t="shared" si="1"/>
        <v>238</v>
      </c>
      <c r="G26" s="10">
        <v>238</v>
      </c>
      <c r="H26" s="239">
        <v>2900</v>
      </c>
      <c r="U26">
        <f>SUM(U18:U25)</f>
        <v>14697490</v>
      </c>
    </row>
    <row r="27" spans="1:21" ht="15.75">
      <c r="A27" s="9">
        <v>44037</v>
      </c>
      <c r="B27" s="56">
        <v>15513326</v>
      </c>
      <c r="C27" s="80">
        <f t="shared" si="0"/>
        <v>49087</v>
      </c>
      <c r="D27" s="81">
        <v>49087</v>
      </c>
      <c r="E27" s="42">
        <v>21815</v>
      </c>
      <c r="F27" s="10">
        <f t="shared" si="1"/>
        <v>218</v>
      </c>
      <c r="G27" s="10">
        <v>218</v>
      </c>
      <c r="H27" s="239">
        <v>2900</v>
      </c>
    </row>
    <row r="28" spans="1:21" ht="15.75">
      <c r="A28" s="9">
        <v>44038</v>
      </c>
      <c r="B28" s="240">
        <v>15557840</v>
      </c>
      <c r="C28" s="80">
        <f t="shared" si="0"/>
        <v>44514</v>
      </c>
      <c r="D28" s="80">
        <v>44514</v>
      </c>
      <c r="E28" s="62">
        <v>22026</v>
      </c>
      <c r="F28" s="10">
        <f t="shared" si="1"/>
        <v>211</v>
      </c>
      <c r="G28" s="10">
        <v>211</v>
      </c>
      <c r="H28" s="239">
        <v>2900</v>
      </c>
    </row>
    <row r="29" spans="1:21" ht="15.75">
      <c r="A29" s="9">
        <v>44039</v>
      </c>
      <c r="B29" s="37">
        <v>15598944</v>
      </c>
      <c r="C29" s="80">
        <f t="shared" si="0"/>
        <v>41104</v>
      </c>
      <c r="D29" s="64">
        <v>41104</v>
      </c>
      <c r="E29" s="63">
        <v>22245</v>
      </c>
      <c r="F29" s="10">
        <f t="shared" si="1"/>
        <v>219</v>
      </c>
      <c r="G29" s="10">
        <v>219</v>
      </c>
      <c r="H29" s="239">
        <v>2900</v>
      </c>
    </row>
    <row r="30" spans="1:21" ht="15.75">
      <c r="A30" s="9">
        <v>44040</v>
      </c>
      <c r="B30" s="37">
        <v>15640648</v>
      </c>
      <c r="C30" s="80">
        <f t="shared" si="0"/>
        <v>41704</v>
      </c>
      <c r="D30" s="64">
        <v>41704</v>
      </c>
      <c r="E30" s="64">
        <v>22466</v>
      </c>
      <c r="F30" s="10">
        <f t="shared" si="1"/>
        <v>221</v>
      </c>
      <c r="G30" s="10">
        <v>221</v>
      </c>
      <c r="H30" s="239">
        <v>2900</v>
      </c>
    </row>
    <row r="31" spans="1:21" ht="15.75">
      <c r="A31" s="9">
        <v>44041</v>
      </c>
      <c r="B31" s="56">
        <v>15686149</v>
      </c>
      <c r="C31" s="80">
        <f t="shared" si="0"/>
        <v>45501</v>
      </c>
      <c r="D31" s="64">
        <v>45501</v>
      </c>
      <c r="E31" s="63">
        <v>22685</v>
      </c>
      <c r="F31" s="10">
        <f t="shared" si="1"/>
        <v>219</v>
      </c>
      <c r="G31" s="10">
        <v>219</v>
      </c>
      <c r="H31" s="239">
        <v>2900</v>
      </c>
    </row>
    <row r="32" spans="1:21" ht="15.75">
      <c r="A32" s="9">
        <v>44042</v>
      </c>
      <c r="B32" s="56">
        <v>15728622</v>
      </c>
      <c r="C32" s="80">
        <f t="shared" si="0"/>
        <v>42473</v>
      </c>
      <c r="D32" s="41">
        <v>42473</v>
      </c>
      <c r="E32" s="41">
        <v>22897</v>
      </c>
      <c r="F32" s="10">
        <f t="shared" si="1"/>
        <v>212</v>
      </c>
      <c r="G32" s="10">
        <v>212</v>
      </c>
      <c r="H32" s="239">
        <v>2900</v>
      </c>
    </row>
    <row r="33" spans="1:8" ht="15.75">
      <c r="A33" s="9">
        <v>44043</v>
      </c>
      <c r="B33" s="241">
        <f>B32+C18</f>
        <v>15772936</v>
      </c>
      <c r="C33" s="80">
        <f t="shared" si="0"/>
        <v>44314</v>
      </c>
      <c r="D33" s="41">
        <v>44314</v>
      </c>
      <c r="E33" s="41">
        <f>E32+F12</f>
        <v>23102</v>
      </c>
      <c r="F33" s="10">
        <f t="shared" si="1"/>
        <v>205</v>
      </c>
      <c r="G33" s="79">
        <v>205</v>
      </c>
      <c r="H33" s="239"/>
    </row>
    <row r="34" spans="1:8">
      <c r="B34" s="20">
        <v>15772936</v>
      </c>
      <c r="E34" s="48"/>
    </row>
    <row r="35" spans="1:8">
      <c r="B35"/>
    </row>
    <row r="37" spans="1:8" ht="45">
      <c r="A37" s="34" t="s">
        <v>24</v>
      </c>
      <c r="B37" s="65" t="s">
        <v>26</v>
      </c>
    </row>
    <row r="38" spans="1:8">
      <c r="A38" s="9">
        <v>44013</v>
      </c>
      <c r="B38" s="50">
        <v>69</v>
      </c>
    </row>
    <row r="39" spans="1:8">
      <c r="A39" s="9">
        <v>44014</v>
      </c>
      <c r="B39" s="50">
        <v>207</v>
      </c>
    </row>
    <row r="40" spans="1:8">
      <c r="A40" s="9">
        <v>44015</v>
      </c>
      <c r="B40" s="50">
        <v>210</v>
      </c>
    </row>
    <row r="41" spans="1:8">
      <c r="A41" s="9">
        <v>44016</v>
      </c>
      <c r="B41" s="50">
        <v>194</v>
      </c>
    </row>
    <row r="42" spans="1:8">
      <c r="A42" s="9">
        <v>44017</v>
      </c>
      <c r="B42" s="50">
        <v>179</v>
      </c>
    </row>
    <row r="43" spans="1:8">
      <c r="A43" s="9">
        <v>44018</v>
      </c>
      <c r="B43" s="50">
        <v>205</v>
      </c>
    </row>
    <row r="44" spans="1:8">
      <c r="A44" s="9">
        <v>44019</v>
      </c>
      <c r="B44" s="50">
        <v>197</v>
      </c>
    </row>
    <row r="45" spans="1:8">
      <c r="A45" s="9">
        <v>44020</v>
      </c>
      <c r="B45" s="50">
        <v>203</v>
      </c>
    </row>
    <row r="46" spans="1:8">
      <c r="A46" s="9">
        <v>44021</v>
      </c>
      <c r="B46" s="50">
        <v>210</v>
      </c>
    </row>
    <row r="47" spans="1:8">
      <c r="A47" s="9">
        <v>44022</v>
      </c>
      <c r="B47" s="50">
        <v>205</v>
      </c>
    </row>
    <row r="48" spans="1:8">
      <c r="A48" s="9">
        <v>44023</v>
      </c>
      <c r="B48" s="50">
        <v>238</v>
      </c>
    </row>
    <row r="49" spans="1:2">
      <c r="A49" s="9">
        <v>44024</v>
      </c>
      <c r="B49" s="50">
        <v>207</v>
      </c>
    </row>
    <row r="50" spans="1:2">
      <c r="A50" s="9">
        <v>44025</v>
      </c>
      <c r="B50" s="50">
        <v>225</v>
      </c>
    </row>
    <row r="51" spans="1:2">
      <c r="A51" s="9">
        <v>44026</v>
      </c>
      <c r="B51" s="50">
        <v>231</v>
      </c>
    </row>
    <row r="52" spans="1:2">
      <c r="A52" s="9">
        <v>44027</v>
      </c>
      <c r="B52" s="50">
        <v>238</v>
      </c>
    </row>
    <row r="53" spans="1:2">
      <c r="A53" s="9">
        <v>44028</v>
      </c>
      <c r="B53" s="50">
        <v>227</v>
      </c>
    </row>
    <row r="54" spans="1:2">
      <c r="A54" s="9">
        <v>44029</v>
      </c>
      <c r="B54" s="50">
        <v>250</v>
      </c>
    </row>
    <row r="55" spans="1:2">
      <c r="A55" s="9">
        <v>44030</v>
      </c>
      <c r="B55" s="50">
        <v>265</v>
      </c>
    </row>
    <row r="56" spans="1:2">
      <c r="A56" s="9">
        <v>44031</v>
      </c>
      <c r="B56" s="50">
        <v>226</v>
      </c>
    </row>
    <row r="57" spans="1:2">
      <c r="A57" s="9">
        <v>44032</v>
      </c>
      <c r="B57" s="50">
        <v>213</v>
      </c>
    </row>
    <row r="58" spans="1:2">
      <c r="A58" s="9">
        <v>44033</v>
      </c>
      <c r="B58" s="50">
        <v>221</v>
      </c>
    </row>
    <row r="59" spans="1:2">
      <c r="A59" s="9">
        <v>44034</v>
      </c>
      <c r="B59" s="50">
        <v>223</v>
      </c>
    </row>
    <row r="60" spans="1:2">
      <c r="A60" s="9">
        <v>44035</v>
      </c>
      <c r="B60" s="50">
        <v>228</v>
      </c>
    </row>
    <row r="61" spans="1:2">
      <c r="A61" s="9">
        <v>44036</v>
      </c>
      <c r="B61" s="50">
        <v>238</v>
      </c>
    </row>
    <row r="62" spans="1:2">
      <c r="A62" s="9">
        <v>44037</v>
      </c>
      <c r="B62" s="50">
        <v>218</v>
      </c>
    </row>
    <row r="63" spans="1:2">
      <c r="A63" s="9">
        <v>44038</v>
      </c>
      <c r="B63" s="50">
        <v>211</v>
      </c>
    </row>
    <row r="64" spans="1:2">
      <c r="A64" s="9">
        <v>44039</v>
      </c>
      <c r="B64" s="50">
        <v>219</v>
      </c>
    </row>
    <row r="65" spans="1:2">
      <c r="A65" s="9">
        <v>44040</v>
      </c>
      <c r="B65" s="50">
        <v>221</v>
      </c>
    </row>
    <row r="66" spans="1:2">
      <c r="A66" s="9">
        <v>44041</v>
      </c>
      <c r="B66" s="50">
        <v>219</v>
      </c>
    </row>
    <row r="67" spans="1:2">
      <c r="A67" s="9">
        <v>44042</v>
      </c>
      <c r="B67" s="50">
        <v>212</v>
      </c>
    </row>
    <row r="68" spans="1:2" ht="15.75">
      <c r="A68" s="9">
        <v>44043</v>
      </c>
      <c r="B68" s="29">
        <v>205</v>
      </c>
    </row>
    <row r="70" spans="1:2" ht="60">
      <c r="A70" s="34" t="s">
        <v>24</v>
      </c>
      <c r="B70" s="65" t="s">
        <v>25</v>
      </c>
    </row>
    <row r="71" spans="1:2" ht="15.75">
      <c r="A71" s="9">
        <v>44013</v>
      </c>
      <c r="B71" s="52">
        <v>38753</v>
      </c>
    </row>
    <row r="72" spans="1:2" ht="15.75">
      <c r="A72" s="9">
        <v>44014</v>
      </c>
      <c r="B72" s="52">
        <v>42301</v>
      </c>
    </row>
    <row r="73" spans="1:2" ht="15.75">
      <c r="A73" s="9">
        <v>44015</v>
      </c>
      <c r="B73" s="52">
        <v>45707</v>
      </c>
    </row>
    <row r="74" spans="1:2" ht="15.75">
      <c r="A74" s="9">
        <v>44016</v>
      </c>
      <c r="B74" s="52">
        <v>35970</v>
      </c>
    </row>
    <row r="75" spans="1:2" ht="15.75">
      <c r="A75" s="9">
        <v>44017</v>
      </c>
      <c r="B75" s="52">
        <v>48891</v>
      </c>
    </row>
    <row r="76" spans="1:2" ht="15.75">
      <c r="A76" s="9">
        <v>44018</v>
      </c>
      <c r="B76" s="52">
        <v>41369</v>
      </c>
    </row>
    <row r="77" spans="1:2" ht="15.75">
      <c r="A77" s="9">
        <v>44019</v>
      </c>
      <c r="B77" s="52">
        <v>44542</v>
      </c>
    </row>
    <row r="78" spans="1:2" ht="15.75">
      <c r="A78" s="9">
        <v>44020</v>
      </c>
      <c r="B78" s="52">
        <v>45707</v>
      </c>
    </row>
    <row r="79" spans="1:2" ht="15.75">
      <c r="A79" s="9">
        <v>44021</v>
      </c>
      <c r="B79" s="52">
        <v>48891</v>
      </c>
    </row>
    <row r="80" spans="1:2" ht="15.75">
      <c r="A80" s="9">
        <v>44022</v>
      </c>
      <c r="B80" s="52">
        <v>42389</v>
      </c>
    </row>
    <row r="81" spans="1:2" ht="15.75">
      <c r="A81" s="9">
        <v>44023</v>
      </c>
      <c r="B81" s="52">
        <v>51121</v>
      </c>
    </row>
    <row r="82" spans="1:2" ht="15.75">
      <c r="A82" s="9">
        <v>44024</v>
      </c>
      <c r="B82" s="52">
        <v>36396</v>
      </c>
    </row>
    <row r="83" spans="1:2" ht="15.75">
      <c r="A83" s="9">
        <v>44025</v>
      </c>
      <c r="B83" s="52">
        <v>39821</v>
      </c>
    </row>
    <row r="84" spans="1:2" ht="15.75">
      <c r="A84" s="9">
        <v>44026</v>
      </c>
      <c r="B84" s="52">
        <v>42389</v>
      </c>
    </row>
    <row r="85" spans="1:2" ht="15.75">
      <c r="A85" s="9">
        <v>44027</v>
      </c>
      <c r="B85" s="52">
        <v>38510</v>
      </c>
    </row>
    <row r="86" spans="1:2" ht="15.75">
      <c r="A86" s="9">
        <v>44028</v>
      </c>
      <c r="B86" s="52">
        <v>44314</v>
      </c>
    </row>
    <row r="87" spans="1:2" ht="15.75">
      <c r="A87" s="9">
        <v>44029</v>
      </c>
      <c r="B87" s="52">
        <v>48891</v>
      </c>
    </row>
    <row r="88" spans="1:2" ht="15.75">
      <c r="A88" s="9">
        <v>44030</v>
      </c>
      <c r="B88" s="52">
        <v>32108</v>
      </c>
    </row>
    <row r="89" spans="1:2" ht="15.75">
      <c r="A89" s="9">
        <v>44031</v>
      </c>
      <c r="B89" s="52">
        <v>38404</v>
      </c>
    </row>
    <row r="90" spans="1:2" ht="15.75">
      <c r="A90" s="9">
        <v>44032</v>
      </c>
      <c r="B90" s="52">
        <v>44588</v>
      </c>
    </row>
    <row r="91" spans="1:2" ht="15.75">
      <c r="A91" s="9">
        <v>44033</v>
      </c>
      <c r="B91" s="52">
        <v>41665</v>
      </c>
    </row>
    <row r="92" spans="1:2" ht="15.75">
      <c r="A92" s="9">
        <v>44034</v>
      </c>
      <c r="B92" s="52">
        <v>45159</v>
      </c>
    </row>
    <row r="93" spans="1:2" ht="15.75">
      <c r="A93" s="9">
        <v>44035</v>
      </c>
      <c r="B93" s="52">
        <v>43344</v>
      </c>
    </row>
    <row r="94" spans="1:2" ht="15.75">
      <c r="A94" s="9">
        <v>44036</v>
      </c>
      <c r="B94" s="52">
        <v>38510</v>
      </c>
    </row>
    <row r="95" spans="1:2" ht="15.75">
      <c r="A95" s="9">
        <v>44037</v>
      </c>
      <c r="B95" s="54">
        <v>49087</v>
      </c>
    </row>
    <row r="96" spans="1:2" ht="15.75">
      <c r="A96" s="9">
        <v>44038</v>
      </c>
      <c r="B96" s="52">
        <v>44514</v>
      </c>
    </row>
    <row r="97" spans="1:2" ht="15.75">
      <c r="A97" s="9">
        <v>44039</v>
      </c>
      <c r="B97" s="55">
        <v>41104</v>
      </c>
    </row>
    <row r="98" spans="1:2" ht="15.75">
      <c r="A98" s="9">
        <v>44040</v>
      </c>
      <c r="B98" s="55">
        <v>41704</v>
      </c>
    </row>
    <row r="99" spans="1:2" ht="15.75">
      <c r="A99" s="9">
        <v>44041</v>
      </c>
      <c r="B99" s="55">
        <v>45501</v>
      </c>
    </row>
    <row r="100" spans="1:2">
      <c r="A100" s="9">
        <v>44042</v>
      </c>
      <c r="B100" s="53">
        <v>42473</v>
      </c>
    </row>
    <row r="101" spans="1:2">
      <c r="A101" s="9">
        <v>44043</v>
      </c>
      <c r="B101" s="41">
        <v>44314</v>
      </c>
    </row>
  </sheetData>
  <mergeCells count="1">
    <mergeCell ref="A1:R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382EA-EAF5-40A9-9178-6AE758075262}">
  <dimension ref="A1:R101"/>
  <sheetViews>
    <sheetView workbookViewId="0">
      <selection activeCell="E14" sqref="E14"/>
    </sheetView>
  </sheetViews>
  <sheetFormatPr defaultRowHeight="15"/>
  <cols>
    <col min="2" max="2" width="12.42578125" style="20" customWidth="1"/>
    <col min="3" max="5" width="12.42578125" customWidth="1"/>
    <col min="6" max="7" width="10.85546875" customWidth="1"/>
    <col min="9" max="9" width="11" customWidth="1"/>
    <col min="10" max="10" width="10.7109375" customWidth="1"/>
    <col min="11" max="11" width="10.140625" customWidth="1"/>
    <col min="14" max="14" width="8.42578125" customWidth="1"/>
    <col min="15" max="15" width="5.28515625" style="20" customWidth="1"/>
    <col min="17" max="17" width="13.85546875" customWidth="1"/>
    <col min="18" max="18" width="14.28515625" customWidth="1"/>
  </cols>
  <sheetData>
    <row r="1" spans="1:18">
      <c r="A1" s="471"/>
      <c r="B1" s="471"/>
      <c r="C1" s="471"/>
      <c r="D1" s="471"/>
      <c r="E1" s="471"/>
      <c r="F1" s="471"/>
      <c r="G1" s="471"/>
      <c r="H1" s="471"/>
      <c r="I1" s="471"/>
      <c r="J1" s="471"/>
      <c r="K1" s="471"/>
      <c r="L1" s="471"/>
      <c r="M1" s="471"/>
      <c r="N1" s="471"/>
      <c r="O1" s="471"/>
      <c r="P1" s="471"/>
      <c r="Q1" s="471"/>
      <c r="R1" s="471"/>
    </row>
    <row r="2" spans="1:18" ht="60">
      <c r="A2" s="34" t="s">
        <v>24</v>
      </c>
      <c r="B2" s="57" t="s">
        <v>510</v>
      </c>
      <c r="C2" s="36" t="s">
        <v>25</v>
      </c>
      <c r="D2" s="36"/>
      <c r="E2" s="36"/>
      <c r="F2" s="36" t="s">
        <v>26</v>
      </c>
      <c r="G2" s="36"/>
      <c r="H2" s="36" t="s">
        <v>27</v>
      </c>
    </row>
    <row r="3" spans="1:18" ht="15.75">
      <c r="A3" s="9">
        <v>44044</v>
      </c>
      <c r="B3" s="174">
        <v>15814781</v>
      </c>
      <c r="C3" s="58">
        <f>B3-15772936</f>
        <v>41845</v>
      </c>
      <c r="D3" s="80">
        <v>41845</v>
      </c>
      <c r="E3" s="58">
        <v>23319</v>
      </c>
      <c r="F3" s="10">
        <v>69</v>
      </c>
      <c r="G3" s="10">
        <v>69</v>
      </c>
      <c r="H3" s="239">
        <v>2900</v>
      </c>
      <c r="J3" s="20"/>
    </row>
    <row r="4" spans="1:18" ht="15.75">
      <c r="A4" s="9">
        <v>44045</v>
      </c>
      <c r="B4" s="59">
        <v>15866534</v>
      </c>
      <c r="C4" s="80">
        <f>B4-B3</f>
        <v>51753</v>
      </c>
      <c r="D4" s="80">
        <v>51753</v>
      </c>
      <c r="E4" s="59">
        <v>23536</v>
      </c>
      <c r="F4" s="10">
        <f>E4-E3</f>
        <v>217</v>
      </c>
      <c r="G4" s="10">
        <v>217</v>
      </c>
      <c r="H4" s="239">
        <v>2900</v>
      </c>
    </row>
    <row r="5" spans="1:18" ht="15.75">
      <c r="A5" s="9">
        <v>44046</v>
      </c>
      <c r="B5" s="60">
        <v>15914492</v>
      </c>
      <c r="C5" s="80">
        <f t="shared" ref="C5:C33" si="0">B5-B4</f>
        <v>47958</v>
      </c>
      <c r="D5" s="80">
        <v>47958</v>
      </c>
      <c r="E5" s="61">
        <v>23752</v>
      </c>
      <c r="F5" s="10">
        <f t="shared" ref="F5:F33" si="1">E5-E4</f>
        <v>216</v>
      </c>
      <c r="G5" s="10">
        <v>216</v>
      </c>
      <c r="H5" s="239">
        <v>2900</v>
      </c>
    </row>
    <row r="6" spans="1:18" ht="15.75">
      <c r="A6" s="9">
        <v>44047</v>
      </c>
      <c r="B6" s="59">
        <v>15960920</v>
      </c>
      <c r="C6" s="80">
        <f t="shared" si="0"/>
        <v>46428</v>
      </c>
      <c r="D6" s="80">
        <v>46428</v>
      </c>
      <c r="E6" s="59">
        <v>23964</v>
      </c>
      <c r="F6" s="10">
        <f t="shared" si="1"/>
        <v>212</v>
      </c>
      <c r="G6" s="10">
        <v>212</v>
      </c>
      <c r="H6" s="239">
        <v>2900</v>
      </c>
    </row>
    <row r="7" spans="1:18" ht="15.75">
      <c r="A7" s="9">
        <v>44048</v>
      </c>
      <c r="B7" s="60">
        <v>16003175</v>
      </c>
      <c r="C7" s="80">
        <f t="shared" si="0"/>
        <v>42255</v>
      </c>
      <c r="D7" s="80">
        <v>42255</v>
      </c>
      <c r="E7" s="61">
        <v>24176</v>
      </c>
      <c r="F7" s="10">
        <f t="shared" si="1"/>
        <v>212</v>
      </c>
      <c r="G7" s="10">
        <v>212</v>
      </c>
      <c r="H7" s="239">
        <v>2900</v>
      </c>
    </row>
    <row r="8" spans="1:18" ht="15.75">
      <c r="A8" s="9">
        <v>44049</v>
      </c>
      <c r="B8" s="59">
        <v>16046205</v>
      </c>
      <c r="C8" s="80">
        <f t="shared" si="0"/>
        <v>43030</v>
      </c>
      <c r="D8" s="80">
        <v>43030</v>
      </c>
      <c r="E8" s="59">
        <v>24394</v>
      </c>
      <c r="F8" s="10">
        <f t="shared" si="1"/>
        <v>218</v>
      </c>
      <c r="G8" s="10">
        <v>218</v>
      </c>
      <c r="H8" s="239">
        <v>49080</v>
      </c>
    </row>
    <row r="9" spans="1:18" ht="15.75">
      <c r="A9" s="9">
        <v>44050</v>
      </c>
      <c r="B9" s="60">
        <f>B8+C5</f>
        <v>16094163</v>
      </c>
      <c r="C9" s="80">
        <f t="shared" si="0"/>
        <v>47958</v>
      </c>
      <c r="D9" s="80">
        <v>47958</v>
      </c>
      <c r="E9" s="61">
        <f>E8+F4</f>
        <v>24611</v>
      </c>
      <c r="F9" s="10">
        <f t="shared" si="1"/>
        <v>217</v>
      </c>
      <c r="G9" s="10">
        <v>217</v>
      </c>
      <c r="H9" s="239">
        <v>2900</v>
      </c>
    </row>
    <row r="10" spans="1:18" ht="15.75">
      <c r="A10" s="9">
        <v>44051</v>
      </c>
      <c r="B10" s="59">
        <v>16131822</v>
      </c>
      <c r="C10" s="80">
        <f t="shared" si="0"/>
        <v>37659</v>
      </c>
      <c r="D10" s="80">
        <v>37659</v>
      </c>
      <c r="E10" s="59">
        <v>24816</v>
      </c>
      <c r="F10" s="10">
        <f t="shared" si="1"/>
        <v>205</v>
      </c>
      <c r="G10" s="10">
        <v>205</v>
      </c>
      <c r="H10" s="239">
        <v>2900</v>
      </c>
    </row>
    <row r="11" spans="1:18" ht="15.75">
      <c r="A11" s="9">
        <v>44052</v>
      </c>
      <c r="B11" s="59">
        <v>16169946</v>
      </c>
      <c r="C11" s="80">
        <f t="shared" si="0"/>
        <v>38124</v>
      </c>
      <c r="D11" s="80">
        <v>38124</v>
      </c>
      <c r="E11" s="59">
        <v>25034</v>
      </c>
      <c r="F11" s="10">
        <f t="shared" si="1"/>
        <v>218</v>
      </c>
      <c r="G11" s="10">
        <v>218</v>
      </c>
      <c r="H11" s="239">
        <v>2900</v>
      </c>
    </row>
    <row r="12" spans="1:18" ht="15.75">
      <c r="A12" s="9">
        <v>44053</v>
      </c>
      <c r="B12" s="60">
        <v>16209209</v>
      </c>
      <c r="C12" s="80">
        <f t="shared" si="0"/>
        <v>39263</v>
      </c>
      <c r="D12" s="80">
        <v>39263</v>
      </c>
      <c r="E12" s="61">
        <v>25249</v>
      </c>
      <c r="F12" s="10">
        <f t="shared" si="1"/>
        <v>215</v>
      </c>
      <c r="G12" s="10">
        <v>215</v>
      </c>
      <c r="H12" s="239">
        <v>2900</v>
      </c>
    </row>
    <row r="13" spans="1:18" ht="15.75">
      <c r="A13" s="9">
        <v>44054</v>
      </c>
      <c r="B13" s="59">
        <v>16249432</v>
      </c>
      <c r="C13" s="80">
        <f t="shared" si="0"/>
        <v>40223</v>
      </c>
      <c r="D13" s="80">
        <v>40223</v>
      </c>
      <c r="E13" s="61">
        <v>25470</v>
      </c>
      <c r="F13" s="10">
        <f t="shared" si="1"/>
        <v>221</v>
      </c>
      <c r="G13" s="10">
        <v>221</v>
      </c>
      <c r="H13" s="239">
        <v>2900</v>
      </c>
    </row>
    <row r="14" spans="1:18" ht="15.75">
      <c r="A14" s="9">
        <v>44055</v>
      </c>
      <c r="B14" s="60">
        <v>16288157</v>
      </c>
      <c r="C14" s="80">
        <f t="shared" si="0"/>
        <v>38725</v>
      </c>
      <c r="D14" s="80">
        <v>38725</v>
      </c>
      <c r="E14" s="61">
        <v>25684</v>
      </c>
      <c r="F14" s="10">
        <f t="shared" si="1"/>
        <v>214</v>
      </c>
      <c r="G14" s="10">
        <v>214</v>
      </c>
      <c r="H14" s="239">
        <v>2900</v>
      </c>
    </row>
    <row r="15" spans="1:18" ht="15.75">
      <c r="A15" s="9">
        <v>44056</v>
      </c>
      <c r="B15" s="59">
        <v>16327221</v>
      </c>
      <c r="C15" s="80">
        <f t="shared" si="0"/>
        <v>39064</v>
      </c>
      <c r="D15" s="80">
        <v>39064</v>
      </c>
      <c r="E15" s="59">
        <v>25910</v>
      </c>
      <c r="F15" s="10">
        <f t="shared" si="1"/>
        <v>226</v>
      </c>
      <c r="G15" s="10">
        <v>226</v>
      </c>
      <c r="H15" s="239">
        <v>2900</v>
      </c>
    </row>
    <row r="16" spans="1:18" ht="15.75">
      <c r="A16" s="9">
        <v>44057</v>
      </c>
      <c r="B16" s="60">
        <f>B15+C8</f>
        <v>16370251</v>
      </c>
      <c r="C16" s="80">
        <f t="shared" si="0"/>
        <v>43030</v>
      </c>
      <c r="D16" s="80">
        <v>43030</v>
      </c>
      <c r="E16" s="61">
        <f>E15+F10</f>
        <v>26115</v>
      </c>
      <c r="F16" s="10">
        <f t="shared" si="1"/>
        <v>205</v>
      </c>
      <c r="G16" s="10">
        <v>205</v>
      </c>
      <c r="H16" s="239">
        <v>2900</v>
      </c>
    </row>
    <row r="17" spans="1:8" ht="15.75">
      <c r="A17" s="9">
        <v>44058</v>
      </c>
      <c r="B17" s="59">
        <v>16403544</v>
      </c>
      <c r="C17" s="80">
        <f t="shared" si="0"/>
        <v>33293</v>
      </c>
      <c r="D17" s="80">
        <v>33293</v>
      </c>
      <c r="E17" s="59">
        <v>26361</v>
      </c>
      <c r="F17" s="10">
        <f t="shared" si="1"/>
        <v>246</v>
      </c>
      <c r="G17" s="10">
        <v>246</v>
      </c>
      <c r="H17" s="239">
        <v>2900</v>
      </c>
    </row>
    <row r="18" spans="1:8" ht="15.75">
      <c r="A18" s="9">
        <v>44059</v>
      </c>
      <c r="B18" s="59">
        <v>16443231</v>
      </c>
      <c r="C18" s="80">
        <f t="shared" si="0"/>
        <v>39687</v>
      </c>
      <c r="D18" s="80">
        <v>39687</v>
      </c>
      <c r="E18" s="61">
        <v>26584</v>
      </c>
      <c r="F18" s="10">
        <f t="shared" si="1"/>
        <v>223</v>
      </c>
      <c r="G18" s="10">
        <v>223</v>
      </c>
      <c r="H18" s="239">
        <v>2900</v>
      </c>
    </row>
    <row r="19" spans="1:8" ht="15.75">
      <c r="A19" s="9">
        <v>44060</v>
      </c>
      <c r="B19" s="60">
        <v>16479983</v>
      </c>
      <c r="C19" s="80">
        <f t="shared" si="0"/>
        <v>36752</v>
      </c>
      <c r="D19" s="80">
        <v>36752</v>
      </c>
      <c r="E19" s="61">
        <v>26810</v>
      </c>
      <c r="F19" s="10">
        <f t="shared" si="1"/>
        <v>226</v>
      </c>
      <c r="G19" s="10">
        <v>226</v>
      </c>
      <c r="H19" s="239">
        <v>2900</v>
      </c>
    </row>
    <row r="20" spans="1:8" ht="15.75">
      <c r="A20" s="9">
        <v>44061</v>
      </c>
      <c r="B20" s="59">
        <v>16520308</v>
      </c>
      <c r="C20" s="80">
        <f t="shared" si="0"/>
        <v>40325</v>
      </c>
      <c r="D20" s="80">
        <v>40325</v>
      </c>
      <c r="E20" s="59">
        <v>27038</v>
      </c>
      <c r="F20" s="10">
        <f t="shared" si="1"/>
        <v>228</v>
      </c>
      <c r="G20" s="10">
        <v>228</v>
      </c>
      <c r="H20" s="239">
        <v>2900</v>
      </c>
    </row>
    <row r="21" spans="1:8" ht="15.75">
      <c r="A21" s="9">
        <v>44062</v>
      </c>
      <c r="B21" s="60">
        <v>16558608</v>
      </c>
      <c r="C21" s="80">
        <f t="shared" si="0"/>
        <v>38300</v>
      </c>
      <c r="D21" s="80">
        <v>38300</v>
      </c>
      <c r="E21" s="61">
        <v>27269</v>
      </c>
      <c r="F21" s="10">
        <f t="shared" si="1"/>
        <v>231</v>
      </c>
      <c r="G21" s="10">
        <v>231</v>
      </c>
      <c r="H21" s="239">
        <v>2900</v>
      </c>
    </row>
    <row r="22" spans="1:8" ht="15.75">
      <c r="A22" s="9">
        <v>44063</v>
      </c>
      <c r="B22" s="59">
        <v>16601600</v>
      </c>
      <c r="C22" s="80">
        <f t="shared" si="0"/>
        <v>42992</v>
      </c>
      <c r="D22" s="80">
        <v>42992</v>
      </c>
      <c r="E22" s="59">
        <v>27497</v>
      </c>
      <c r="F22" s="10">
        <f t="shared" si="1"/>
        <v>228</v>
      </c>
      <c r="G22" s="10">
        <v>228</v>
      </c>
      <c r="H22" s="239">
        <v>2900</v>
      </c>
    </row>
    <row r="23" spans="1:8" ht="15.75">
      <c r="A23" s="9">
        <v>44064</v>
      </c>
      <c r="B23" s="60">
        <f>B22+C11</f>
        <v>16639724</v>
      </c>
      <c r="C23" s="80">
        <f t="shared" si="0"/>
        <v>38124</v>
      </c>
      <c r="D23" s="80">
        <v>38124</v>
      </c>
      <c r="E23" s="61">
        <f>E22+F11</f>
        <v>27715</v>
      </c>
      <c r="F23" s="10">
        <f t="shared" si="1"/>
        <v>218</v>
      </c>
      <c r="G23" s="10">
        <v>218</v>
      </c>
      <c r="H23" s="239">
        <v>2900</v>
      </c>
    </row>
    <row r="24" spans="1:8" ht="15.75">
      <c r="A24" s="9">
        <v>44065</v>
      </c>
      <c r="B24" s="59">
        <v>16678744</v>
      </c>
      <c r="C24" s="80">
        <f t="shared" si="0"/>
        <v>39020</v>
      </c>
      <c r="D24" s="80">
        <v>39020</v>
      </c>
      <c r="E24" s="59">
        <v>27929</v>
      </c>
      <c r="F24" s="10">
        <f t="shared" si="1"/>
        <v>214</v>
      </c>
      <c r="G24" s="10">
        <v>214</v>
      </c>
      <c r="H24" s="239">
        <v>2900</v>
      </c>
    </row>
    <row r="25" spans="1:8" ht="15.75">
      <c r="A25" s="9">
        <v>44066</v>
      </c>
      <c r="B25" s="59">
        <v>16719072</v>
      </c>
      <c r="C25" s="80">
        <f t="shared" si="0"/>
        <v>40328</v>
      </c>
      <c r="D25" s="80">
        <v>40328</v>
      </c>
      <c r="E25" s="61">
        <v>28155</v>
      </c>
      <c r="F25" s="10">
        <f t="shared" si="1"/>
        <v>226</v>
      </c>
      <c r="G25" s="10">
        <v>226</v>
      </c>
      <c r="H25" s="239">
        <v>2900</v>
      </c>
    </row>
    <row r="26" spans="1:8" ht="15.75">
      <c r="A26" s="9">
        <v>44067</v>
      </c>
      <c r="B26" s="56">
        <v>16761040</v>
      </c>
      <c r="C26" s="80">
        <f t="shared" si="0"/>
        <v>41968</v>
      </c>
      <c r="D26" s="80">
        <v>41968</v>
      </c>
      <c r="E26" s="41">
        <v>28383</v>
      </c>
      <c r="F26" s="10">
        <f t="shared" si="1"/>
        <v>228</v>
      </c>
      <c r="G26" s="10">
        <v>228</v>
      </c>
      <c r="H26" s="239">
        <v>2900</v>
      </c>
    </row>
    <row r="27" spans="1:8" ht="15.75">
      <c r="A27" s="9">
        <v>44068</v>
      </c>
      <c r="B27" s="56">
        <v>16804163</v>
      </c>
      <c r="C27" s="80">
        <f t="shared" si="0"/>
        <v>43123</v>
      </c>
      <c r="D27" s="81">
        <v>43123</v>
      </c>
      <c r="E27" s="42">
        <v>28609</v>
      </c>
      <c r="F27" s="10">
        <f t="shared" si="1"/>
        <v>226</v>
      </c>
      <c r="G27" s="10">
        <v>226</v>
      </c>
      <c r="H27" s="239">
        <v>2900</v>
      </c>
    </row>
    <row r="28" spans="1:8" ht="15.75">
      <c r="A28" s="9">
        <v>44069</v>
      </c>
      <c r="B28" s="240">
        <v>16842436</v>
      </c>
      <c r="C28" s="80">
        <f t="shared" si="0"/>
        <v>38273</v>
      </c>
      <c r="D28" s="80">
        <v>38273</v>
      </c>
      <c r="E28" s="62">
        <v>28833</v>
      </c>
      <c r="F28" s="10">
        <f t="shared" si="1"/>
        <v>224</v>
      </c>
      <c r="G28" s="10">
        <v>224</v>
      </c>
      <c r="H28" s="239">
        <v>2900</v>
      </c>
    </row>
    <row r="29" spans="1:8" ht="15.75">
      <c r="A29" s="9">
        <v>44070</v>
      </c>
      <c r="B29" s="37">
        <v>16883547</v>
      </c>
      <c r="C29" s="80">
        <f t="shared" si="0"/>
        <v>41111</v>
      </c>
      <c r="D29" s="64">
        <v>41111</v>
      </c>
      <c r="E29" s="63">
        <v>29061</v>
      </c>
      <c r="F29" s="10">
        <f t="shared" si="1"/>
        <v>228</v>
      </c>
      <c r="G29" s="10">
        <v>228</v>
      </c>
      <c r="H29" s="239">
        <v>2900</v>
      </c>
    </row>
    <row r="30" spans="1:8" ht="15.75">
      <c r="A30" s="9">
        <v>44071</v>
      </c>
      <c r="B30" s="56">
        <f>B29+C13</f>
        <v>16923770</v>
      </c>
      <c r="C30" s="80">
        <f t="shared" si="0"/>
        <v>40223</v>
      </c>
      <c r="D30" s="64">
        <v>40223</v>
      </c>
      <c r="E30" s="63">
        <f>E29+F18</f>
        <v>29284</v>
      </c>
      <c r="F30" s="10">
        <f t="shared" si="1"/>
        <v>223</v>
      </c>
      <c r="G30" s="10">
        <v>223</v>
      </c>
      <c r="H30" s="239">
        <v>2900</v>
      </c>
    </row>
    <row r="31" spans="1:8" ht="15.75">
      <c r="A31" s="9">
        <v>44072</v>
      </c>
      <c r="B31" s="56">
        <v>16964754</v>
      </c>
      <c r="C31" s="80">
        <f t="shared" si="0"/>
        <v>40984</v>
      </c>
      <c r="D31" s="64">
        <v>40984</v>
      </c>
      <c r="E31" s="63">
        <v>29499</v>
      </c>
      <c r="F31" s="10">
        <f t="shared" si="1"/>
        <v>215</v>
      </c>
      <c r="G31" s="10">
        <v>215</v>
      </c>
      <c r="H31" s="239">
        <v>2900</v>
      </c>
    </row>
    <row r="32" spans="1:8" ht="15.75">
      <c r="A32" s="9">
        <v>44073</v>
      </c>
      <c r="B32" s="56">
        <v>17010278</v>
      </c>
      <c r="C32" s="80">
        <f t="shared" si="0"/>
        <v>45524</v>
      </c>
      <c r="D32" s="41">
        <v>45524</v>
      </c>
      <c r="E32" s="41">
        <v>29735</v>
      </c>
      <c r="F32" s="10">
        <f t="shared" si="1"/>
        <v>236</v>
      </c>
      <c r="G32" s="10">
        <v>236</v>
      </c>
      <c r="H32" s="239">
        <v>2900</v>
      </c>
    </row>
    <row r="33" spans="1:8" ht="15.75">
      <c r="A33" s="9">
        <v>44074</v>
      </c>
      <c r="B33" s="60">
        <v>17057595</v>
      </c>
      <c r="C33" s="80">
        <f t="shared" si="0"/>
        <v>47317</v>
      </c>
      <c r="D33" s="41">
        <v>47317</v>
      </c>
      <c r="E33" s="41">
        <f>E32+F28</f>
        <v>29959</v>
      </c>
      <c r="F33" s="10">
        <f t="shared" si="1"/>
        <v>224</v>
      </c>
      <c r="G33" s="79">
        <v>224</v>
      </c>
      <c r="H33" s="239">
        <v>2900</v>
      </c>
    </row>
    <row r="34" spans="1:8">
      <c r="E34" s="48"/>
    </row>
    <row r="35" spans="1:8">
      <c r="B35"/>
    </row>
    <row r="37" spans="1:8" ht="45">
      <c r="A37" s="34" t="s">
        <v>24</v>
      </c>
      <c r="B37" s="65" t="s">
        <v>26</v>
      </c>
    </row>
    <row r="38" spans="1:8">
      <c r="A38" s="9">
        <v>44044</v>
      </c>
      <c r="B38" s="50">
        <v>69</v>
      </c>
    </row>
    <row r="39" spans="1:8">
      <c r="A39" s="9">
        <v>44045</v>
      </c>
      <c r="B39" s="50">
        <v>217</v>
      </c>
    </row>
    <row r="40" spans="1:8">
      <c r="A40" s="9">
        <v>44046</v>
      </c>
      <c r="B40" s="50">
        <v>216</v>
      </c>
    </row>
    <row r="41" spans="1:8">
      <c r="A41" s="9">
        <v>44047</v>
      </c>
      <c r="B41" s="50">
        <v>212</v>
      </c>
    </row>
    <row r="42" spans="1:8">
      <c r="A42" s="9">
        <v>44048</v>
      </c>
      <c r="B42" s="50">
        <v>212</v>
      </c>
    </row>
    <row r="43" spans="1:8">
      <c r="A43" s="9">
        <v>44049</v>
      </c>
      <c r="B43" s="50">
        <v>218</v>
      </c>
    </row>
    <row r="44" spans="1:8">
      <c r="A44" s="9">
        <v>44050</v>
      </c>
      <c r="B44" s="50">
        <v>217</v>
      </c>
    </row>
    <row r="45" spans="1:8">
      <c r="A45" s="9">
        <v>44051</v>
      </c>
      <c r="B45" s="50">
        <v>205</v>
      </c>
    </row>
    <row r="46" spans="1:8">
      <c r="A46" s="9">
        <v>44052</v>
      </c>
      <c r="B46" s="50">
        <v>218</v>
      </c>
    </row>
    <row r="47" spans="1:8">
      <c r="A47" s="9">
        <v>44053</v>
      </c>
      <c r="B47" s="50">
        <v>215</v>
      </c>
    </row>
    <row r="48" spans="1:8">
      <c r="A48" s="9">
        <v>44054</v>
      </c>
      <c r="B48" s="50">
        <v>221</v>
      </c>
    </row>
    <row r="49" spans="1:2">
      <c r="A49" s="9">
        <v>44055</v>
      </c>
      <c r="B49" s="50">
        <v>214</v>
      </c>
    </row>
    <row r="50" spans="1:2">
      <c r="A50" s="9">
        <v>44056</v>
      </c>
      <c r="B50" s="50">
        <v>226</v>
      </c>
    </row>
    <row r="51" spans="1:2">
      <c r="A51" s="9">
        <v>44057</v>
      </c>
      <c r="B51" s="50">
        <v>205</v>
      </c>
    </row>
    <row r="52" spans="1:2">
      <c r="A52" s="9">
        <v>44058</v>
      </c>
      <c r="B52" s="50">
        <v>246</v>
      </c>
    </row>
    <row r="53" spans="1:2">
      <c r="A53" s="9">
        <v>44059</v>
      </c>
      <c r="B53" s="50">
        <v>223</v>
      </c>
    </row>
    <row r="54" spans="1:2">
      <c r="A54" s="9">
        <v>44060</v>
      </c>
      <c r="B54" s="50">
        <v>226</v>
      </c>
    </row>
    <row r="55" spans="1:2">
      <c r="A55" s="9">
        <v>44061</v>
      </c>
      <c r="B55" s="50">
        <v>228</v>
      </c>
    </row>
    <row r="56" spans="1:2">
      <c r="A56" s="9">
        <v>44062</v>
      </c>
      <c r="B56" s="50">
        <v>231</v>
      </c>
    </row>
    <row r="57" spans="1:2">
      <c r="A57" s="9">
        <v>44063</v>
      </c>
      <c r="B57" s="50">
        <v>228</v>
      </c>
    </row>
    <row r="58" spans="1:2">
      <c r="A58" s="9">
        <v>44064</v>
      </c>
      <c r="B58" s="50">
        <v>218</v>
      </c>
    </row>
    <row r="59" spans="1:2">
      <c r="A59" s="9">
        <v>44065</v>
      </c>
      <c r="B59" s="50">
        <v>214</v>
      </c>
    </row>
    <row r="60" spans="1:2">
      <c r="A60" s="9">
        <v>44066</v>
      </c>
      <c r="B60" s="50">
        <v>226</v>
      </c>
    </row>
    <row r="61" spans="1:2">
      <c r="A61" s="9">
        <v>44067</v>
      </c>
      <c r="B61" s="50">
        <v>228</v>
      </c>
    </row>
    <row r="62" spans="1:2">
      <c r="A62" s="9">
        <v>44068</v>
      </c>
      <c r="B62" s="50">
        <v>226</v>
      </c>
    </row>
    <row r="63" spans="1:2">
      <c r="A63" s="9">
        <v>44069</v>
      </c>
      <c r="B63" s="50">
        <v>224</v>
      </c>
    </row>
    <row r="64" spans="1:2">
      <c r="A64" s="9">
        <v>44070</v>
      </c>
      <c r="B64" s="50">
        <v>228</v>
      </c>
    </row>
    <row r="65" spans="1:2">
      <c r="A65" s="9">
        <v>44071</v>
      </c>
      <c r="B65" s="50">
        <v>223</v>
      </c>
    </row>
    <row r="66" spans="1:2">
      <c r="A66" s="9">
        <v>44072</v>
      </c>
      <c r="B66" s="50">
        <v>215</v>
      </c>
    </row>
    <row r="67" spans="1:2">
      <c r="A67" s="9">
        <v>44073</v>
      </c>
      <c r="B67" s="50">
        <v>236</v>
      </c>
    </row>
    <row r="68" spans="1:2" ht="15.75">
      <c r="A68" s="9">
        <v>44074</v>
      </c>
      <c r="B68" s="29">
        <v>224</v>
      </c>
    </row>
    <row r="70" spans="1:2" ht="60">
      <c r="A70" s="34" t="s">
        <v>24</v>
      </c>
      <c r="B70" s="65" t="s">
        <v>25</v>
      </c>
    </row>
    <row r="71" spans="1:2" ht="15.75">
      <c r="A71" s="9">
        <v>44044</v>
      </c>
      <c r="B71" s="52">
        <v>41845</v>
      </c>
    </row>
    <row r="72" spans="1:2" ht="15.75">
      <c r="A72" s="9">
        <v>44045</v>
      </c>
      <c r="B72" s="52">
        <v>51753</v>
      </c>
    </row>
    <row r="73" spans="1:2" ht="15.75">
      <c r="A73" s="9">
        <v>44046</v>
      </c>
      <c r="B73" s="52">
        <v>47958</v>
      </c>
    </row>
    <row r="74" spans="1:2" ht="15.75">
      <c r="A74" s="9">
        <v>44047</v>
      </c>
      <c r="B74" s="52">
        <v>46428</v>
      </c>
    </row>
    <row r="75" spans="1:2" ht="15.75">
      <c r="A75" s="9">
        <v>44048</v>
      </c>
      <c r="B75" s="52">
        <v>42255</v>
      </c>
    </row>
    <row r="76" spans="1:2" ht="15.75">
      <c r="A76" s="9">
        <v>44049</v>
      </c>
      <c r="B76" s="52">
        <v>43030</v>
      </c>
    </row>
    <row r="77" spans="1:2" ht="15.75">
      <c r="A77" s="9">
        <v>44050</v>
      </c>
      <c r="B77" s="52">
        <v>47958</v>
      </c>
    </row>
    <row r="78" spans="1:2" ht="15.75">
      <c r="A78" s="9">
        <v>44051</v>
      </c>
      <c r="B78" s="52">
        <v>37659</v>
      </c>
    </row>
    <row r="79" spans="1:2" ht="15.75">
      <c r="A79" s="9">
        <v>44052</v>
      </c>
      <c r="B79" s="52">
        <v>38124</v>
      </c>
    </row>
    <row r="80" spans="1:2" ht="15.75">
      <c r="A80" s="9">
        <v>44053</v>
      </c>
      <c r="B80" s="52">
        <v>39263</v>
      </c>
    </row>
    <row r="81" spans="1:2" ht="15.75">
      <c r="A81" s="9">
        <v>44054</v>
      </c>
      <c r="B81" s="52">
        <v>40223</v>
      </c>
    </row>
    <row r="82" spans="1:2" ht="15.75">
      <c r="A82" s="9">
        <v>44055</v>
      </c>
      <c r="B82" s="52">
        <v>38725</v>
      </c>
    </row>
    <row r="83" spans="1:2" ht="15.75">
      <c r="A83" s="9">
        <v>44056</v>
      </c>
      <c r="B83" s="52">
        <v>39064</v>
      </c>
    </row>
    <row r="84" spans="1:2" ht="15.75">
      <c r="A84" s="9">
        <v>44057</v>
      </c>
      <c r="B84" s="52">
        <v>43030</v>
      </c>
    </row>
    <row r="85" spans="1:2" ht="15.75">
      <c r="A85" s="9">
        <v>44058</v>
      </c>
      <c r="B85" s="52">
        <v>33293</v>
      </c>
    </row>
    <row r="86" spans="1:2" ht="15.75">
      <c r="A86" s="9">
        <v>44059</v>
      </c>
      <c r="B86" s="52">
        <v>39687</v>
      </c>
    </row>
    <row r="87" spans="1:2" ht="15.75">
      <c r="A87" s="9">
        <v>44060</v>
      </c>
      <c r="B87" s="52">
        <v>36752</v>
      </c>
    </row>
    <row r="88" spans="1:2" ht="15.75">
      <c r="A88" s="9">
        <v>44061</v>
      </c>
      <c r="B88" s="52">
        <v>40325</v>
      </c>
    </row>
    <row r="89" spans="1:2" ht="15.75">
      <c r="A89" s="9">
        <v>44062</v>
      </c>
      <c r="B89" s="52">
        <v>38300</v>
      </c>
    </row>
    <row r="90" spans="1:2" ht="15.75">
      <c r="A90" s="9">
        <v>44063</v>
      </c>
      <c r="B90" s="52">
        <v>42992</v>
      </c>
    </row>
    <row r="91" spans="1:2" ht="15.75">
      <c r="A91" s="9">
        <v>44064</v>
      </c>
      <c r="B91" s="52">
        <v>38124</v>
      </c>
    </row>
    <row r="92" spans="1:2" ht="15.75">
      <c r="A92" s="9">
        <v>44065</v>
      </c>
      <c r="B92" s="52">
        <v>39020</v>
      </c>
    </row>
    <row r="93" spans="1:2" ht="15.75">
      <c r="A93" s="9">
        <v>44066</v>
      </c>
      <c r="B93" s="52">
        <v>40328</v>
      </c>
    </row>
    <row r="94" spans="1:2" ht="15.75">
      <c r="A94" s="9">
        <v>44067</v>
      </c>
      <c r="B94" s="52">
        <v>41968</v>
      </c>
    </row>
    <row r="95" spans="1:2" ht="15.75">
      <c r="A95" s="9">
        <v>44068</v>
      </c>
      <c r="B95" s="54">
        <v>43123</v>
      </c>
    </row>
    <row r="96" spans="1:2" ht="15.75">
      <c r="A96" s="9">
        <v>44069</v>
      </c>
      <c r="B96" s="52">
        <v>38273</v>
      </c>
    </row>
    <row r="97" spans="1:2" ht="15.75">
      <c r="A97" s="9">
        <v>44070</v>
      </c>
      <c r="B97" s="55">
        <v>41111</v>
      </c>
    </row>
    <row r="98" spans="1:2" ht="15.75">
      <c r="A98" s="9">
        <v>44071</v>
      </c>
      <c r="B98" s="55">
        <v>40223</v>
      </c>
    </row>
    <row r="99" spans="1:2" ht="15.75">
      <c r="A99" s="9">
        <v>44072</v>
      </c>
      <c r="B99" s="55">
        <v>40984</v>
      </c>
    </row>
    <row r="100" spans="1:2">
      <c r="A100" s="9">
        <v>44073</v>
      </c>
      <c r="B100" s="53">
        <v>45524</v>
      </c>
    </row>
    <row r="101" spans="1:2">
      <c r="A101" s="9">
        <v>44074</v>
      </c>
      <c r="B101" s="41">
        <v>47317</v>
      </c>
    </row>
  </sheetData>
  <mergeCells count="1">
    <mergeCell ref="A1:R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D35D-25B0-41AA-85F7-783210A79DA4}">
  <dimension ref="A1:R100"/>
  <sheetViews>
    <sheetView workbookViewId="0">
      <selection activeCell="B3" sqref="B3:H32"/>
    </sheetView>
  </sheetViews>
  <sheetFormatPr defaultRowHeight="15"/>
  <cols>
    <col min="2" max="2" width="12.42578125" style="20" customWidth="1"/>
    <col min="3" max="5" width="12.42578125" customWidth="1"/>
    <col min="6" max="7" width="10.85546875" customWidth="1"/>
    <col min="9" max="9" width="11" customWidth="1"/>
    <col min="10" max="10" width="10.7109375" customWidth="1"/>
    <col min="11" max="11" width="10.140625" customWidth="1"/>
    <col min="14" max="14" width="8.42578125" customWidth="1"/>
    <col min="15" max="15" width="5.28515625" style="20" customWidth="1"/>
    <col min="17" max="17" width="13.85546875" customWidth="1"/>
    <col min="18" max="18" width="14.28515625" customWidth="1"/>
  </cols>
  <sheetData>
    <row r="1" spans="1:18">
      <c r="A1" s="471"/>
      <c r="B1" s="471"/>
      <c r="C1" s="471"/>
      <c r="D1" s="471"/>
      <c r="E1" s="471"/>
      <c r="F1" s="471"/>
      <c r="G1" s="471"/>
      <c r="H1" s="471"/>
      <c r="I1" s="471"/>
      <c r="J1" s="471"/>
      <c r="K1" s="471"/>
      <c r="L1" s="471"/>
      <c r="M1" s="471"/>
      <c r="N1" s="471"/>
      <c r="O1" s="471"/>
      <c r="P1" s="471"/>
      <c r="Q1" s="471"/>
      <c r="R1" s="471"/>
    </row>
    <row r="2" spans="1:18" ht="60">
      <c r="A2" s="34" t="s">
        <v>24</v>
      </c>
      <c r="B2" s="57" t="s">
        <v>510</v>
      </c>
      <c r="C2" s="36" t="s">
        <v>25</v>
      </c>
      <c r="D2" s="36"/>
      <c r="E2" s="36"/>
      <c r="F2" s="36" t="s">
        <v>26</v>
      </c>
      <c r="G2" s="36"/>
      <c r="H2" s="36" t="s">
        <v>27</v>
      </c>
    </row>
    <row r="3" spans="1:18" ht="15.75">
      <c r="A3" s="9">
        <v>44075</v>
      </c>
      <c r="B3" s="174">
        <v>17104354</v>
      </c>
      <c r="C3" s="80">
        <v>38288</v>
      </c>
      <c r="D3" s="80">
        <v>38288</v>
      </c>
      <c r="E3" s="58">
        <v>30201</v>
      </c>
      <c r="F3" s="10">
        <v>69</v>
      </c>
      <c r="G3" s="10">
        <v>69</v>
      </c>
      <c r="H3" s="239">
        <v>2900</v>
      </c>
      <c r="J3" s="20"/>
    </row>
    <row r="4" spans="1:18" ht="15.75">
      <c r="A4" s="9">
        <v>44076</v>
      </c>
      <c r="B4" s="59">
        <v>17157559</v>
      </c>
      <c r="C4" s="80">
        <f>B4-B3</f>
        <v>53205</v>
      </c>
      <c r="D4" s="80">
        <v>53205</v>
      </c>
      <c r="E4" s="59">
        <v>30429</v>
      </c>
      <c r="F4" s="10">
        <f>E4-E3</f>
        <v>228</v>
      </c>
      <c r="G4" s="10">
        <v>228</v>
      </c>
      <c r="H4" s="239">
        <v>2900</v>
      </c>
    </row>
    <row r="5" spans="1:18" ht="15.75">
      <c r="A5" s="9">
        <v>44077</v>
      </c>
      <c r="B5" s="60">
        <v>17195907</v>
      </c>
      <c r="C5" s="80">
        <f t="shared" ref="C5:C32" si="0">B5-B4</f>
        <v>38348</v>
      </c>
      <c r="D5" s="80">
        <v>38348</v>
      </c>
      <c r="E5" s="61">
        <v>30665</v>
      </c>
      <c r="F5" s="10">
        <f t="shared" ref="F5:F31" si="1">E5-E4</f>
        <v>236</v>
      </c>
      <c r="G5" s="10">
        <v>236</v>
      </c>
      <c r="H5" s="239">
        <v>2900</v>
      </c>
    </row>
    <row r="6" spans="1:18" ht="15.75">
      <c r="A6" s="9">
        <v>44078</v>
      </c>
      <c r="B6" s="60">
        <f>B5+C11</f>
        <v>17233496</v>
      </c>
      <c r="C6" s="80">
        <f t="shared" si="0"/>
        <v>37589</v>
      </c>
      <c r="D6" s="80">
        <v>37589</v>
      </c>
      <c r="E6" s="61">
        <f>E5+F12</f>
        <v>30893</v>
      </c>
      <c r="F6" s="10">
        <f t="shared" si="1"/>
        <v>228</v>
      </c>
      <c r="G6" s="10">
        <v>228</v>
      </c>
      <c r="H6" s="239">
        <v>2900</v>
      </c>
    </row>
    <row r="7" spans="1:18" ht="15.75">
      <c r="A7" s="9">
        <v>44079</v>
      </c>
      <c r="B7" s="60">
        <v>17283164</v>
      </c>
      <c r="C7" s="80">
        <f t="shared" si="0"/>
        <v>49668</v>
      </c>
      <c r="D7" s="80">
        <v>49668</v>
      </c>
      <c r="E7" s="61">
        <v>31121</v>
      </c>
      <c r="F7" s="10">
        <f t="shared" si="1"/>
        <v>228</v>
      </c>
      <c r="G7" s="10">
        <v>228</v>
      </c>
      <c r="H7" s="239">
        <v>2900</v>
      </c>
    </row>
    <row r="8" spans="1:18" ht="15.75">
      <c r="A8" s="9">
        <v>44080</v>
      </c>
      <c r="B8" s="59">
        <v>17321688</v>
      </c>
      <c r="C8" s="80">
        <f t="shared" si="0"/>
        <v>38524</v>
      </c>
      <c r="D8" s="80">
        <v>38524</v>
      </c>
      <c r="E8" s="59">
        <v>31354</v>
      </c>
      <c r="F8" s="10">
        <f t="shared" si="1"/>
        <v>233</v>
      </c>
      <c r="G8" s="10">
        <v>233</v>
      </c>
      <c r="H8" s="239">
        <v>49080</v>
      </c>
    </row>
    <row r="9" spans="1:18" ht="15.75">
      <c r="A9" s="9">
        <v>44081</v>
      </c>
      <c r="B9" s="60">
        <v>17370390</v>
      </c>
      <c r="C9" s="80">
        <f t="shared" si="0"/>
        <v>48702</v>
      </c>
      <c r="D9" s="80">
        <v>48702</v>
      </c>
      <c r="E9" s="61">
        <v>31582</v>
      </c>
      <c r="F9" s="10">
        <f t="shared" si="1"/>
        <v>228</v>
      </c>
      <c r="G9" s="10">
        <v>228</v>
      </c>
      <c r="H9" s="239">
        <v>2900</v>
      </c>
    </row>
    <row r="10" spans="1:18" ht="15.75">
      <c r="A10" s="9">
        <v>44082</v>
      </c>
      <c r="B10" s="59">
        <v>17399864</v>
      </c>
      <c r="C10" s="80">
        <f t="shared" si="0"/>
        <v>29474</v>
      </c>
      <c r="D10" s="80">
        <v>29474</v>
      </c>
      <c r="E10" s="59">
        <v>31814</v>
      </c>
      <c r="F10" s="10">
        <f t="shared" si="1"/>
        <v>232</v>
      </c>
      <c r="G10" s="10">
        <v>232</v>
      </c>
      <c r="H10" s="239">
        <v>2900</v>
      </c>
    </row>
    <row r="11" spans="1:18" ht="15.75">
      <c r="A11" s="9">
        <v>44083</v>
      </c>
      <c r="B11" s="59">
        <v>17437453</v>
      </c>
      <c r="C11" s="80">
        <f t="shared" si="0"/>
        <v>37589</v>
      </c>
      <c r="D11" s="80">
        <v>37589</v>
      </c>
      <c r="E11" s="59">
        <v>32046</v>
      </c>
      <c r="F11" s="10">
        <f t="shared" si="1"/>
        <v>232</v>
      </c>
      <c r="G11" s="10">
        <v>232</v>
      </c>
      <c r="H11" s="239">
        <v>2900</v>
      </c>
    </row>
    <row r="12" spans="1:18" ht="15.75">
      <c r="A12" s="9">
        <v>44084</v>
      </c>
      <c r="B12" s="60">
        <v>17476730</v>
      </c>
      <c r="C12" s="80">
        <f t="shared" si="0"/>
        <v>39277</v>
      </c>
      <c r="D12" s="80">
        <v>39277</v>
      </c>
      <c r="E12" s="61">
        <v>32274</v>
      </c>
      <c r="F12" s="10">
        <f t="shared" si="1"/>
        <v>228</v>
      </c>
      <c r="G12" s="10">
        <v>228</v>
      </c>
      <c r="H12" s="239">
        <v>2900</v>
      </c>
    </row>
    <row r="13" spans="1:18" ht="15.75">
      <c r="A13" s="9">
        <v>44085</v>
      </c>
      <c r="B13" s="60">
        <f>B12+C8</f>
        <v>17515254</v>
      </c>
      <c r="C13" s="80">
        <f t="shared" si="0"/>
        <v>38524</v>
      </c>
      <c r="D13" s="80">
        <v>38524</v>
      </c>
      <c r="E13" s="61">
        <f>E12+F10</f>
        <v>32506</v>
      </c>
      <c r="F13" s="10">
        <f t="shared" si="1"/>
        <v>232</v>
      </c>
      <c r="G13" s="10">
        <v>232</v>
      </c>
      <c r="H13" s="239">
        <v>2900</v>
      </c>
    </row>
    <row r="14" spans="1:18" ht="15.75">
      <c r="A14" s="9">
        <v>44086</v>
      </c>
      <c r="B14" s="60">
        <v>17554337</v>
      </c>
      <c r="C14" s="80">
        <f t="shared" si="0"/>
        <v>39083</v>
      </c>
      <c r="D14" s="80">
        <v>39083</v>
      </c>
      <c r="E14" s="61">
        <v>32726</v>
      </c>
      <c r="F14" s="10">
        <f t="shared" si="1"/>
        <v>220</v>
      </c>
      <c r="G14" s="10">
        <v>220</v>
      </c>
      <c r="H14" s="239">
        <v>2900</v>
      </c>
    </row>
    <row r="15" spans="1:18" ht="15.75">
      <c r="A15" s="9">
        <v>44087</v>
      </c>
      <c r="B15" s="59">
        <v>17592599</v>
      </c>
      <c r="C15" s="80">
        <f t="shared" si="0"/>
        <v>38262</v>
      </c>
      <c r="D15" s="80">
        <v>38262</v>
      </c>
      <c r="E15" s="59">
        <v>33008</v>
      </c>
      <c r="F15" s="10">
        <f t="shared" si="1"/>
        <v>282</v>
      </c>
      <c r="G15" s="10">
        <v>282</v>
      </c>
      <c r="H15" s="239">
        <v>2900</v>
      </c>
    </row>
    <row r="16" spans="1:18" ht="15.75">
      <c r="A16" s="9">
        <v>44088</v>
      </c>
      <c r="B16" s="60">
        <v>17631796</v>
      </c>
      <c r="C16" s="80">
        <f t="shared" si="0"/>
        <v>39197</v>
      </c>
      <c r="D16" s="80">
        <v>39197</v>
      </c>
      <c r="E16" s="61">
        <f>E15+F10</f>
        <v>33240</v>
      </c>
      <c r="F16" s="10">
        <f t="shared" si="1"/>
        <v>232</v>
      </c>
      <c r="G16" s="10">
        <v>232</v>
      </c>
      <c r="H16" s="239">
        <v>2900</v>
      </c>
    </row>
    <row r="17" spans="1:8" ht="15.75">
      <c r="A17" s="9">
        <v>44089</v>
      </c>
      <c r="B17" s="59">
        <v>17672772</v>
      </c>
      <c r="C17" s="80">
        <f t="shared" si="0"/>
        <v>40976</v>
      </c>
      <c r="D17" s="80">
        <v>40976</v>
      </c>
      <c r="E17" s="59">
        <v>33251</v>
      </c>
      <c r="F17" s="10">
        <f t="shared" si="1"/>
        <v>11</v>
      </c>
      <c r="G17" s="10">
        <v>11</v>
      </c>
      <c r="H17" s="239">
        <v>2900</v>
      </c>
    </row>
    <row r="18" spans="1:8" ht="15.75">
      <c r="A18" s="9">
        <v>44090</v>
      </c>
      <c r="B18" s="59">
        <v>17710613</v>
      </c>
      <c r="C18" s="80">
        <f t="shared" si="0"/>
        <v>37841</v>
      </c>
      <c r="D18" s="80">
        <v>37841</v>
      </c>
      <c r="E18" s="61">
        <v>33302</v>
      </c>
      <c r="F18" s="10">
        <f t="shared" si="1"/>
        <v>51</v>
      </c>
      <c r="G18" s="10">
        <v>51</v>
      </c>
      <c r="H18" s="239">
        <v>2900</v>
      </c>
    </row>
    <row r="19" spans="1:8" ht="15.75">
      <c r="A19" s="9">
        <v>44091</v>
      </c>
      <c r="B19" s="60">
        <v>17753616</v>
      </c>
      <c r="C19" s="80">
        <f t="shared" si="0"/>
        <v>43003</v>
      </c>
      <c r="D19" s="80">
        <v>43003</v>
      </c>
      <c r="E19" s="61">
        <v>33442</v>
      </c>
      <c r="F19" s="10">
        <f t="shared" si="1"/>
        <v>140</v>
      </c>
      <c r="G19" s="10">
        <v>140</v>
      </c>
      <c r="H19" s="239">
        <v>2900</v>
      </c>
    </row>
    <row r="20" spans="1:8" ht="15.75">
      <c r="A20" s="9">
        <v>44092</v>
      </c>
      <c r="B20" s="60">
        <f>B19+C16</f>
        <v>17792813</v>
      </c>
      <c r="C20" s="80">
        <f t="shared" si="0"/>
        <v>39197</v>
      </c>
      <c r="D20" s="80">
        <v>39197</v>
      </c>
      <c r="E20" s="61">
        <f>E19+F24</f>
        <v>33577</v>
      </c>
      <c r="F20" s="10">
        <f t="shared" si="1"/>
        <v>135</v>
      </c>
      <c r="G20" s="10">
        <v>135</v>
      </c>
      <c r="H20" s="239">
        <v>2900</v>
      </c>
    </row>
    <row r="21" spans="1:8" ht="15.75">
      <c r="A21" s="9">
        <v>44093</v>
      </c>
      <c r="B21" s="60">
        <v>17831133</v>
      </c>
      <c r="C21" s="80">
        <f t="shared" si="0"/>
        <v>38320</v>
      </c>
      <c r="D21" s="80">
        <v>38320</v>
      </c>
      <c r="E21" s="61">
        <v>33644</v>
      </c>
      <c r="F21" s="10">
        <f t="shared" si="1"/>
        <v>67</v>
      </c>
      <c r="G21" s="10">
        <v>67</v>
      </c>
      <c r="H21" s="239">
        <v>2900</v>
      </c>
    </row>
    <row r="22" spans="1:8" ht="15.75">
      <c r="A22" s="9">
        <v>44094</v>
      </c>
      <c r="B22" s="59">
        <v>17870600</v>
      </c>
      <c r="C22" s="80">
        <f t="shared" si="0"/>
        <v>39467</v>
      </c>
      <c r="D22" s="80">
        <v>39467</v>
      </c>
      <c r="E22" s="59">
        <v>33778</v>
      </c>
      <c r="F22" s="10">
        <f t="shared" si="1"/>
        <v>134</v>
      </c>
      <c r="G22" s="10">
        <v>134</v>
      </c>
      <c r="H22" s="239">
        <v>2900</v>
      </c>
    </row>
    <row r="23" spans="1:8" ht="15.75">
      <c r="A23" s="9">
        <v>44095</v>
      </c>
      <c r="B23" s="60">
        <v>17909523</v>
      </c>
      <c r="C23" s="80">
        <f t="shared" si="0"/>
        <v>38923</v>
      </c>
      <c r="D23" s="80">
        <v>38923</v>
      </c>
      <c r="E23" s="61">
        <v>33917</v>
      </c>
      <c r="F23" s="10">
        <f t="shared" si="1"/>
        <v>139</v>
      </c>
      <c r="G23" s="10">
        <v>139</v>
      </c>
      <c r="H23" s="239">
        <v>2900</v>
      </c>
    </row>
    <row r="24" spans="1:8" ht="15.75">
      <c r="A24" s="9">
        <v>44096</v>
      </c>
      <c r="B24" s="59">
        <v>17950333</v>
      </c>
      <c r="C24" s="80">
        <f t="shared" si="0"/>
        <v>40810</v>
      </c>
      <c r="D24" s="80">
        <v>40810</v>
      </c>
      <c r="E24" s="59">
        <v>34052</v>
      </c>
      <c r="F24" s="10">
        <f t="shared" si="1"/>
        <v>135</v>
      </c>
      <c r="G24" s="10">
        <v>135</v>
      </c>
      <c r="H24" s="239">
        <v>2900</v>
      </c>
    </row>
    <row r="25" spans="1:8" ht="15.75">
      <c r="A25" s="9">
        <v>44097</v>
      </c>
      <c r="B25" s="59">
        <v>17991034</v>
      </c>
      <c r="C25" s="80">
        <f t="shared" si="0"/>
        <v>40701</v>
      </c>
      <c r="D25" s="80">
        <v>40701</v>
      </c>
      <c r="E25" s="61">
        <v>34191</v>
      </c>
      <c r="F25" s="10">
        <f t="shared" si="1"/>
        <v>139</v>
      </c>
      <c r="G25" s="10">
        <v>139</v>
      </c>
      <c r="H25" s="239">
        <v>2900</v>
      </c>
    </row>
    <row r="26" spans="1:8" ht="15.75">
      <c r="A26" s="9">
        <v>44098</v>
      </c>
      <c r="B26" s="56">
        <v>18031130</v>
      </c>
      <c r="C26" s="80">
        <f t="shared" si="0"/>
        <v>40096</v>
      </c>
      <c r="D26" s="80">
        <v>40096</v>
      </c>
      <c r="E26" s="41">
        <v>34332</v>
      </c>
      <c r="F26" s="10">
        <f t="shared" si="1"/>
        <v>141</v>
      </c>
      <c r="G26" s="10">
        <v>141</v>
      </c>
      <c r="H26" s="239">
        <v>2900</v>
      </c>
    </row>
    <row r="27" spans="1:8" ht="15.75">
      <c r="A27" s="9">
        <v>44099</v>
      </c>
      <c r="B27" s="56">
        <f>B26+C23</f>
        <v>18070053</v>
      </c>
      <c r="C27" s="80">
        <f t="shared" si="0"/>
        <v>38923</v>
      </c>
      <c r="D27" s="81">
        <v>38923</v>
      </c>
      <c r="E27" s="42">
        <f>E26+F22</f>
        <v>34466</v>
      </c>
      <c r="F27" s="10">
        <f t="shared" si="1"/>
        <v>134</v>
      </c>
      <c r="G27" s="10">
        <v>134</v>
      </c>
      <c r="H27" s="239">
        <v>2900</v>
      </c>
    </row>
    <row r="28" spans="1:8" ht="15.75">
      <c r="A28" s="9">
        <v>44100</v>
      </c>
      <c r="B28" s="240">
        <v>18109043</v>
      </c>
      <c r="C28" s="80">
        <f t="shared" si="0"/>
        <v>38990</v>
      </c>
      <c r="D28" s="80">
        <v>38990</v>
      </c>
      <c r="E28" s="62">
        <v>34569</v>
      </c>
      <c r="F28" s="10">
        <f t="shared" si="1"/>
        <v>103</v>
      </c>
      <c r="G28" s="10">
        <v>103</v>
      </c>
      <c r="H28" s="239">
        <v>2900</v>
      </c>
    </row>
    <row r="29" spans="1:8" ht="15.75">
      <c r="A29" s="9">
        <v>44101</v>
      </c>
      <c r="B29" s="37">
        <v>18152135</v>
      </c>
      <c r="C29" s="80">
        <f t="shared" si="0"/>
        <v>43092</v>
      </c>
      <c r="D29" s="64">
        <v>43092</v>
      </c>
      <c r="E29" s="63">
        <v>34705</v>
      </c>
      <c r="F29" s="10">
        <f t="shared" si="1"/>
        <v>136</v>
      </c>
      <c r="G29" s="10">
        <v>136</v>
      </c>
      <c r="H29" s="239">
        <v>2900</v>
      </c>
    </row>
    <row r="30" spans="1:8" ht="15.75">
      <c r="A30" s="9">
        <v>44102</v>
      </c>
      <c r="B30" s="56">
        <v>18196823</v>
      </c>
      <c r="C30" s="80">
        <f t="shared" si="0"/>
        <v>44688</v>
      </c>
      <c r="D30" s="64">
        <v>44688</v>
      </c>
      <c r="E30" s="63">
        <v>34847.1</v>
      </c>
      <c r="F30" s="10">
        <f t="shared" si="1"/>
        <v>142.09999999999854</v>
      </c>
      <c r="G30" s="10">
        <v>142</v>
      </c>
      <c r="H30" s="239">
        <v>2900</v>
      </c>
    </row>
    <row r="31" spans="1:8" ht="15.75">
      <c r="A31" s="9">
        <v>44103</v>
      </c>
      <c r="B31" s="56">
        <v>18241509</v>
      </c>
      <c r="C31" s="80">
        <f t="shared" si="0"/>
        <v>44686</v>
      </c>
      <c r="D31" s="64">
        <v>44686</v>
      </c>
      <c r="E31" s="63">
        <v>34986</v>
      </c>
      <c r="F31" s="10">
        <f t="shared" si="1"/>
        <v>138.90000000000146</v>
      </c>
      <c r="G31" s="10">
        <v>139</v>
      </c>
      <c r="H31" s="239">
        <v>2900</v>
      </c>
    </row>
    <row r="32" spans="1:8" ht="15.75">
      <c r="A32" s="9">
        <v>44104</v>
      </c>
      <c r="B32" s="56">
        <f>B31+C22</f>
        <v>18280976</v>
      </c>
      <c r="C32" s="80">
        <f t="shared" si="0"/>
        <v>39467</v>
      </c>
      <c r="D32" s="41">
        <v>39467</v>
      </c>
      <c r="E32" s="41">
        <f>E31+F19</f>
        <v>35126</v>
      </c>
      <c r="F32" s="10">
        <v>140</v>
      </c>
      <c r="G32" s="10">
        <v>140</v>
      </c>
      <c r="H32" s="239">
        <v>2900</v>
      </c>
    </row>
    <row r="33" spans="1:8" ht="15.75">
      <c r="A33" s="9">
        <v>44074</v>
      </c>
      <c r="B33" s="66"/>
      <c r="C33" s="52"/>
      <c r="D33" s="41"/>
      <c r="E33" s="41"/>
      <c r="F33" s="50"/>
      <c r="G33" s="29"/>
      <c r="H33" s="51"/>
    </row>
    <row r="34" spans="1:8">
      <c r="E34" s="48"/>
    </row>
    <row r="35" spans="1:8">
      <c r="B35"/>
    </row>
    <row r="37" spans="1:8" ht="45">
      <c r="A37" s="34" t="s">
        <v>24</v>
      </c>
      <c r="B37" s="65" t="s">
        <v>26</v>
      </c>
    </row>
    <row r="38" spans="1:8">
      <c r="A38" s="9">
        <v>44075</v>
      </c>
      <c r="B38" s="50">
        <v>69</v>
      </c>
    </row>
    <row r="39" spans="1:8">
      <c r="A39" s="9">
        <v>44076</v>
      </c>
      <c r="B39" s="50">
        <v>228</v>
      </c>
    </row>
    <row r="40" spans="1:8">
      <c r="A40" s="9">
        <v>44077</v>
      </c>
      <c r="B40" s="50">
        <v>236</v>
      </c>
    </row>
    <row r="41" spans="1:8">
      <c r="A41" s="9">
        <v>44078</v>
      </c>
      <c r="B41" s="50">
        <v>228</v>
      </c>
    </row>
    <row r="42" spans="1:8">
      <c r="A42" s="9">
        <v>44079</v>
      </c>
      <c r="B42" s="50">
        <v>228</v>
      </c>
    </row>
    <row r="43" spans="1:8">
      <c r="A43" s="9">
        <v>44080</v>
      </c>
      <c r="B43" s="50">
        <v>233</v>
      </c>
    </row>
    <row r="44" spans="1:8">
      <c r="A44" s="9">
        <v>44081</v>
      </c>
      <c r="B44" s="50">
        <v>228</v>
      </c>
    </row>
    <row r="45" spans="1:8">
      <c r="A45" s="9">
        <v>44082</v>
      </c>
      <c r="B45" s="50">
        <v>232</v>
      </c>
    </row>
    <row r="46" spans="1:8">
      <c r="A46" s="9">
        <v>44083</v>
      </c>
      <c r="B46" s="50">
        <v>232</v>
      </c>
    </row>
    <row r="47" spans="1:8">
      <c r="A47" s="9">
        <v>44084</v>
      </c>
      <c r="B47" s="50">
        <v>228</v>
      </c>
    </row>
    <row r="48" spans="1:8">
      <c r="A48" s="9">
        <v>44085</v>
      </c>
      <c r="B48" s="50">
        <v>232</v>
      </c>
    </row>
    <row r="49" spans="1:2">
      <c r="A49" s="9">
        <v>44086</v>
      </c>
      <c r="B49" s="50">
        <v>220</v>
      </c>
    </row>
    <row r="50" spans="1:2">
      <c r="A50" s="9">
        <v>44087</v>
      </c>
      <c r="B50" s="50">
        <v>282</v>
      </c>
    </row>
    <row r="51" spans="1:2">
      <c r="A51" s="9">
        <v>44088</v>
      </c>
      <c r="B51" s="50">
        <v>232</v>
      </c>
    </row>
    <row r="52" spans="1:2">
      <c r="A52" s="9">
        <v>44089</v>
      </c>
      <c r="B52" s="50">
        <v>11</v>
      </c>
    </row>
    <row r="53" spans="1:2">
      <c r="A53" s="9">
        <v>44090</v>
      </c>
      <c r="B53" s="50">
        <v>51</v>
      </c>
    </row>
    <row r="54" spans="1:2">
      <c r="A54" s="9">
        <v>44091</v>
      </c>
      <c r="B54" s="50">
        <v>140</v>
      </c>
    </row>
    <row r="55" spans="1:2">
      <c r="A55" s="9">
        <v>44092</v>
      </c>
      <c r="B55" s="50">
        <v>135</v>
      </c>
    </row>
    <row r="56" spans="1:2">
      <c r="A56" s="9">
        <v>44093</v>
      </c>
      <c r="B56" s="50">
        <v>67</v>
      </c>
    </row>
    <row r="57" spans="1:2">
      <c r="A57" s="9">
        <v>44094</v>
      </c>
      <c r="B57" s="50">
        <v>134</v>
      </c>
    </row>
    <row r="58" spans="1:2">
      <c r="A58" s="9">
        <v>44095</v>
      </c>
      <c r="B58" s="50">
        <v>139</v>
      </c>
    </row>
    <row r="59" spans="1:2">
      <c r="A59" s="9">
        <v>44096</v>
      </c>
      <c r="B59" s="50">
        <v>135</v>
      </c>
    </row>
    <row r="60" spans="1:2">
      <c r="A60" s="9">
        <v>44097</v>
      </c>
      <c r="B60" s="50">
        <v>139</v>
      </c>
    </row>
    <row r="61" spans="1:2">
      <c r="A61" s="9">
        <v>44098</v>
      </c>
      <c r="B61" s="50">
        <v>141</v>
      </c>
    </row>
    <row r="62" spans="1:2">
      <c r="A62" s="9">
        <v>44099</v>
      </c>
      <c r="B62" s="50">
        <v>134</v>
      </c>
    </row>
    <row r="63" spans="1:2">
      <c r="A63" s="9">
        <v>44100</v>
      </c>
      <c r="B63" s="50">
        <v>103</v>
      </c>
    </row>
    <row r="64" spans="1:2">
      <c r="A64" s="9">
        <v>44101</v>
      </c>
      <c r="B64" s="50">
        <v>136</v>
      </c>
    </row>
    <row r="65" spans="1:2">
      <c r="A65" s="9">
        <v>44102</v>
      </c>
      <c r="B65" s="50">
        <v>142</v>
      </c>
    </row>
    <row r="66" spans="1:2">
      <c r="A66" s="9">
        <v>44103</v>
      </c>
      <c r="B66" s="50">
        <v>139</v>
      </c>
    </row>
    <row r="67" spans="1:2">
      <c r="A67" s="9">
        <v>44104</v>
      </c>
      <c r="B67" s="50">
        <v>140</v>
      </c>
    </row>
    <row r="68" spans="1:2" ht="15.75">
      <c r="A68" s="9"/>
      <c r="B68" s="29"/>
    </row>
    <row r="70" spans="1:2" ht="60">
      <c r="A70" s="34" t="s">
        <v>24</v>
      </c>
      <c r="B70" s="65" t="s">
        <v>25</v>
      </c>
    </row>
    <row r="71" spans="1:2" ht="15.75">
      <c r="A71" s="9">
        <v>44075</v>
      </c>
      <c r="B71" s="52">
        <v>38288</v>
      </c>
    </row>
    <row r="72" spans="1:2" ht="15.75">
      <c r="A72" s="9">
        <v>44076</v>
      </c>
      <c r="B72" s="52">
        <v>53205</v>
      </c>
    </row>
    <row r="73" spans="1:2" ht="15.75">
      <c r="A73" s="9">
        <v>44077</v>
      </c>
      <c r="B73" s="52">
        <v>38348</v>
      </c>
    </row>
    <row r="74" spans="1:2" ht="15.75">
      <c r="A74" s="9">
        <v>44078</v>
      </c>
      <c r="B74" s="52">
        <v>37589</v>
      </c>
    </row>
    <row r="75" spans="1:2" ht="15.75">
      <c r="A75" s="9">
        <v>44079</v>
      </c>
      <c r="B75" s="52">
        <v>49668</v>
      </c>
    </row>
    <row r="76" spans="1:2" ht="15.75">
      <c r="A76" s="9">
        <v>44080</v>
      </c>
      <c r="B76" s="52">
        <v>38524</v>
      </c>
    </row>
    <row r="77" spans="1:2" ht="15.75">
      <c r="A77" s="9">
        <v>44081</v>
      </c>
      <c r="B77" s="52">
        <v>48702</v>
      </c>
    </row>
    <row r="78" spans="1:2" ht="15.75">
      <c r="A78" s="9">
        <v>44082</v>
      </c>
      <c r="B78" s="52">
        <v>29474</v>
      </c>
    </row>
    <row r="79" spans="1:2" ht="15.75">
      <c r="A79" s="9">
        <v>44083</v>
      </c>
      <c r="B79" s="52">
        <v>37589</v>
      </c>
    </row>
    <row r="80" spans="1:2" ht="15.75">
      <c r="A80" s="9">
        <v>44084</v>
      </c>
      <c r="B80" s="52">
        <v>39277</v>
      </c>
    </row>
    <row r="81" spans="1:2" ht="15.75">
      <c r="A81" s="9">
        <v>44085</v>
      </c>
      <c r="B81" s="52">
        <v>38524</v>
      </c>
    </row>
    <row r="82" spans="1:2" ht="15.75">
      <c r="A82" s="9">
        <v>44086</v>
      </c>
      <c r="B82" s="52">
        <v>39083</v>
      </c>
    </row>
    <row r="83" spans="1:2" ht="15.75">
      <c r="A83" s="9">
        <v>44087</v>
      </c>
      <c r="B83" s="52">
        <v>38262</v>
      </c>
    </row>
    <row r="84" spans="1:2" ht="15.75">
      <c r="A84" s="9">
        <v>44088</v>
      </c>
      <c r="B84" s="52">
        <v>39197</v>
      </c>
    </row>
    <row r="85" spans="1:2" ht="15.75">
      <c r="A85" s="9">
        <v>44089</v>
      </c>
      <c r="B85" s="52">
        <v>40976</v>
      </c>
    </row>
    <row r="86" spans="1:2" ht="15.75">
      <c r="A86" s="9">
        <v>44090</v>
      </c>
      <c r="B86" s="52">
        <v>37841</v>
      </c>
    </row>
    <row r="87" spans="1:2" ht="15.75">
      <c r="A87" s="9">
        <v>44091</v>
      </c>
      <c r="B87" s="52">
        <v>43003</v>
      </c>
    </row>
    <row r="88" spans="1:2" ht="15.75">
      <c r="A88" s="9">
        <v>44092</v>
      </c>
      <c r="B88" s="52">
        <v>39197</v>
      </c>
    </row>
    <row r="89" spans="1:2" ht="15.75">
      <c r="A89" s="9">
        <v>44093</v>
      </c>
      <c r="B89" s="52">
        <v>38320</v>
      </c>
    </row>
    <row r="90" spans="1:2" ht="15.75">
      <c r="A90" s="9">
        <v>44094</v>
      </c>
      <c r="B90" s="52">
        <v>39467</v>
      </c>
    </row>
    <row r="91" spans="1:2" ht="15.75">
      <c r="A91" s="9">
        <v>44095</v>
      </c>
      <c r="B91" s="52">
        <v>38923</v>
      </c>
    </row>
    <row r="92" spans="1:2" ht="15.75">
      <c r="A92" s="9">
        <v>44096</v>
      </c>
      <c r="B92" s="52">
        <v>40810</v>
      </c>
    </row>
    <row r="93" spans="1:2" ht="15.75">
      <c r="A93" s="9">
        <v>44097</v>
      </c>
      <c r="B93" s="52">
        <v>40701</v>
      </c>
    </row>
    <row r="94" spans="1:2" ht="15.75">
      <c r="A94" s="9">
        <v>44098</v>
      </c>
      <c r="B94" s="52">
        <v>40096</v>
      </c>
    </row>
    <row r="95" spans="1:2" ht="15.75">
      <c r="A95" s="9">
        <v>44099</v>
      </c>
      <c r="B95" s="54">
        <v>38923</v>
      </c>
    </row>
    <row r="96" spans="1:2" ht="15.75">
      <c r="A96" s="9">
        <v>44100</v>
      </c>
      <c r="B96" s="52">
        <v>38990</v>
      </c>
    </row>
    <row r="97" spans="1:2" ht="15.75">
      <c r="A97" s="9">
        <v>44101</v>
      </c>
      <c r="B97" s="55">
        <v>43092</v>
      </c>
    </row>
    <row r="98" spans="1:2" ht="15.75">
      <c r="A98" s="9">
        <v>44102</v>
      </c>
      <c r="B98" s="55">
        <v>44688</v>
      </c>
    </row>
    <row r="99" spans="1:2" ht="15.75">
      <c r="A99" s="9">
        <v>44103</v>
      </c>
      <c r="B99" s="55">
        <v>44686</v>
      </c>
    </row>
    <row r="100" spans="1:2">
      <c r="A100" s="9">
        <v>44104</v>
      </c>
      <c r="B100" s="53">
        <v>39467</v>
      </c>
    </row>
  </sheetData>
  <mergeCells count="1">
    <mergeCell ref="A1:R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A390-6D18-4993-8CF0-70D5B21F3424}">
  <dimension ref="A1:R101"/>
  <sheetViews>
    <sheetView workbookViewId="0">
      <selection activeCell="F17" sqref="F17"/>
    </sheetView>
  </sheetViews>
  <sheetFormatPr defaultRowHeight="15"/>
  <cols>
    <col min="2" max="2" width="12.42578125" style="20" customWidth="1"/>
    <col min="3" max="3" width="13.42578125" customWidth="1"/>
    <col min="4" max="5" width="12.42578125" customWidth="1"/>
    <col min="6" max="7" width="10.85546875" customWidth="1"/>
    <col min="8" max="8" width="8.7109375" style="20"/>
    <col min="9" max="9" width="17.28515625" customWidth="1"/>
    <col min="10" max="10" width="10.7109375" customWidth="1"/>
    <col min="11" max="11" width="10.140625" customWidth="1"/>
    <col min="14" max="14" width="8.42578125" customWidth="1"/>
    <col min="15" max="15" width="5.28515625" style="20" customWidth="1"/>
    <col min="17" max="17" width="13.85546875" customWidth="1"/>
    <col min="18" max="18" width="14.28515625" customWidth="1"/>
  </cols>
  <sheetData>
    <row r="1" spans="1:18" ht="15.75" thickBot="1">
      <c r="A1" s="471"/>
      <c r="B1" s="471"/>
      <c r="C1" s="471"/>
      <c r="D1" s="471"/>
      <c r="E1" s="471"/>
      <c r="F1" s="471"/>
      <c r="G1" s="471"/>
      <c r="H1" s="471"/>
      <c r="I1" s="471"/>
      <c r="J1" s="471"/>
      <c r="K1" s="471"/>
      <c r="L1" s="471"/>
      <c r="M1" s="471"/>
      <c r="N1" s="471"/>
      <c r="O1" s="471"/>
      <c r="P1" s="471"/>
      <c r="Q1" s="471"/>
      <c r="R1" s="471"/>
    </row>
    <row r="2" spans="1:18" ht="60">
      <c r="A2" s="67" t="s">
        <v>24</v>
      </c>
      <c r="B2" s="68" t="s">
        <v>45</v>
      </c>
      <c r="C2" s="69" t="s">
        <v>46</v>
      </c>
      <c r="D2" s="70"/>
      <c r="E2" s="71" t="s">
        <v>47</v>
      </c>
      <c r="F2" s="72" t="s">
        <v>26</v>
      </c>
      <c r="G2" s="70"/>
      <c r="H2" s="73" t="s">
        <v>48</v>
      </c>
      <c r="I2" s="74" t="s">
        <v>49</v>
      </c>
    </row>
    <row r="3" spans="1:18">
      <c r="A3" s="9">
        <v>44105</v>
      </c>
      <c r="B3" s="242">
        <v>18331285</v>
      </c>
      <c r="C3" s="243">
        <v>38288</v>
      </c>
      <c r="D3" s="244">
        <v>38288</v>
      </c>
      <c r="E3" s="245">
        <v>35262</v>
      </c>
      <c r="F3" s="246">
        <v>69</v>
      </c>
      <c r="G3" s="75">
        <v>69</v>
      </c>
      <c r="H3" s="242">
        <v>2800</v>
      </c>
      <c r="I3" s="247">
        <v>47740</v>
      </c>
      <c r="J3" s="20"/>
    </row>
    <row r="4" spans="1:18">
      <c r="A4" s="9">
        <v>44106</v>
      </c>
      <c r="B4" s="248">
        <f>B3+C8</f>
        <v>18371238</v>
      </c>
      <c r="C4" s="243">
        <f>B5-B3</f>
        <v>86065</v>
      </c>
      <c r="D4" s="244">
        <v>86065</v>
      </c>
      <c r="E4" s="249">
        <f>E3+F7</f>
        <v>35401</v>
      </c>
      <c r="F4" s="246">
        <f>E4-E3</f>
        <v>139</v>
      </c>
      <c r="G4" s="75">
        <v>139</v>
      </c>
      <c r="H4" s="242">
        <v>2800</v>
      </c>
      <c r="I4" s="247">
        <v>47740</v>
      </c>
    </row>
    <row r="5" spans="1:18">
      <c r="A5" s="9">
        <v>44107</v>
      </c>
      <c r="B5" s="242">
        <v>18417350</v>
      </c>
      <c r="C5" s="243">
        <f t="shared" ref="C5:C6" si="0">B6-B4</f>
        <v>85332</v>
      </c>
      <c r="D5" s="244">
        <v>85332</v>
      </c>
      <c r="E5" s="245">
        <v>35430</v>
      </c>
      <c r="F5" s="246">
        <f t="shared" ref="F5:F33" si="1">E5-E4</f>
        <v>29</v>
      </c>
      <c r="G5" s="75">
        <v>29</v>
      </c>
      <c r="H5" s="242">
        <v>2800</v>
      </c>
      <c r="I5" s="247">
        <v>47740</v>
      </c>
    </row>
    <row r="6" spans="1:18">
      <c r="A6" s="9">
        <v>44108</v>
      </c>
      <c r="B6" s="248">
        <v>18456570</v>
      </c>
      <c r="C6" s="243">
        <f t="shared" si="0"/>
        <v>78454</v>
      </c>
      <c r="D6" s="244">
        <v>78454</v>
      </c>
      <c r="E6" s="245">
        <v>35568</v>
      </c>
      <c r="F6" s="246">
        <f t="shared" si="1"/>
        <v>138</v>
      </c>
      <c r="G6" s="75">
        <v>138</v>
      </c>
      <c r="H6" s="242">
        <v>2800</v>
      </c>
      <c r="I6" s="247">
        <v>47740</v>
      </c>
    </row>
    <row r="7" spans="1:18">
      <c r="A7" s="9">
        <v>44109</v>
      </c>
      <c r="B7" s="250">
        <v>18495804</v>
      </c>
      <c r="C7" s="243">
        <f t="shared" ref="C7:C33" si="2">B7-B6</f>
        <v>39234</v>
      </c>
      <c r="D7" s="244">
        <v>39254</v>
      </c>
      <c r="E7" s="245">
        <v>35707</v>
      </c>
      <c r="F7" s="246">
        <f t="shared" si="1"/>
        <v>139</v>
      </c>
      <c r="G7" s="75">
        <v>139</v>
      </c>
      <c r="H7" s="242">
        <v>2800</v>
      </c>
      <c r="I7" s="247">
        <v>47740</v>
      </c>
    </row>
    <row r="8" spans="1:18">
      <c r="A8" s="9">
        <v>44110</v>
      </c>
      <c r="B8" s="250">
        <v>18535757</v>
      </c>
      <c r="C8" s="243">
        <f t="shared" si="2"/>
        <v>39953</v>
      </c>
      <c r="D8" s="244">
        <v>39953</v>
      </c>
      <c r="E8" s="245">
        <v>35896</v>
      </c>
      <c r="F8" s="246">
        <f t="shared" si="1"/>
        <v>189</v>
      </c>
      <c r="G8" s="75">
        <v>189</v>
      </c>
      <c r="H8" s="242">
        <v>2800</v>
      </c>
      <c r="I8" s="247">
        <v>47740</v>
      </c>
    </row>
    <row r="9" spans="1:18">
      <c r="A9" s="9">
        <v>44111</v>
      </c>
      <c r="B9" s="250">
        <v>18575798</v>
      </c>
      <c r="C9" s="243">
        <f t="shared" si="2"/>
        <v>40041</v>
      </c>
      <c r="D9" s="244">
        <v>40041</v>
      </c>
      <c r="E9" s="245">
        <v>35985</v>
      </c>
      <c r="F9" s="246">
        <f t="shared" si="1"/>
        <v>89</v>
      </c>
      <c r="G9" s="75">
        <v>89</v>
      </c>
      <c r="H9" s="242">
        <v>2800</v>
      </c>
      <c r="I9" s="247">
        <v>47740</v>
      </c>
    </row>
    <row r="10" spans="1:18">
      <c r="A10" s="9">
        <v>44112</v>
      </c>
      <c r="B10" s="250">
        <v>18614837</v>
      </c>
      <c r="C10" s="243">
        <f t="shared" si="2"/>
        <v>39039</v>
      </c>
      <c r="D10" s="244">
        <v>39039</v>
      </c>
      <c r="E10" s="245">
        <v>36124</v>
      </c>
      <c r="F10" s="246">
        <f t="shared" si="1"/>
        <v>139</v>
      </c>
      <c r="G10" s="75">
        <v>139</v>
      </c>
      <c r="H10" s="242">
        <v>2800</v>
      </c>
      <c r="I10" s="247">
        <v>47740</v>
      </c>
    </row>
    <row r="11" spans="1:18">
      <c r="A11" s="9">
        <v>44113</v>
      </c>
      <c r="B11" s="248">
        <f>B10+C16</f>
        <v>18648096</v>
      </c>
      <c r="C11" s="243">
        <f t="shared" si="2"/>
        <v>33259</v>
      </c>
      <c r="D11" s="244">
        <v>33259</v>
      </c>
      <c r="E11" s="249">
        <f>E10+F16</f>
        <v>36146</v>
      </c>
      <c r="F11" s="246">
        <f t="shared" si="1"/>
        <v>22</v>
      </c>
      <c r="G11" s="75">
        <v>22</v>
      </c>
      <c r="H11" s="242">
        <v>2800</v>
      </c>
      <c r="I11" s="247">
        <v>47740</v>
      </c>
    </row>
    <row r="12" spans="1:18">
      <c r="A12" s="9">
        <v>44114</v>
      </c>
      <c r="B12" s="250">
        <v>18643963</v>
      </c>
      <c r="C12" s="243">
        <f t="shared" si="2"/>
        <v>-4133</v>
      </c>
      <c r="D12" s="244">
        <v>36281</v>
      </c>
      <c r="E12" s="245">
        <v>36156</v>
      </c>
      <c r="F12" s="246">
        <f t="shared" si="1"/>
        <v>10</v>
      </c>
      <c r="G12" s="75">
        <v>10</v>
      </c>
      <c r="H12" s="242">
        <v>2800</v>
      </c>
      <c r="I12" s="247">
        <v>47740</v>
      </c>
    </row>
    <row r="13" spans="1:18">
      <c r="A13" s="9">
        <v>44115</v>
      </c>
      <c r="B13" s="250">
        <v>18723682</v>
      </c>
      <c r="C13" s="243">
        <f t="shared" si="2"/>
        <v>79719</v>
      </c>
      <c r="D13" s="244">
        <v>43437</v>
      </c>
      <c r="E13" s="245">
        <v>36182</v>
      </c>
      <c r="F13" s="246">
        <f t="shared" si="1"/>
        <v>26</v>
      </c>
      <c r="G13" s="75">
        <v>26</v>
      </c>
      <c r="H13" s="242">
        <v>2800</v>
      </c>
      <c r="I13" s="247">
        <v>47740</v>
      </c>
    </row>
    <row r="14" spans="1:18">
      <c r="A14" s="9">
        <v>44116</v>
      </c>
      <c r="B14" s="250">
        <v>18757529</v>
      </c>
      <c r="C14" s="243">
        <f t="shared" si="2"/>
        <v>33847</v>
      </c>
      <c r="D14" s="244">
        <v>33847</v>
      </c>
      <c r="E14" s="245">
        <v>36202</v>
      </c>
      <c r="F14" s="246">
        <f t="shared" si="1"/>
        <v>20</v>
      </c>
      <c r="G14" s="75">
        <v>20</v>
      </c>
      <c r="H14" s="242">
        <v>2800</v>
      </c>
      <c r="I14" s="247">
        <v>47740</v>
      </c>
      <c r="K14" s="76"/>
    </row>
    <row r="15" spans="1:18">
      <c r="A15" s="9">
        <v>44117</v>
      </c>
      <c r="B15" s="250">
        <v>18794179</v>
      </c>
      <c r="C15" s="243">
        <f t="shared" si="2"/>
        <v>36650</v>
      </c>
      <c r="D15" s="244">
        <v>36650</v>
      </c>
      <c r="E15" s="245">
        <v>36222</v>
      </c>
      <c r="F15" s="246">
        <f t="shared" si="1"/>
        <v>20</v>
      </c>
      <c r="G15" s="75">
        <v>20</v>
      </c>
      <c r="H15" s="242">
        <v>2800</v>
      </c>
      <c r="I15" s="247">
        <v>47740</v>
      </c>
    </row>
    <row r="16" spans="1:18">
      <c r="A16" s="9">
        <v>44118</v>
      </c>
      <c r="B16" s="250">
        <v>18827438</v>
      </c>
      <c r="C16" s="243">
        <f t="shared" si="2"/>
        <v>33259</v>
      </c>
      <c r="D16" s="244">
        <v>33259</v>
      </c>
      <c r="E16" s="245">
        <v>36244</v>
      </c>
      <c r="F16" s="246">
        <f t="shared" si="1"/>
        <v>22</v>
      </c>
      <c r="G16" s="75">
        <v>22</v>
      </c>
      <c r="H16" s="242">
        <v>2800</v>
      </c>
      <c r="I16" s="247">
        <v>47740</v>
      </c>
    </row>
    <row r="17" spans="1:9">
      <c r="A17" s="9">
        <v>44119</v>
      </c>
      <c r="B17" s="250">
        <v>18865284</v>
      </c>
      <c r="C17" s="243">
        <f t="shared" si="2"/>
        <v>37846</v>
      </c>
      <c r="D17" s="244">
        <v>37846</v>
      </c>
      <c r="E17" s="245">
        <v>36267</v>
      </c>
      <c r="F17" s="246">
        <f t="shared" si="1"/>
        <v>23</v>
      </c>
      <c r="G17" s="75">
        <v>23</v>
      </c>
      <c r="H17" s="242">
        <v>2720</v>
      </c>
      <c r="I17" s="247">
        <v>47698</v>
      </c>
    </row>
    <row r="18" spans="1:9">
      <c r="A18" s="9">
        <v>44120</v>
      </c>
      <c r="B18" s="248">
        <f>B17+D13</f>
        <v>18908721</v>
      </c>
      <c r="C18" s="243">
        <f t="shared" si="2"/>
        <v>43437</v>
      </c>
      <c r="D18" s="244">
        <v>43437</v>
      </c>
      <c r="E18" s="249">
        <f>E17+F24</f>
        <v>36286</v>
      </c>
      <c r="F18" s="246">
        <f t="shared" si="1"/>
        <v>19</v>
      </c>
      <c r="G18" s="75">
        <v>19</v>
      </c>
      <c r="H18" s="242">
        <v>2720</v>
      </c>
      <c r="I18" s="247">
        <v>47698</v>
      </c>
    </row>
    <row r="19" spans="1:9">
      <c r="A19" s="9">
        <v>44121</v>
      </c>
      <c r="B19" s="250">
        <v>18937139</v>
      </c>
      <c r="C19" s="243">
        <f t="shared" si="2"/>
        <v>28418</v>
      </c>
      <c r="D19" s="244">
        <v>28418</v>
      </c>
      <c r="E19" s="245">
        <v>36292</v>
      </c>
      <c r="F19" s="246">
        <f t="shared" si="1"/>
        <v>6</v>
      </c>
      <c r="G19" s="75">
        <v>6</v>
      </c>
      <c r="H19" s="242">
        <v>2720</v>
      </c>
      <c r="I19" s="247">
        <v>47698</v>
      </c>
    </row>
    <row r="20" spans="1:9">
      <c r="A20" s="9">
        <v>44122</v>
      </c>
      <c r="B20" s="250">
        <v>18972968</v>
      </c>
      <c r="C20" s="243">
        <f t="shared" si="2"/>
        <v>35829</v>
      </c>
      <c r="D20" s="244">
        <v>35829</v>
      </c>
      <c r="E20" s="249">
        <f>E19+F24</f>
        <v>36311</v>
      </c>
      <c r="F20" s="246">
        <f t="shared" si="1"/>
        <v>19</v>
      </c>
      <c r="G20" s="75">
        <v>19</v>
      </c>
      <c r="H20" s="242">
        <v>2720</v>
      </c>
      <c r="I20" s="247">
        <v>47698</v>
      </c>
    </row>
    <row r="21" spans="1:9">
      <c r="A21" s="9">
        <v>44123</v>
      </c>
      <c r="B21" s="250">
        <v>19008894</v>
      </c>
      <c r="C21" s="243">
        <f t="shared" si="2"/>
        <v>35926</v>
      </c>
      <c r="D21" s="244">
        <v>35926</v>
      </c>
      <c r="E21" s="249">
        <v>36332</v>
      </c>
      <c r="F21" s="246">
        <f t="shared" si="1"/>
        <v>21</v>
      </c>
      <c r="G21" s="75">
        <v>21</v>
      </c>
      <c r="H21" s="242">
        <v>2720</v>
      </c>
      <c r="I21" s="247">
        <v>47698</v>
      </c>
    </row>
    <row r="22" spans="1:9">
      <c r="A22" s="9">
        <v>44124</v>
      </c>
      <c r="B22" s="250">
        <v>19045117</v>
      </c>
      <c r="C22" s="243">
        <f t="shared" si="2"/>
        <v>36223</v>
      </c>
      <c r="D22" s="244">
        <v>36223</v>
      </c>
      <c r="E22" s="242">
        <v>36352</v>
      </c>
      <c r="F22" s="246">
        <f t="shared" si="1"/>
        <v>20</v>
      </c>
      <c r="G22" s="75">
        <v>20</v>
      </c>
      <c r="H22" s="242">
        <v>2720</v>
      </c>
      <c r="I22" s="247">
        <v>47696</v>
      </c>
    </row>
    <row r="23" spans="1:9">
      <c r="A23" s="9">
        <v>44125</v>
      </c>
      <c r="B23" s="250">
        <v>19080903</v>
      </c>
      <c r="C23" s="243">
        <f t="shared" si="2"/>
        <v>35786</v>
      </c>
      <c r="D23" s="244">
        <v>35786</v>
      </c>
      <c r="E23" s="250">
        <v>36372</v>
      </c>
      <c r="F23" s="246">
        <f t="shared" si="1"/>
        <v>20</v>
      </c>
      <c r="G23" s="75">
        <v>20</v>
      </c>
      <c r="H23" s="242">
        <v>2720</v>
      </c>
      <c r="I23" s="247">
        <v>47696</v>
      </c>
    </row>
    <row r="24" spans="1:9">
      <c r="A24" s="9">
        <v>44126</v>
      </c>
      <c r="B24" s="250">
        <v>19116960</v>
      </c>
      <c r="C24" s="243">
        <f t="shared" si="2"/>
        <v>36057</v>
      </c>
      <c r="D24" s="244">
        <v>36057</v>
      </c>
      <c r="E24" s="250">
        <v>36391</v>
      </c>
      <c r="F24" s="246">
        <f t="shared" si="1"/>
        <v>19</v>
      </c>
      <c r="G24" s="75">
        <v>19</v>
      </c>
      <c r="H24" s="242">
        <v>2720</v>
      </c>
      <c r="I24" s="247">
        <v>47696</v>
      </c>
    </row>
    <row r="25" spans="1:9">
      <c r="A25" s="9">
        <v>44127</v>
      </c>
      <c r="B25" s="248">
        <f>B24+C20</f>
        <v>19152789</v>
      </c>
      <c r="C25" s="243">
        <f t="shared" si="2"/>
        <v>35829</v>
      </c>
      <c r="D25" s="244">
        <v>35829</v>
      </c>
      <c r="E25" s="249">
        <f>E24+15</f>
        <v>36406</v>
      </c>
      <c r="F25" s="246">
        <f t="shared" si="1"/>
        <v>15</v>
      </c>
      <c r="G25" s="75">
        <v>15</v>
      </c>
      <c r="H25" s="242">
        <v>2720</v>
      </c>
      <c r="I25" s="247">
        <v>47696</v>
      </c>
    </row>
    <row r="26" spans="1:9">
      <c r="A26" s="9">
        <v>44128</v>
      </c>
      <c r="B26" s="250">
        <v>19185039</v>
      </c>
      <c r="C26" s="243">
        <f t="shared" si="2"/>
        <v>32250</v>
      </c>
      <c r="D26" s="244">
        <v>32250</v>
      </c>
      <c r="E26" s="251">
        <v>36417</v>
      </c>
      <c r="F26" s="246">
        <f t="shared" si="1"/>
        <v>11</v>
      </c>
      <c r="G26" s="75">
        <v>11</v>
      </c>
      <c r="H26" s="242">
        <v>2720</v>
      </c>
      <c r="I26" s="247">
        <v>47689</v>
      </c>
    </row>
    <row r="27" spans="1:9">
      <c r="A27" s="9">
        <v>44129</v>
      </c>
      <c r="B27" s="250">
        <v>19219657</v>
      </c>
      <c r="C27" s="243">
        <f t="shared" si="2"/>
        <v>34618</v>
      </c>
      <c r="D27" s="244">
        <v>34618</v>
      </c>
      <c r="E27" s="250">
        <v>36437</v>
      </c>
      <c r="F27" s="246">
        <f t="shared" si="1"/>
        <v>20</v>
      </c>
      <c r="G27" s="75">
        <v>20</v>
      </c>
      <c r="H27" s="242">
        <v>2720</v>
      </c>
      <c r="I27" s="247">
        <v>47689</v>
      </c>
    </row>
    <row r="28" spans="1:9">
      <c r="A28" s="9">
        <v>44130</v>
      </c>
      <c r="B28" s="250">
        <v>19257677</v>
      </c>
      <c r="C28" s="243">
        <f t="shared" si="2"/>
        <v>38020</v>
      </c>
      <c r="D28" s="244">
        <v>38020</v>
      </c>
      <c r="E28" s="250">
        <v>36457</v>
      </c>
      <c r="F28" s="246">
        <f t="shared" si="1"/>
        <v>20</v>
      </c>
      <c r="G28" s="75">
        <v>20</v>
      </c>
      <c r="H28" s="242">
        <v>2720</v>
      </c>
      <c r="I28" s="247">
        <v>47689</v>
      </c>
    </row>
    <row r="29" spans="1:9">
      <c r="A29" s="9">
        <v>44131</v>
      </c>
      <c r="B29" s="252">
        <v>19295446</v>
      </c>
      <c r="C29" s="243">
        <f t="shared" si="2"/>
        <v>37769</v>
      </c>
      <c r="D29" s="253">
        <v>37769</v>
      </c>
      <c r="E29" s="249">
        <v>36477</v>
      </c>
      <c r="F29" s="246">
        <f t="shared" si="1"/>
        <v>20</v>
      </c>
      <c r="G29" s="75">
        <v>20</v>
      </c>
      <c r="H29" s="242">
        <v>2720</v>
      </c>
      <c r="I29" s="247">
        <v>47689</v>
      </c>
    </row>
    <row r="30" spans="1:9">
      <c r="A30" s="9">
        <v>44132</v>
      </c>
      <c r="B30" s="250">
        <v>19333294</v>
      </c>
      <c r="C30" s="243">
        <f t="shared" si="2"/>
        <v>37848</v>
      </c>
      <c r="D30" s="253">
        <v>37848</v>
      </c>
      <c r="E30" s="249">
        <v>36508</v>
      </c>
      <c r="F30" s="246">
        <f t="shared" si="1"/>
        <v>31</v>
      </c>
      <c r="G30" s="75">
        <v>31</v>
      </c>
      <c r="H30" s="242">
        <v>2720</v>
      </c>
      <c r="I30" s="247">
        <v>47672</v>
      </c>
    </row>
    <row r="31" spans="1:9">
      <c r="A31" s="9">
        <v>44133</v>
      </c>
      <c r="B31" s="250">
        <v>19369654</v>
      </c>
      <c r="C31" s="243">
        <f t="shared" si="2"/>
        <v>36360</v>
      </c>
      <c r="D31" s="253">
        <v>36360</v>
      </c>
      <c r="E31" s="245">
        <v>36539</v>
      </c>
      <c r="F31" s="246">
        <f t="shared" si="1"/>
        <v>31</v>
      </c>
      <c r="G31" s="75">
        <v>31</v>
      </c>
      <c r="H31" s="242">
        <v>2720</v>
      </c>
      <c r="I31" s="247">
        <v>47672</v>
      </c>
    </row>
    <row r="32" spans="1:9">
      <c r="A32" s="9">
        <v>44134</v>
      </c>
      <c r="B32" s="254">
        <f>B31+C26</f>
        <v>19401904</v>
      </c>
      <c r="C32" s="243">
        <f t="shared" si="2"/>
        <v>32250</v>
      </c>
      <c r="D32" s="77">
        <v>32250</v>
      </c>
      <c r="E32" s="251">
        <f>E31+F24</f>
        <v>36558</v>
      </c>
      <c r="F32" s="246">
        <f t="shared" si="1"/>
        <v>19</v>
      </c>
      <c r="G32" s="75">
        <v>19</v>
      </c>
      <c r="H32" s="242">
        <v>2720</v>
      </c>
      <c r="I32" s="247">
        <v>47672</v>
      </c>
    </row>
    <row r="33" spans="1:9" ht="15.75" thickBot="1">
      <c r="A33" s="14">
        <v>44135</v>
      </c>
      <c r="B33" s="255">
        <f>B32+D19</f>
        <v>19430322</v>
      </c>
      <c r="C33" s="256">
        <f t="shared" si="2"/>
        <v>28418</v>
      </c>
      <c r="D33" s="78">
        <v>28418</v>
      </c>
      <c r="E33" s="257">
        <f>E32+F23</f>
        <v>36578</v>
      </c>
      <c r="F33" s="258">
        <f t="shared" si="1"/>
        <v>20</v>
      </c>
      <c r="G33" s="259">
        <v>20</v>
      </c>
      <c r="H33" s="260">
        <v>2720</v>
      </c>
      <c r="I33" s="261">
        <v>47672</v>
      </c>
    </row>
    <row r="34" spans="1:9">
      <c r="E34" s="48"/>
    </row>
    <row r="35" spans="1:9">
      <c r="B35"/>
    </row>
    <row r="37" spans="1:9" ht="45">
      <c r="A37" s="34" t="s">
        <v>24</v>
      </c>
      <c r="B37" s="65" t="s">
        <v>26</v>
      </c>
    </row>
    <row r="38" spans="1:9">
      <c r="A38" s="9">
        <v>44105</v>
      </c>
      <c r="B38" s="10">
        <v>69</v>
      </c>
    </row>
    <row r="39" spans="1:9">
      <c r="A39" s="9">
        <v>44106</v>
      </c>
      <c r="B39" s="10">
        <v>139</v>
      </c>
    </row>
    <row r="40" spans="1:9">
      <c r="A40" s="9">
        <v>44107</v>
      </c>
      <c r="B40" s="10">
        <v>29</v>
      </c>
    </row>
    <row r="41" spans="1:9">
      <c r="A41" s="9">
        <v>44108</v>
      </c>
      <c r="B41" s="10">
        <v>138</v>
      </c>
    </row>
    <row r="42" spans="1:9">
      <c r="A42" s="9">
        <v>44109</v>
      </c>
      <c r="B42" s="10">
        <v>139</v>
      </c>
    </row>
    <row r="43" spans="1:9">
      <c r="A43" s="9">
        <v>44110</v>
      </c>
      <c r="B43" s="10">
        <v>189</v>
      </c>
    </row>
    <row r="44" spans="1:9">
      <c r="A44" s="9">
        <v>44111</v>
      </c>
      <c r="B44" s="10">
        <v>89</v>
      </c>
    </row>
    <row r="45" spans="1:9">
      <c r="A45" s="9">
        <v>44112</v>
      </c>
      <c r="B45" s="10">
        <v>139</v>
      </c>
    </row>
    <row r="46" spans="1:9">
      <c r="A46" s="9">
        <v>44113</v>
      </c>
      <c r="B46" s="10">
        <v>22</v>
      </c>
    </row>
    <row r="47" spans="1:9">
      <c r="A47" s="9">
        <v>44114</v>
      </c>
      <c r="B47" s="10">
        <v>10</v>
      </c>
    </row>
    <row r="48" spans="1:9">
      <c r="A48" s="9">
        <v>44115</v>
      </c>
      <c r="B48" s="10">
        <v>26</v>
      </c>
    </row>
    <row r="49" spans="1:2">
      <c r="A49" s="9">
        <v>44116</v>
      </c>
      <c r="B49" s="10">
        <v>20</v>
      </c>
    </row>
    <row r="50" spans="1:2">
      <c r="A50" s="9">
        <v>44117</v>
      </c>
      <c r="B50" s="10">
        <v>20</v>
      </c>
    </row>
    <row r="51" spans="1:2">
      <c r="A51" s="9">
        <v>44118</v>
      </c>
      <c r="B51" s="10">
        <v>22</v>
      </c>
    </row>
    <row r="52" spans="1:2">
      <c r="A52" s="9">
        <v>44119</v>
      </c>
      <c r="B52" s="10">
        <v>23</v>
      </c>
    </row>
    <row r="53" spans="1:2">
      <c r="A53" s="9">
        <v>44120</v>
      </c>
      <c r="B53" s="10">
        <v>19</v>
      </c>
    </row>
    <row r="54" spans="1:2">
      <c r="A54" s="9">
        <v>44121</v>
      </c>
      <c r="B54" s="10">
        <v>6</v>
      </c>
    </row>
    <row r="55" spans="1:2">
      <c r="A55" s="9">
        <v>44122</v>
      </c>
      <c r="B55" s="10">
        <v>19</v>
      </c>
    </row>
    <row r="56" spans="1:2">
      <c r="A56" s="9">
        <v>44123</v>
      </c>
      <c r="B56" s="10">
        <v>21</v>
      </c>
    </row>
    <row r="57" spans="1:2">
      <c r="A57" s="9">
        <v>44124</v>
      </c>
      <c r="B57" s="10">
        <v>20</v>
      </c>
    </row>
    <row r="58" spans="1:2">
      <c r="A58" s="9">
        <v>44125</v>
      </c>
      <c r="B58" s="10">
        <v>20</v>
      </c>
    </row>
    <row r="59" spans="1:2">
      <c r="A59" s="9">
        <v>44126</v>
      </c>
      <c r="B59" s="10">
        <v>19</v>
      </c>
    </row>
    <row r="60" spans="1:2">
      <c r="A60" s="9">
        <v>44127</v>
      </c>
      <c r="B60" s="10">
        <v>15</v>
      </c>
    </row>
    <row r="61" spans="1:2">
      <c r="A61" s="9">
        <v>44128</v>
      </c>
      <c r="B61" s="10">
        <v>11</v>
      </c>
    </row>
    <row r="62" spans="1:2">
      <c r="A62" s="9">
        <v>44129</v>
      </c>
      <c r="B62" s="10">
        <v>20</v>
      </c>
    </row>
    <row r="63" spans="1:2">
      <c r="A63" s="9">
        <v>44130</v>
      </c>
      <c r="B63" s="10">
        <v>20</v>
      </c>
    </row>
    <row r="64" spans="1:2">
      <c r="A64" s="9">
        <v>44131</v>
      </c>
      <c r="B64" s="10">
        <v>20</v>
      </c>
    </row>
    <row r="65" spans="1:2">
      <c r="A65" s="9">
        <v>44132</v>
      </c>
      <c r="B65" s="10">
        <v>31</v>
      </c>
    </row>
    <row r="66" spans="1:2">
      <c r="A66" s="9">
        <v>44133</v>
      </c>
      <c r="B66" s="10">
        <v>31</v>
      </c>
    </row>
    <row r="67" spans="1:2">
      <c r="A67" s="9">
        <v>44134</v>
      </c>
      <c r="B67" s="10">
        <v>19</v>
      </c>
    </row>
    <row r="68" spans="1:2" ht="15.75">
      <c r="A68" s="9">
        <v>44135</v>
      </c>
      <c r="B68" s="79">
        <v>20</v>
      </c>
    </row>
    <row r="70" spans="1:2" ht="60">
      <c r="A70" s="34" t="s">
        <v>24</v>
      </c>
      <c r="B70" s="65" t="s">
        <v>25</v>
      </c>
    </row>
    <row r="71" spans="1:2" ht="15.75">
      <c r="A71" s="9">
        <v>44105</v>
      </c>
      <c r="B71" s="80">
        <v>38288</v>
      </c>
    </row>
    <row r="72" spans="1:2" ht="15.75">
      <c r="A72" s="9">
        <v>44106</v>
      </c>
      <c r="B72" s="80">
        <v>86065</v>
      </c>
    </row>
    <row r="73" spans="1:2" ht="15.75">
      <c r="A73" s="9">
        <v>44107</v>
      </c>
      <c r="B73" s="80">
        <v>85332</v>
      </c>
    </row>
    <row r="74" spans="1:2" ht="15.75">
      <c r="A74" s="9">
        <v>44108</v>
      </c>
      <c r="B74" s="80">
        <v>78454</v>
      </c>
    </row>
    <row r="75" spans="1:2" ht="15.75">
      <c r="A75" s="9">
        <v>44109</v>
      </c>
      <c r="B75" s="80">
        <v>39254</v>
      </c>
    </row>
    <row r="76" spans="1:2" ht="15.75">
      <c r="A76" s="9">
        <v>44110</v>
      </c>
      <c r="B76" s="80">
        <v>39953</v>
      </c>
    </row>
    <row r="77" spans="1:2" ht="15.75">
      <c r="A77" s="9">
        <v>44111</v>
      </c>
      <c r="B77" s="80">
        <v>40041</v>
      </c>
    </row>
    <row r="78" spans="1:2" ht="15.75">
      <c r="A78" s="9">
        <v>44112</v>
      </c>
      <c r="B78" s="80">
        <v>39039</v>
      </c>
    </row>
    <row r="79" spans="1:2" ht="15.75">
      <c r="A79" s="9">
        <v>44113</v>
      </c>
      <c r="B79" s="80">
        <v>33259</v>
      </c>
    </row>
    <row r="80" spans="1:2" ht="15.75">
      <c r="A80" s="9">
        <v>44114</v>
      </c>
      <c r="B80" s="80">
        <v>36281</v>
      </c>
    </row>
    <row r="81" spans="1:2" ht="15.75">
      <c r="A81" s="9">
        <v>44115</v>
      </c>
      <c r="B81" s="80">
        <v>43437</v>
      </c>
    </row>
    <row r="82" spans="1:2" ht="15.75">
      <c r="A82" s="9">
        <v>44116</v>
      </c>
      <c r="B82" s="80">
        <v>33847</v>
      </c>
    </row>
    <row r="83" spans="1:2" ht="15.75">
      <c r="A83" s="9">
        <v>44117</v>
      </c>
      <c r="B83" s="80">
        <v>36650</v>
      </c>
    </row>
    <row r="84" spans="1:2" ht="15.75">
      <c r="A84" s="9">
        <v>44118</v>
      </c>
      <c r="B84" s="80">
        <v>33259</v>
      </c>
    </row>
    <row r="85" spans="1:2" ht="15.75">
      <c r="A85" s="9">
        <v>44119</v>
      </c>
      <c r="B85" s="80">
        <v>37846</v>
      </c>
    </row>
    <row r="86" spans="1:2" ht="15.75">
      <c r="A86" s="9">
        <v>44120</v>
      </c>
      <c r="B86" s="80">
        <v>43437</v>
      </c>
    </row>
    <row r="87" spans="1:2" ht="15.75">
      <c r="A87" s="9">
        <v>44121</v>
      </c>
      <c r="B87" s="80">
        <v>28418</v>
      </c>
    </row>
    <row r="88" spans="1:2" ht="15.75">
      <c r="A88" s="9">
        <v>44122</v>
      </c>
      <c r="B88" s="80">
        <v>35829</v>
      </c>
    </row>
    <row r="89" spans="1:2" ht="15.75">
      <c r="A89" s="9">
        <v>44123</v>
      </c>
      <c r="B89" s="80">
        <v>35926</v>
      </c>
    </row>
    <row r="90" spans="1:2" ht="15.75">
      <c r="A90" s="9">
        <v>44124</v>
      </c>
      <c r="B90" s="80">
        <v>36223</v>
      </c>
    </row>
    <row r="91" spans="1:2" ht="15.75">
      <c r="A91" s="9">
        <v>44125</v>
      </c>
      <c r="B91" s="80">
        <v>35786</v>
      </c>
    </row>
    <row r="92" spans="1:2" ht="15.75">
      <c r="A92" s="9">
        <v>44126</v>
      </c>
      <c r="B92" s="80">
        <v>36057</v>
      </c>
    </row>
    <row r="93" spans="1:2" ht="15.75">
      <c r="A93" s="9">
        <v>44127</v>
      </c>
      <c r="B93" s="80">
        <v>35829</v>
      </c>
    </row>
    <row r="94" spans="1:2" ht="15.75">
      <c r="A94" s="9">
        <v>44128</v>
      </c>
      <c r="B94" s="80">
        <v>32250</v>
      </c>
    </row>
    <row r="95" spans="1:2" ht="15.75">
      <c r="A95" s="9">
        <v>44129</v>
      </c>
      <c r="B95" s="81">
        <v>34618</v>
      </c>
    </row>
    <row r="96" spans="1:2" ht="15.75">
      <c r="A96" s="9">
        <v>44130</v>
      </c>
      <c r="B96" s="80">
        <v>38020</v>
      </c>
    </row>
    <row r="97" spans="1:2" ht="15.75">
      <c r="A97" s="9">
        <v>44131</v>
      </c>
      <c r="B97" s="64">
        <v>37769</v>
      </c>
    </row>
    <row r="98" spans="1:2" ht="15.75">
      <c r="A98" s="9">
        <v>44132</v>
      </c>
      <c r="B98" s="64">
        <v>37848</v>
      </c>
    </row>
    <row r="99" spans="1:2" ht="15.75">
      <c r="A99" s="9">
        <v>44133</v>
      </c>
      <c r="B99" s="64">
        <v>36360</v>
      </c>
    </row>
    <row r="100" spans="1:2">
      <c r="A100" s="9">
        <v>44134</v>
      </c>
      <c r="B100" s="41">
        <v>32250</v>
      </c>
    </row>
    <row r="101" spans="1:2">
      <c r="A101" s="9">
        <v>44135</v>
      </c>
      <c r="B101" s="41">
        <v>28418</v>
      </c>
    </row>
  </sheetData>
  <mergeCells count="1">
    <mergeCell ref="A1:R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139F-CA13-424C-B137-552C10513E91}">
  <dimension ref="A1:AL27"/>
  <sheetViews>
    <sheetView workbookViewId="0">
      <selection activeCell="G16" sqref="G16"/>
    </sheetView>
  </sheetViews>
  <sheetFormatPr defaultRowHeight="15"/>
  <cols>
    <col min="1" max="1" width="26" style="20" customWidth="1"/>
    <col min="2" max="2" width="10.85546875" style="20" customWidth="1"/>
    <col min="3" max="6" width="8.7109375" style="20"/>
    <col min="7" max="7" width="8.140625" style="20" customWidth="1"/>
    <col min="8" max="28" width="8.7109375" style="20"/>
    <col min="29" max="30" width="9.42578125" style="143" customWidth="1"/>
    <col min="31" max="31" width="8.7109375" style="144"/>
    <col min="33" max="33" width="11" customWidth="1"/>
    <col min="35" max="35" width="11.42578125" customWidth="1"/>
  </cols>
  <sheetData>
    <row r="1" spans="1:38" ht="19.5" thickBot="1">
      <c r="A1" s="483" t="s">
        <v>50</v>
      </c>
      <c r="B1" s="484"/>
      <c r="C1" s="484"/>
      <c r="D1" s="484"/>
      <c r="E1" s="484"/>
      <c r="F1" s="484"/>
      <c r="G1" s="484"/>
      <c r="H1" s="484"/>
      <c r="I1" s="484"/>
      <c r="J1" s="484"/>
      <c r="K1" s="484"/>
      <c r="L1" s="484"/>
      <c r="M1" s="484"/>
      <c r="N1" s="484"/>
      <c r="O1" s="484"/>
      <c r="P1" s="484"/>
      <c r="Q1" s="484"/>
      <c r="R1" s="484"/>
      <c r="S1" s="484"/>
      <c r="T1" s="484"/>
      <c r="U1" s="484"/>
      <c r="V1" s="484"/>
      <c r="W1" s="484"/>
      <c r="X1" s="484"/>
      <c r="Y1" s="484"/>
      <c r="Z1" s="484"/>
      <c r="AA1" s="484"/>
      <c r="AB1" s="484"/>
      <c r="AC1" s="484"/>
      <c r="AD1" s="484"/>
      <c r="AE1" s="485"/>
    </row>
    <row r="2" spans="1:38" ht="15.75">
      <c r="A2" s="82"/>
      <c r="B2" s="83">
        <v>44136</v>
      </c>
      <c r="C2" s="83">
        <v>44137</v>
      </c>
      <c r="D2" s="83">
        <v>44138</v>
      </c>
      <c r="E2" s="83">
        <v>44139</v>
      </c>
      <c r="F2" s="83">
        <v>44140</v>
      </c>
      <c r="G2" s="83">
        <v>44141</v>
      </c>
      <c r="H2" s="83">
        <v>44142</v>
      </c>
      <c r="I2" s="83">
        <v>44143</v>
      </c>
      <c r="J2" s="83">
        <v>44144</v>
      </c>
      <c r="K2" s="83">
        <v>44145</v>
      </c>
      <c r="L2" s="83">
        <v>44146</v>
      </c>
      <c r="M2" s="84">
        <v>44147</v>
      </c>
      <c r="N2" s="83">
        <v>44148</v>
      </c>
      <c r="O2" s="83">
        <v>44149</v>
      </c>
      <c r="P2" s="83">
        <v>44150</v>
      </c>
      <c r="Q2" s="83">
        <v>44151</v>
      </c>
      <c r="R2" s="83">
        <v>44152</v>
      </c>
      <c r="S2" s="83">
        <v>44153</v>
      </c>
      <c r="T2" s="83">
        <v>44154</v>
      </c>
      <c r="U2" s="83">
        <v>44155</v>
      </c>
      <c r="V2" s="83">
        <v>44156</v>
      </c>
      <c r="W2" s="83">
        <v>44157</v>
      </c>
      <c r="X2" s="83">
        <v>44158</v>
      </c>
      <c r="Y2" s="83">
        <v>44159</v>
      </c>
      <c r="Z2" s="83">
        <v>44160</v>
      </c>
      <c r="AA2" s="83">
        <v>44161</v>
      </c>
      <c r="AB2" s="83">
        <v>44162</v>
      </c>
      <c r="AC2" s="85">
        <v>44163</v>
      </c>
      <c r="AD2" s="85">
        <v>44164</v>
      </c>
      <c r="AE2" s="86">
        <v>44165</v>
      </c>
    </row>
    <row r="3" spans="1:38" ht="33">
      <c r="A3" s="87" t="s">
        <v>51</v>
      </c>
      <c r="B3" s="88" t="s">
        <v>52</v>
      </c>
      <c r="C3" s="88" t="s">
        <v>52</v>
      </c>
      <c r="D3" s="88" t="s">
        <v>52</v>
      </c>
      <c r="E3" s="88" t="s">
        <v>52</v>
      </c>
      <c r="F3" s="88" t="s">
        <v>52</v>
      </c>
      <c r="G3" s="89" t="s">
        <v>53</v>
      </c>
      <c r="H3" s="88" t="s">
        <v>52</v>
      </c>
      <c r="I3" s="88" t="s">
        <v>52</v>
      </c>
      <c r="J3" s="88" t="s">
        <v>52</v>
      </c>
      <c r="K3" s="88" t="s">
        <v>52</v>
      </c>
      <c r="L3" s="88" t="s">
        <v>52</v>
      </c>
      <c r="M3" s="90" t="s">
        <v>52</v>
      </c>
      <c r="N3" s="89" t="s">
        <v>53</v>
      </c>
      <c r="O3" s="88" t="s">
        <v>52</v>
      </c>
      <c r="P3" s="91" t="s">
        <v>53</v>
      </c>
      <c r="Q3" s="88" t="s">
        <v>52</v>
      </c>
      <c r="R3" s="88" t="s">
        <v>52</v>
      </c>
      <c r="S3" s="88" t="s">
        <v>52</v>
      </c>
      <c r="T3" s="88" t="s">
        <v>52</v>
      </c>
      <c r="U3" s="89" t="s">
        <v>53</v>
      </c>
      <c r="V3" s="88" t="s">
        <v>52</v>
      </c>
      <c r="W3" s="88" t="s">
        <v>52</v>
      </c>
      <c r="X3" s="88" t="s">
        <v>52</v>
      </c>
      <c r="Y3" s="88" t="s">
        <v>52</v>
      </c>
      <c r="Z3" s="88" t="s">
        <v>52</v>
      </c>
      <c r="AA3" s="88" t="s">
        <v>52</v>
      </c>
      <c r="AB3" s="89" t="s">
        <v>53</v>
      </c>
      <c r="AC3" s="92" t="s">
        <v>52</v>
      </c>
      <c r="AD3" s="92" t="s">
        <v>52</v>
      </c>
      <c r="AE3" s="93" t="s">
        <v>52</v>
      </c>
    </row>
    <row r="4" spans="1:38">
      <c r="A4" s="94" t="s">
        <v>54</v>
      </c>
      <c r="B4" s="95">
        <v>114737</v>
      </c>
      <c r="C4" s="95">
        <v>114943</v>
      </c>
      <c r="D4" s="95">
        <v>115155</v>
      </c>
      <c r="E4" s="95">
        <v>115362</v>
      </c>
      <c r="F4" s="95">
        <v>115575</v>
      </c>
      <c r="G4" s="96">
        <v>115791</v>
      </c>
      <c r="H4" s="95">
        <v>116006</v>
      </c>
      <c r="I4" s="95">
        <v>116204</v>
      </c>
      <c r="J4" s="95">
        <v>116414</v>
      </c>
      <c r="K4" s="95">
        <v>116623</v>
      </c>
      <c r="L4" s="95">
        <v>116835</v>
      </c>
      <c r="M4" s="97">
        <v>117041</v>
      </c>
      <c r="N4" s="98">
        <v>117247</v>
      </c>
      <c r="O4" s="95">
        <v>117453</v>
      </c>
      <c r="P4" s="98">
        <v>117658</v>
      </c>
      <c r="Q4" s="95">
        <v>117862</v>
      </c>
      <c r="R4" s="95">
        <v>118067</v>
      </c>
      <c r="S4" s="95">
        <v>118274</v>
      </c>
      <c r="T4" s="95">
        <v>118478</v>
      </c>
      <c r="U4" s="98">
        <v>118691</v>
      </c>
      <c r="V4" s="95">
        <v>118903</v>
      </c>
      <c r="W4" s="95">
        <v>119083</v>
      </c>
      <c r="X4" s="95">
        <v>119288</v>
      </c>
      <c r="Y4" s="95">
        <v>119491</v>
      </c>
      <c r="Z4" s="95">
        <v>119690</v>
      </c>
      <c r="AA4" s="95">
        <v>119892</v>
      </c>
      <c r="AB4" s="98">
        <v>120087</v>
      </c>
      <c r="AC4" s="99">
        <v>120282</v>
      </c>
      <c r="AD4" s="99">
        <v>120484</v>
      </c>
      <c r="AE4" s="100">
        <v>120677</v>
      </c>
      <c r="AG4" s="101"/>
      <c r="AI4" s="101"/>
      <c r="AL4" s="102"/>
    </row>
    <row r="5" spans="1:38">
      <c r="A5" s="94" t="s">
        <v>55</v>
      </c>
      <c r="B5" s="95">
        <v>1847421</v>
      </c>
      <c r="C5" s="95">
        <v>1854164</v>
      </c>
      <c r="D5" s="95">
        <v>1861257</v>
      </c>
      <c r="E5" s="95">
        <v>1868337</v>
      </c>
      <c r="F5" s="95">
        <v>1875238</v>
      </c>
      <c r="G5" s="96">
        <v>1881832</v>
      </c>
      <c r="H5" s="95">
        <v>1888426</v>
      </c>
      <c r="I5" s="95">
        <v>1894433</v>
      </c>
      <c r="J5" s="95">
        <v>1901402</v>
      </c>
      <c r="K5" s="95">
        <v>1908262</v>
      </c>
      <c r="L5" s="95">
        <v>1915252</v>
      </c>
      <c r="M5" s="97">
        <v>1921998</v>
      </c>
      <c r="N5" s="98">
        <v>1928340</v>
      </c>
      <c r="O5" s="95">
        <v>1934682</v>
      </c>
      <c r="P5" s="98">
        <v>1941201</v>
      </c>
      <c r="Q5" s="95">
        <v>1947719</v>
      </c>
      <c r="R5" s="95">
        <v>1954593</v>
      </c>
      <c r="S5" s="95">
        <v>1961574</v>
      </c>
      <c r="T5" s="95">
        <v>1968322</v>
      </c>
      <c r="U5" s="98">
        <v>1975262</v>
      </c>
      <c r="V5" s="95">
        <v>1982201</v>
      </c>
      <c r="W5" s="95">
        <v>1987683</v>
      </c>
      <c r="X5" s="95">
        <v>1994608</v>
      </c>
      <c r="Y5" s="95">
        <v>2001464</v>
      </c>
      <c r="Z5" s="95">
        <v>2008221</v>
      </c>
      <c r="AA5" s="95">
        <v>2015269</v>
      </c>
      <c r="AB5" s="98">
        <v>2021523</v>
      </c>
      <c r="AC5" s="99">
        <v>2027776</v>
      </c>
      <c r="AD5" s="99">
        <v>2034574</v>
      </c>
      <c r="AE5" s="100">
        <v>2041183</v>
      </c>
      <c r="AG5" s="101"/>
      <c r="AI5" s="101"/>
      <c r="AL5" s="102"/>
    </row>
    <row r="6" spans="1:38">
      <c r="A6" s="94" t="s">
        <v>56</v>
      </c>
      <c r="B6" s="95">
        <v>1013552</v>
      </c>
      <c r="C6" s="95">
        <v>1016726</v>
      </c>
      <c r="D6" s="95">
        <v>1019992</v>
      </c>
      <c r="E6" s="95">
        <v>1023222</v>
      </c>
      <c r="F6" s="95">
        <v>1026418</v>
      </c>
      <c r="G6" s="96">
        <v>1029432</v>
      </c>
      <c r="H6" s="95">
        <v>1032445</v>
      </c>
      <c r="I6" s="95">
        <v>1035094</v>
      </c>
      <c r="J6" s="95">
        <v>1038230</v>
      </c>
      <c r="K6" s="95">
        <v>1041340</v>
      </c>
      <c r="L6" s="95">
        <v>1044573</v>
      </c>
      <c r="M6" s="97">
        <v>1047656</v>
      </c>
      <c r="N6" s="98">
        <v>1050484</v>
      </c>
      <c r="O6" s="95">
        <v>1053312</v>
      </c>
      <c r="P6" s="98">
        <v>1056150</v>
      </c>
      <c r="Q6" s="95">
        <v>1058988</v>
      </c>
      <c r="R6" s="95">
        <v>1061880</v>
      </c>
      <c r="S6" s="95">
        <v>1064905</v>
      </c>
      <c r="T6" s="95">
        <v>1067892</v>
      </c>
      <c r="U6" s="98">
        <v>1071012</v>
      </c>
      <c r="V6" s="95">
        <v>1074132</v>
      </c>
      <c r="W6" s="95">
        <v>1076482</v>
      </c>
      <c r="X6" s="95">
        <v>1079479</v>
      </c>
      <c r="Y6" s="95">
        <v>1082494</v>
      </c>
      <c r="Z6" s="95">
        <v>1085480</v>
      </c>
      <c r="AA6" s="95">
        <v>1088526</v>
      </c>
      <c r="AB6" s="98">
        <v>1091366</v>
      </c>
      <c r="AC6" s="99">
        <v>1094205</v>
      </c>
      <c r="AD6" s="99">
        <v>1097109</v>
      </c>
      <c r="AE6" s="100">
        <v>1099884</v>
      </c>
      <c r="AG6" s="101"/>
      <c r="AI6" s="101"/>
      <c r="AL6" s="102"/>
    </row>
    <row r="7" spans="1:38">
      <c r="A7" s="94" t="s">
        <v>57</v>
      </c>
      <c r="B7" s="95">
        <v>3951739</v>
      </c>
      <c r="C7" s="95">
        <v>3963455</v>
      </c>
      <c r="D7" s="95">
        <v>3973637</v>
      </c>
      <c r="E7" s="95">
        <v>3984445</v>
      </c>
      <c r="F7" s="95">
        <v>3996750</v>
      </c>
      <c r="G7" s="96">
        <v>4009091</v>
      </c>
      <c r="H7" s="95">
        <v>4021431</v>
      </c>
      <c r="I7" s="95">
        <v>4032840</v>
      </c>
      <c r="J7" s="95">
        <v>4045894</v>
      </c>
      <c r="K7" s="95">
        <v>4052916</v>
      </c>
      <c r="L7" s="95">
        <v>4057980</v>
      </c>
      <c r="M7" s="97">
        <v>4063319</v>
      </c>
      <c r="N7" s="98">
        <v>4068646</v>
      </c>
      <c r="O7" s="95">
        <v>4073972</v>
      </c>
      <c r="P7" s="98">
        <v>4077429</v>
      </c>
      <c r="Q7" s="95">
        <v>4080885</v>
      </c>
      <c r="R7" s="95">
        <v>4081062</v>
      </c>
      <c r="S7" s="95">
        <v>4081682</v>
      </c>
      <c r="T7" s="95">
        <v>4090108</v>
      </c>
      <c r="U7" s="98">
        <v>4099335</v>
      </c>
      <c r="V7" s="95">
        <v>4108562</v>
      </c>
      <c r="W7" s="95">
        <v>4115005</v>
      </c>
      <c r="X7" s="95">
        <v>4123188</v>
      </c>
      <c r="Y7" s="95">
        <v>4123682</v>
      </c>
      <c r="Z7" s="95">
        <v>4123759</v>
      </c>
      <c r="AA7" s="95">
        <v>4123838</v>
      </c>
      <c r="AB7" s="98">
        <v>4123923</v>
      </c>
      <c r="AC7" s="99">
        <v>4124007</v>
      </c>
      <c r="AD7" s="99">
        <v>4124088</v>
      </c>
      <c r="AE7" s="100">
        <v>4124168</v>
      </c>
      <c r="AG7" s="101"/>
      <c r="AI7" s="101"/>
      <c r="AL7" s="102"/>
    </row>
    <row r="8" spans="1:38">
      <c r="A8" s="94" t="s">
        <v>58</v>
      </c>
      <c r="B8" s="95">
        <v>1580494</v>
      </c>
      <c r="C8" s="95">
        <v>1580494</v>
      </c>
      <c r="D8" s="95">
        <v>1580577</v>
      </c>
      <c r="E8" s="95">
        <v>1580577</v>
      </c>
      <c r="F8" s="95">
        <v>1580577</v>
      </c>
      <c r="G8" s="96">
        <v>1580577</v>
      </c>
      <c r="H8" s="95">
        <v>1580577</v>
      </c>
      <c r="I8" s="95">
        <v>1580577</v>
      </c>
      <c r="J8" s="95">
        <v>1580577</v>
      </c>
      <c r="K8" s="95">
        <v>1582402</v>
      </c>
      <c r="L8" s="95">
        <v>1584692</v>
      </c>
      <c r="M8" s="97">
        <v>1586895</v>
      </c>
      <c r="N8" s="98">
        <v>1589134</v>
      </c>
      <c r="O8" s="95">
        <v>1591372</v>
      </c>
      <c r="P8" s="98">
        <v>1593626</v>
      </c>
      <c r="Q8" s="95">
        <v>1595880</v>
      </c>
      <c r="R8" s="95">
        <v>1598755</v>
      </c>
      <c r="S8" s="95">
        <v>1601611</v>
      </c>
      <c r="T8" s="95">
        <v>1601610</v>
      </c>
      <c r="U8" s="98">
        <v>1601619</v>
      </c>
      <c r="V8" s="95">
        <v>1601627</v>
      </c>
      <c r="W8" s="95">
        <v>1601627</v>
      </c>
      <c r="X8" s="95">
        <v>1601627</v>
      </c>
      <c r="Y8" s="95">
        <v>1604124</v>
      </c>
      <c r="Z8" s="95">
        <v>1606665</v>
      </c>
      <c r="AA8" s="95">
        <v>1609181</v>
      </c>
      <c r="AB8" s="98">
        <v>1611802</v>
      </c>
      <c r="AC8" s="99">
        <v>1614423</v>
      </c>
      <c r="AD8" s="99">
        <v>1617114</v>
      </c>
      <c r="AE8" s="100">
        <v>1619699</v>
      </c>
      <c r="AG8" s="101"/>
      <c r="AI8" s="101"/>
      <c r="AL8" s="102"/>
    </row>
    <row r="9" spans="1:38">
      <c r="A9" s="94" t="s">
        <v>59</v>
      </c>
      <c r="B9" s="95">
        <v>9385837</v>
      </c>
      <c r="C9" s="95">
        <v>9395962</v>
      </c>
      <c r="D9" s="95">
        <v>9405334</v>
      </c>
      <c r="E9" s="95">
        <v>9414911</v>
      </c>
      <c r="F9" s="95">
        <v>9425657</v>
      </c>
      <c r="G9" s="96">
        <v>9436641</v>
      </c>
      <c r="H9" s="95">
        <v>9447624</v>
      </c>
      <c r="I9" s="95">
        <v>9458460</v>
      </c>
      <c r="J9" s="95">
        <v>9470641</v>
      </c>
      <c r="K9" s="95">
        <v>9481960</v>
      </c>
      <c r="L9" s="95">
        <v>9492740</v>
      </c>
      <c r="M9" s="97">
        <v>9504498</v>
      </c>
      <c r="N9" s="98">
        <v>9516517</v>
      </c>
      <c r="O9" s="95">
        <v>9528536</v>
      </c>
      <c r="P9" s="98">
        <v>9539188</v>
      </c>
      <c r="Q9" s="95">
        <v>9549839</v>
      </c>
      <c r="R9" s="95">
        <v>9558584</v>
      </c>
      <c r="S9" s="95">
        <v>9567878</v>
      </c>
      <c r="T9" s="95">
        <v>9576528</v>
      </c>
      <c r="U9" s="98">
        <v>9586134</v>
      </c>
      <c r="V9" s="95">
        <v>9595740</v>
      </c>
      <c r="W9" s="95">
        <v>9602760</v>
      </c>
      <c r="X9" s="95">
        <v>9611629</v>
      </c>
      <c r="Y9" s="95">
        <v>9620522</v>
      </c>
      <c r="Z9" s="95">
        <v>9628857</v>
      </c>
      <c r="AA9" s="95">
        <v>9638468</v>
      </c>
      <c r="AB9" s="98">
        <v>9648030</v>
      </c>
      <c r="AC9" s="99">
        <v>9657592</v>
      </c>
      <c r="AD9" s="99">
        <v>9667323</v>
      </c>
      <c r="AE9" s="100">
        <v>9675847</v>
      </c>
      <c r="AG9" s="101"/>
      <c r="AI9" s="101"/>
      <c r="AL9" s="102"/>
    </row>
    <row r="10" spans="1:38">
      <c r="A10" s="94" t="s">
        <v>60</v>
      </c>
      <c r="B10" s="95">
        <v>1503150</v>
      </c>
      <c r="C10" s="95">
        <v>1509720</v>
      </c>
      <c r="D10" s="95">
        <v>1516230</v>
      </c>
      <c r="E10" s="95">
        <v>1522701</v>
      </c>
      <c r="F10" s="95">
        <v>1529263</v>
      </c>
      <c r="G10" s="96">
        <v>1535757</v>
      </c>
      <c r="H10" s="95">
        <v>1542250</v>
      </c>
      <c r="I10" s="95">
        <v>1548264</v>
      </c>
      <c r="J10" s="95">
        <v>1554731</v>
      </c>
      <c r="K10" s="95">
        <v>1561192</v>
      </c>
      <c r="L10" s="95">
        <v>1567724</v>
      </c>
      <c r="M10" s="97">
        <v>1574151</v>
      </c>
      <c r="N10" s="98">
        <v>1580410</v>
      </c>
      <c r="O10" s="95">
        <v>1586668</v>
      </c>
      <c r="P10" s="98">
        <v>1592955</v>
      </c>
      <c r="Q10" s="95">
        <v>1599241</v>
      </c>
      <c r="R10" s="95">
        <v>1605487</v>
      </c>
      <c r="S10" s="95">
        <v>1611887</v>
      </c>
      <c r="T10" s="95">
        <v>1618164</v>
      </c>
      <c r="U10" s="98">
        <v>1624554</v>
      </c>
      <c r="V10" s="95">
        <v>1630944</v>
      </c>
      <c r="W10" s="95">
        <v>1636119</v>
      </c>
      <c r="X10" s="95">
        <v>1642323</v>
      </c>
      <c r="Y10" s="95">
        <v>1648559</v>
      </c>
      <c r="Z10" s="95">
        <v>1654486</v>
      </c>
      <c r="AA10" s="95">
        <v>1660614</v>
      </c>
      <c r="AB10" s="98">
        <v>1666067</v>
      </c>
      <c r="AC10" s="99">
        <v>1671519</v>
      </c>
      <c r="AD10" s="99">
        <v>1677654</v>
      </c>
      <c r="AE10" s="100">
        <v>1683566</v>
      </c>
      <c r="AG10" s="101"/>
      <c r="AI10" s="101"/>
      <c r="AL10" s="102"/>
    </row>
    <row r="11" spans="1:38">
      <c r="A11" s="94" t="s">
        <v>61</v>
      </c>
      <c r="B11" s="95">
        <v>89052</v>
      </c>
      <c r="C11" s="95">
        <v>89224</v>
      </c>
      <c r="D11" s="95">
        <v>89394</v>
      </c>
      <c r="E11" s="95">
        <v>89562</v>
      </c>
      <c r="F11" s="95">
        <v>89735</v>
      </c>
      <c r="G11" s="96">
        <v>89904</v>
      </c>
      <c r="H11" s="95">
        <v>90073</v>
      </c>
      <c r="I11" s="95">
        <v>90223</v>
      </c>
      <c r="J11" s="95">
        <v>90396</v>
      </c>
      <c r="K11" s="95">
        <v>90569</v>
      </c>
      <c r="L11" s="95">
        <v>90749</v>
      </c>
      <c r="M11" s="97">
        <v>90928</v>
      </c>
      <c r="N11" s="98">
        <v>91100</v>
      </c>
      <c r="O11" s="95">
        <v>91271</v>
      </c>
      <c r="P11" s="98">
        <v>91442</v>
      </c>
      <c r="Q11" s="95">
        <v>91612</v>
      </c>
      <c r="R11" s="95">
        <v>91786</v>
      </c>
      <c r="S11" s="95">
        <v>91967</v>
      </c>
      <c r="T11" s="95">
        <v>92145</v>
      </c>
      <c r="U11" s="98">
        <v>92336</v>
      </c>
      <c r="V11" s="95">
        <v>92526</v>
      </c>
      <c r="W11" s="95">
        <v>92685</v>
      </c>
      <c r="X11" s="95">
        <v>92873</v>
      </c>
      <c r="Y11" s="95">
        <v>93054</v>
      </c>
      <c r="Z11" s="95">
        <v>93232</v>
      </c>
      <c r="AA11" s="95">
        <v>93415</v>
      </c>
      <c r="AB11" s="98">
        <v>93579</v>
      </c>
      <c r="AC11" s="99">
        <v>93743</v>
      </c>
      <c r="AD11" s="99">
        <v>93929</v>
      </c>
      <c r="AE11" s="100">
        <v>94098</v>
      </c>
      <c r="AG11" s="101"/>
      <c r="AI11" s="101"/>
      <c r="AL11" s="102"/>
    </row>
    <row r="12" spans="1:38" s="109" customFormat="1" ht="18" customHeight="1">
      <c r="A12" s="103" t="s">
        <v>62</v>
      </c>
      <c r="B12" s="104">
        <f>SUM(B4:B11)</f>
        <v>19485982</v>
      </c>
      <c r="C12" s="104">
        <f t="shared" ref="C12:AA12" si="0">SUM(C4:C11)</f>
        <v>19524688</v>
      </c>
      <c r="D12" s="104">
        <f t="shared" si="0"/>
        <v>19561576</v>
      </c>
      <c r="E12" s="104">
        <f t="shared" si="0"/>
        <v>19599117</v>
      </c>
      <c r="F12" s="104">
        <f t="shared" si="0"/>
        <v>19639213</v>
      </c>
      <c r="G12" s="105">
        <f>SUM(G4:G11)</f>
        <v>19679025</v>
      </c>
      <c r="H12" s="104">
        <f t="shared" si="0"/>
        <v>19718832</v>
      </c>
      <c r="I12" s="104">
        <f t="shared" si="0"/>
        <v>19756095</v>
      </c>
      <c r="J12" s="104">
        <f t="shared" si="0"/>
        <v>19798285</v>
      </c>
      <c r="K12" s="104">
        <f t="shared" si="0"/>
        <v>19835264</v>
      </c>
      <c r="L12" s="104">
        <f t="shared" si="0"/>
        <v>19870545</v>
      </c>
      <c r="M12" s="104">
        <f t="shared" si="0"/>
        <v>19906486</v>
      </c>
      <c r="N12" s="104">
        <f>SUM(N4:N11)</f>
        <v>19941878</v>
      </c>
      <c r="O12" s="104">
        <f t="shared" si="0"/>
        <v>19977266</v>
      </c>
      <c r="P12" s="104">
        <f>SUM(P4:P11)</f>
        <v>20009649</v>
      </c>
      <c r="Q12" s="104">
        <f t="shared" si="0"/>
        <v>20042026</v>
      </c>
      <c r="R12" s="104">
        <f t="shared" si="0"/>
        <v>20070214</v>
      </c>
      <c r="S12" s="104">
        <f t="shared" si="0"/>
        <v>20099778</v>
      </c>
      <c r="T12" s="104">
        <f t="shared" si="0"/>
        <v>20133247</v>
      </c>
      <c r="U12" s="106">
        <f>SUM(U4:U11)</f>
        <v>20168943</v>
      </c>
      <c r="V12" s="104">
        <f t="shared" si="0"/>
        <v>20204635</v>
      </c>
      <c r="W12" s="104">
        <f t="shared" si="0"/>
        <v>20231444</v>
      </c>
      <c r="X12" s="104">
        <f t="shared" si="0"/>
        <v>20265015</v>
      </c>
      <c r="Y12" s="104">
        <f t="shared" si="0"/>
        <v>20293390</v>
      </c>
      <c r="Z12" s="104">
        <f t="shared" si="0"/>
        <v>20320390</v>
      </c>
      <c r="AA12" s="104">
        <f t="shared" si="0"/>
        <v>20349203</v>
      </c>
      <c r="AB12" s="104">
        <f>SUM(AB4:AB11)</f>
        <v>20376377</v>
      </c>
      <c r="AC12" s="107">
        <f>SUM(AC4:AC11)</f>
        <v>20403547</v>
      </c>
      <c r="AD12" s="107">
        <f>SUM(AD4:AD11)</f>
        <v>20432275</v>
      </c>
      <c r="AE12" s="108">
        <f>SUM(AE4:AE11)</f>
        <v>20459122</v>
      </c>
    </row>
    <row r="13" spans="1:38" ht="25.5">
      <c r="A13" s="87" t="s">
        <v>63</v>
      </c>
      <c r="B13" s="110" t="s">
        <v>64</v>
      </c>
      <c r="C13" s="110" t="s">
        <v>64</v>
      </c>
      <c r="D13" s="110" t="s">
        <v>64</v>
      </c>
      <c r="E13" s="110" t="s">
        <v>64</v>
      </c>
      <c r="F13" s="110" t="s">
        <v>64</v>
      </c>
      <c r="G13" s="110" t="s">
        <v>64</v>
      </c>
      <c r="H13" s="110" t="s">
        <v>64</v>
      </c>
      <c r="I13" s="110" t="s">
        <v>64</v>
      </c>
      <c r="J13" s="110" t="s">
        <v>64</v>
      </c>
      <c r="K13" s="110" t="s">
        <v>64</v>
      </c>
      <c r="L13" s="110" t="s">
        <v>64</v>
      </c>
      <c r="M13" s="111" t="s">
        <v>64</v>
      </c>
      <c r="N13" s="110" t="s">
        <v>64</v>
      </c>
      <c r="O13" s="110" t="s">
        <v>64</v>
      </c>
      <c r="P13" s="110" t="s">
        <v>64</v>
      </c>
      <c r="Q13" s="110" t="s">
        <v>64</v>
      </c>
      <c r="R13" s="110" t="s">
        <v>64</v>
      </c>
      <c r="S13" s="110" t="s">
        <v>64</v>
      </c>
      <c r="T13" s="110" t="s">
        <v>64</v>
      </c>
      <c r="U13" s="110" t="s">
        <v>64</v>
      </c>
      <c r="V13" s="110" t="s">
        <v>64</v>
      </c>
      <c r="W13" s="110" t="s">
        <v>64</v>
      </c>
      <c r="X13" s="110" t="s">
        <v>64</v>
      </c>
      <c r="Y13" s="110" t="s">
        <v>64</v>
      </c>
      <c r="Z13" s="110" t="s">
        <v>64</v>
      </c>
      <c r="AA13" s="110" t="s">
        <v>64</v>
      </c>
      <c r="AB13" s="110" t="s">
        <v>64</v>
      </c>
      <c r="AC13" s="93" t="s">
        <v>64</v>
      </c>
      <c r="AD13" s="93" t="s">
        <v>64</v>
      </c>
      <c r="AE13" s="93" t="s">
        <v>65</v>
      </c>
    </row>
    <row r="14" spans="1:38" ht="25.5">
      <c r="A14" s="87" t="s">
        <v>66</v>
      </c>
      <c r="B14" s="112">
        <v>148877.53</v>
      </c>
      <c r="C14" s="112">
        <v>148877.53</v>
      </c>
      <c r="D14" s="112">
        <v>148877.53</v>
      </c>
      <c r="E14" s="112">
        <v>148877.53</v>
      </c>
      <c r="F14" s="112">
        <v>148877.53</v>
      </c>
      <c r="G14" s="112">
        <v>148877.53</v>
      </c>
      <c r="H14" s="112">
        <v>150333.26999999999</v>
      </c>
      <c r="I14" s="112">
        <v>150333.26999999999</v>
      </c>
      <c r="J14" s="112">
        <v>150333.26999999999</v>
      </c>
      <c r="K14" s="112">
        <v>150333.26999999999</v>
      </c>
      <c r="L14" s="112">
        <v>150333.26999999999</v>
      </c>
      <c r="M14" s="113">
        <v>150333.26999999999</v>
      </c>
      <c r="N14" s="113">
        <v>150333.26999999999</v>
      </c>
      <c r="O14" s="112">
        <v>152067.81</v>
      </c>
      <c r="P14" s="112">
        <v>152067.81</v>
      </c>
      <c r="Q14" s="112">
        <v>152067.81</v>
      </c>
      <c r="R14" s="112">
        <v>152067.81</v>
      </c>
      <c r="S14" s="112">
        <v>152067.81</v>
      </c>
      <c r="T14" s="112">
        <v>152067.81</v>
      </c>
      <c r="U14" s="112">
        <v>152067.81</v>
      </c>
      <c r="V14" s="112">
        <v>152906.03</v>
      </c>
      <c r="W14" s="112">
        <v>152906.03</v>
      </c>
      <c r="X14" s="112">
        <v>152906.03</v>
      </c>
      <c r="Y14" s="112">
        <v>152906.03</v>
      </c>
      <c r="Z14" s="112">
        <v>152906.03</v>
      </c>
      <c r="AA14" s="112">
        <v>152906.03</v>
      </c>
      <c r="AB14" s="112">
        <v>152906.03</v>
      </c>
      <c r="AC14" s="114">
        <v>153646.48000000001</v>
      </c>
      <c r="AD14" s="114">
        <v>153646.48000000001</v>
      </c>
      <c r="AE14" s="115">
        <v>153646.48000000001</v>
      </c>
    </row>
    <row r="15" spans="1:38" ht="25.5">
      <c r="A15" s="87" t="s">
        <v>67</v>
      </c>
      <c r="B15" s="116">
        <v>681</v>
      </c>
      <c r="C15" s="116">
        <v>681</v>
      </c>
      <c r="D15" s="116">
        <v>681</v>
      </c>
      <c r="E15" s="116">
        <v>681</v>
      </c>
      <c r="F15" s="116">
        <v>681</v>
      </c>
      <c r="G15" s="116">
        <v>681</v>
      </c>
      <c r="H15" s="116">
        <v>681</v>
      </c>
      <c r="I15" s="116">
        <v>681</v>
      </c>
      <c r="J15" s="116">
        <v>681</v>
      </c>
      <c r="K15" s="116">
        <v>681</v>
      </c>
      <c r="L15" s="116">
        <v>681</v>
      </c>
      <c r="M15" s="117">
        <v>681</v>
      </c>
      <c r="N15" s="116">
        <v>681</v>
      </c>
      <c r="O15" s="116">
        <v>681</v>
      </c>
      <c r="P15" s="116">
        <v>681</v>
      </c>
      <c r="Q15" s="116">
        <v>681</v>
      </c>
      <c r="R15" s="116">
        <v>681</v>
      </c>
      <c r="S15" s="116">
        <v>681</v>
      </c>
      <c r="T15" s="116">
        <v>681</v>
      </c>
      <c r="U15" s="116">
        <v>681</v>
      </c>
      <c r="V15" s="116">
        <v>682</v>
      </c>
      <c r="W15" s="116">
        <v>689</v>
      </c>
      <c r="X15" s="116">
        <v>682</v>
      </c>
      <c r="Y15" s="116">
        <v>682</v>
      </c>
      <c r="Z15" s="116">
        <v>682</v>
      </c>
      <c r="AA15" s="116">
        <v>682</v>
      </c>
      <c r="AB15" s="116">
        <v>682</v>
      </c>
      <c r="AC15" s="118">
        <v>683</v>
      </c>
      <c r="AD15" s="118">
        <v>683</v>
      </c>
      <c r="AE15" s="119">
        <v>683</v>
      </c>
    </row>
    <row r="16" spans="1:38" ht="25.5">
      <c r="A16" s="87" t="s">
        <v>68</v>
      </c>
      <c r="B16" s="116">
        <v>2762</v>
      </c>
      <c r="C16" s="116">
        <v>2909</v>
      </c>
      <c r="D16" s="116">
        <v>3020</v>
      </c>
      <c r="E16" s="116">
        <v>3111</v>
      </c>
      <c r="F16" s="116">
        <v>3213</v>
      </c>
      <c r="G16" s="120">
        <v>3311</v>
      </c>
      <c r="H16" s="116">
        <v>3409</v>
      </c>
      <c r="I16" s="116">
        <v>3496</v>
      </c>
      <c r="J16" s="116">
        <v>3587</v>
      </c>
      <c r="K16" s="116">
        <v>3701</v>
      </c>
      <c r="L16" s="116">
        <v>3799</v>
      </c>
      <c r="M16" s="117">
        <v>3896</v>
      </c>
      <c r="N16" s="120">
        <v>3911</v>
      </c>
      <c r="O16" s="116">
        <v>3926</v>
      </c>
      <c r="P16" s="116">
        <v>3987</v>
      </c>
      <c r="Q16" s="116">
        <v>3987</v>
      </c>
      <c r="R16" s="116">
        <v>3987</v>
      </c>
      <c r="S16" s="116">
        <v>3987</v>
      </c>
      <c r="T16" s="116">
        <v>3987</v>
      </c>
      <c r="U16" s="116">
        <v>3987</v>
      </c>
      <c r="V16" s="116">
        <v>3987</v>
      </c>
      <c r="W16" s="116">
        <v>3987</v>
      </c>
      <c r="X16" s="116">
        <v>3987</v>
      </c>
      <c r="Y16" s="116">
        <v>3987</v>
      </c>
      <c r="Z16" s="116">
        <v>3987</v>
      </c>
      <c r="AA16" s="116">
        <v>3987</v>
      </c>
      <c r="AB16" s="116">
        <v>3987</v>
      </c>
      <c r="AC16" s="118">
        <v>3987</v>
      </c>
      <c r="AD16" s="118">
        <v>3987</v>
      </c>
      <c r="AE16" s="119">
        <v>3987</v>
      </c>
    </row>
    <row r="17" spans="1:31">
      <c r="A17" s="121"/>
      <c r="B17" s="122"/>
      <c r="C17" s="122"/>
      <c r="D17" s="122"/>
      <c r="E17" s="122"/>
      <c r="F17" s="122"/>
      <c r="G17" s="123"/>
      <c r="H17" s="122"/>
      <c r="I17" s="122"/>
      <c r="J17" s="122"/>
      <c r="K17" s="122"/>
      <c r="L17" s="122"/>
      <c r="M17" s="124"/>
      <c r="N17" s="123"/>
      <c r="O17" s="122"/>
      <c r="P17" s="123"/>
      <c r="Q17" s="122"/>
      <c r="R17" s="122"/>
      <c r="S17" s="122"/>
      <c r="T17" s="122"/>
      <c r="U17" s="123"/>
      <c r="V17" s="122"/>
      <c r="W17" s="122"/>
      <c r="X17" s="122"/>
      <c r="Y17" s="122"/>
      <c r="Z17" s="122"/>
      <c r="AA17" s="122"/>
      <c r="AB17" s="123"/>
      <c r="AC17" s="125"/>
      <c r="AD17" s="125"/>
      <c r="AE17" s="126"/>
    </row>
    <row r="18" spans="1:31" ht="25.5">
      <c r="A18" s="87" t="s">
        <v>69</v>
      </c>
      <c r="B18" s="110" t="s">
        <v>64</v>
      </c>
      <c r="C18" s="110" t="s">
        <v>64</v>
      </c>
      <c r="D18" s="110" t="s">
        <v>64</v>
      </c>
      <c r="E18" s="110" t="s">
        <v>64</v>
      </c>
      <c r="F18" s="110" t="s">
        <v>64</v>
      </c>
      <c r="G18" s="110" t="s">
        <v>64</v>
      </c>
      <c r="H18" s="110" t="s">
        <v>64</v>
      </c>
      <c r="I18" s="110" t="s">
        <v>64</v>
      </c>
      <c r="J18" s="110" t="s">
        <v>64</v>
      </c>
      <c r="K18" s="110" t="s">
        <v>64</v>
      </c>
      <c r="L18" s="110" t="s">
        <v>64</v>
      </c>
      <c r="M18" s="111" t="s">
        <v>64</v>
      </c>
      <c r="N18" s="111" t="s">
        <v>64</v>
      </c>
      <c r="O18" s="111" t="s">
        <v>64</v>
      </c>
      <c r="P18" s="111" t="s">
        <v>64</v>
      </c>
      <c r="Q18" s="110" t="s">
        <v>64</v>
      </c>
      <c r="R18" s="110" t="s">
        <v>64</v>
      </c>
      <c r="S18" s="110" t="s">
        <v>64</v>
      </c>
      <c r="T18" s="110" t="s">
        <v>64</v>
      </c>
      <c r="U18" s="111" t="s">
        <v>64</v>
      </c>
      <c r="V18" s="110" t="s">
        <v>64</v>
      </c>
      <c r="W18" s="110" t="s">
        <v>64</v>
      </c>
      <c r="X18" s="110" t="s">
        <v>64</v>
      </c>
      <c r="Y18" s="110" t="s">
        <v>64</v>
      </c>
      <c r="Z18" s="110" t="s">
        <v>64</v>
      </c>
      <c r="AA18" s="110" t="s">
        <v>64</v>
      </c>
      <c r="AB18" s="110" t="s">
        <v>64</v>
      </c>
      <c r="AC18" s="93" t="s">
        <v>64</v>
      </c>
      <c r="AD18" s="93" t="s">
        <v>64</v>
      </c>
      <c r="AE18" s="93" t="s">
        <v>65</v>
      </c>
    </row>
    <row r="19" spans="1:31" ht="25.5">
      <c r="A19" s="127" t="s">
        <v>70</v>
      </c>
      <c r="B19" s="128">
        <v>36627.800000000003</v>
      </c>
      <c r="C19" s="128">
        <v>36677.5</v>
      </c>
      <c r="D19" s="128">
        <v>36755.1</v>
      </c>
      <c r="E19" s="128">
        <v>36811.5</v>
      </c>
      <c r="F19" s="128">
        <v>36871.599999999999</v>
      </c>
      <c r="G19" s="120">
        <v>36894.400000000001</v>
      </c>
      <c r="H19" s="128">
        <v>36917.199999999997</v>
      </c>
      <c r="I19" s="128">
        <v>36964.1</v>
      </c>
      <c r="J19" s="128">
        <v>37008.9</v>
      </c>
      <c r="K19" s="128">
        <v>37055.699999999997</v>
      </c>
      <c r="L19" s="128">
        <v>37099.5</v>
      </c>
      <c r="M19" s="129">
        <v>37142.400000000001</v>
      </c>
      <c r="N19" s="120">
        <v>37178.199999999997</v>
      </c>
      <c r="O19" s="128">
        <v>37214.1</v>
      </c>
      <c r="P19" s="120">
        <v>37272.5</v>
      </c>
      <c r="Q19" s="128">
        <v>37330.800000000003</v>
      </c>
      <c r="R19" s="128">
        <v>37388.5</v>
      </c>
      <c r="S19" s="128">
        <v>37458.9</v>
      </c>
      <c r="T19" s="128">
        <v>37522.199999999997</v>
      </c>
      <c r="U19" s="120">
        <v>37579</v>
      </c>
      <c r="V19" s="128">
        <v>37636.6</v>
      </c>
      <c r="W19" s="128">
        <v>37702.300000000003</v>
      </c>
      <c r="X19" s="128">
        <v>37773.5</v>
      </c>
      <c r="Y19" s="128">
        <v>37822.300000000003</v>
      </c>
      <c r="Z19" s="128">
        <v>37862.1</v>
      </c>
      <c r="AA19" s="128">
        <v>37895.199999999997</v>
      </c>
      <c r="AB19" s="130">
        <v>37941.800000000003</v>
      </c>
      <c r="AC19" s="131">
        <v>37988.400000000001</v>
      </c>
      <c r="AD19" s="131">
        <v>38034.1</v>
      </c>
      <c r="AE19" s="132">
        <v>38080.800000000003</v>
      </c>
    </row>
    <row r="20" spans="1:31" ht="38.25">
      <c r="A20" s="87" t="s">
        <v>71</v>
      </c>
      <c r="B20" s="133">
        <v>4030754</v>
      </c>
      <c r="C20" s="133">
        <v>4102158</v>
      </c>
      <c r="D20" s="133">
        <v>4164354</v>
      </c>
      <c r="E20" s="133">
        <v>4228234</v>
      </c>
      <c r="F20" s="133">
        <v>4295163</v>
      </c>
      <c r="G20" s="133">
        <v>4313039</v>
      </c>
      <c r="H20" s="133">
        <v>4330916</v>
      </c>
      <c r="I20" s="133">
        <v>4355408</v>
      </c>
      <c r="J20" s="133">
        <v>4388056</v>
      </c>
      <c r="K20" s="133">
        <v>4451357</v>
      </c>
      <c r="L20" s="133">
        <v>4487961</v>
      </c>
      <c r="M20" s="134">
        <v>4561092</v>
      </c>
      <c r="N20" s="134">
        <v>4588597</v>
      </c>
      <c r="O20" s="133">
        <v>4616102</v>
      </c>
      <c r="P20" s="133">
        <v>4634249</v>
      </c>
      <c r="Q20" s="133">
        <v>4652395</v>
      </c>
      <c r="R20" s="133">
        <v>4652396</v>
      </c>
      <c r="S20" s="133">
        <v>4680318</v>
      </c>
      <c r="T20" s="133">
        <v>4697308</v>
      </c>
      <c r="U20" s="135">
        <v>4709419</v>
      </c>
      <c r="V20" s="133">
        <v>4721531</v>
      </c>
      <c r="W20" s="133">
        <v>4740154</v>
      </c>
      <c r="X20" s="133">
        <v>4753621</v>
      </c>
      <c r="Y20" s="133">
        <v>4753622</v>
      </c>
      <c r="Z20" s="133">
        <v>4800369</v>
      </c>
      <c r="AA20" s="133">
        <v>4800369</v>
      </c>
      <c r="AB20" s="130">
        <v>4814423</v>
      </c>
      <c r="AC20" s="136">
        <v>4828477</v>
      </c>
      <c r="AD20" s="136">
        <v>4828475</v>
      </c>
      <c r="AE20" s="136">
        <v>4850520</v>
      </c>
    </row>
    <row r="21" spans="1:31" ht="25.5">
      <c r="A21" s="87" t="s">
        <v>72</v>
      </c>
      <c r="B21" s="116">
        <v>12578</v>
      </c>
      <c r="C21" s="116">
        <v>12578</v>
      </c>
      <c r="D21" s="116">
        <v>12578</v>
      </c>
      <c r="E21" s="116">
        <v>12578</v>
      </c>
      <c r="F21" s="116">
        <v>12578</v>
      </c>
      <c r="G21" s="116">
        <v>12578</v>
      </c>
      <c r="H21" s="116">
        <v>12885</v>
      </c>
      <c r="I21" s="116">
        <v>12885</v>
      </c>
      <c r="J21" s="116">
        <v>12885</v>
      </c>
      <c r="K21" s="116">
        <v>12885</v>
      </c>
      <c r="L21" s="116">
        <v>12885</v>
      </c>
      <c r="M21" s="117">
        <v>12885</v>
      </c>
      <c r="N21" s="117">
        <v>12885</v>
      </c>
      <c r="O21" s="116">
        <v>12885</v>
      </c>
      <c r="P21" s="117">
        <v>12885</v>
      </c>
      <c r="Q21" s="116">
        <v>12885</v>
      </c>
      <c r="R21" s="116">
        <v>12885</v>
      </c>
      <c r="S21" s="116">
        <v>12885</v>
      </c>
      <c r="T21" s="116">
        <v>12885</v>
      </c>
      <c r="U21" s="137">
        <v>12885</v>
      </c>
      <c r="V21" s="116">
        <v>14105</v>
      </c>
      <c r="W21" s="116">
        <v>14105</v>
      </c>
      <c r="X21" s="116">
        <v>14105</v>
      </c>
      <c r="Y21" s="116">
        <v>14105</v>
      </c>
      <c r="Z21" s="116">
        <v>14105</v>
      </c>
      <c r="AA21" s="116">
        <v>14105</v>
      </c>
      <c r="AB21" s="116">
        <v>14105</v>
      </c>
      <c r="AC21" s="118">
        <v>14875</v>
      </c>
      <c r="AD21" s="118">
        <v>14875</v>
      </c>
      <c r="AE21" s="119">
        <v>14875</v>
      </c>
    </row>
    <row r="22" spans="1:31" ht="25.5">
      <c r="A22" s="87" t="s">
        <v>73</v>
      </c>
      <c r="B22" s="116">
        <v>98171</v>
      </c>
      <c r="C22" s="116">
        <v>98264</v>
      </c>
      <c r="D22" s="116">
        <v>98366</v>
      </c>
      <c r="E22" s="116">
        <v>98462</v>
      </c>
      <c r="F22" s="116">
        <v>98549</v>
      </c>
      <c r="G22" s="120">
        <v>98645</v>
      </c>
      <c r="H22" s="116">
        <v>98741</v>
      </c>
      <c r="I22" s="116">
        <v>98838</v>
      </c>
      <c r="J22" s="116">
        <v>98944</v>
      </c>
      <c r="K22" s="116">
        <v>99053</v>
      </c>
      <c r="L22" s="116">
        <v>99147</v>
      </c>
      <c r="M22" s="117">
        <v>99243</v>
      </c>
      <c r="N22" s="120">
        <v>99343</v>
      </c>
      <c r="O22" s="116">
        <v>99442</v>
      </c>
      <c r="P22" s="130">
        <v>99523</v>
      </c>
      <c r="Q22" s="116">
        <v>99605</v>
      </c>
      <c r="R22" s="116">
        <v>99680</v>
      </c>
      <c r="S22" s="116">
        <v>99758</v>
      </c>
      <c r="T22" s="116">
        <v>99838</v>
      </c>
      <c r="U22" s="120">
        <v>99910</v>
      </c>
      <c r="V22" s="116">
        <v>99982</v>
      </c>
      <c r="W22" s="116">
        <v>100000</v>
      </c>
      <c r="X22" s="116">
        <v>100012</v>
      </c>
      <c r="Y22" s="116">
        <v>100059</v>
      </c>
      <c r="Z22" s="116">
        <v>100119</v>
      </c>
      <c r="AA22" s="116">
        <v>100181</v>
      </c>
      <c r="AB22" s="130">
        <v>100246</v>
      </c>
      <c r="AC22" s="118">
        <v>100310</v>
      </c>
      <c r="AD22" s="118">
        <v>100377</v>
      </c>
      <c r="AE22" s="119">
        <v>100443</v>
      </c>
    </row>
    <row r="23" spans="1:31">
      <c r="A23" s="138"/>
      <c r="B23" s="122"/>
      <c r="C23" s="122"/>
      <c r="D23" s="122"/>
      <c r="E23" s="122"/>
      <c r="F23" s="122"/>
      <c r="G23" s="123"/>
      <c r="H23" s="122"/>
      <c r="I23" s="122"/>
      <c r="J23" s="122"/>
      <c r="K23" s="122"/>
      <c r="L23" s="122"/>
      <c r="M23" s="124"/>
      <c r="N23" s="123"/>
      <c r="O23" s="122"/>
      <c r="P23" s="123"/>
      <c r="Q23" s="122"/>
      <c r="R23" s="122"/>
      <c r="S23" s="122"/>
      <c r="T23" s="122"/>
      <c r="U23" s="123"/>
      <c r="V23" s="122"/>
      <c r="W23" s="122"/>
      <c r="X23" s="122"/>
      <c r="Y23" s="122"/>
      <c r="Z23" s="122"/>
      <c r="AA23" s="122"/>
      <c r="AB23" s="123"/>
      <c r="AC23" s="125"/>
      <c r="AD23" s="125"/>
      <c r="AE23" s="126"/>
    </row>
    <row r="24" spans="1:31" ht="16.5">
      <c r="A24" s="87" t="s">
        <v>74</v>
      </c>
      <c r="B24" s="110" t="s">
        <v>75</v>
      </c>
      <c r="C24" s="110" t="s">
        <v>75</v>
      </c>
      <c r="D24" s="110" t="s">
        <v>75</v>
      </c>
      <c r="E24" s="110" t="s">
        <v>75</v>
      </c>
      <c r="F24" s="110" t="s">
        <v>75</v>
      </c>
      <c r="G24" s="110" t="s">
        <v>75</v>
      </c>
      <c r="H24" s="110" t="s">
        <v>75</v>
      </c>
      <c r="I24" s="110" t="s">
        <v>75</v>
      </c>
      <c r="J24" s="110" t="s">
        <v>75</v>
      </c>
      <c r="K24" s="110" t="s">
        <v>75</v>
      </c>
      <c r="L24" s="110" t="s">
        <v>75</v>
      </c>
      <c r="M24" s="111" t="s">
        <v>75</v>
      </c>
      <c r="N24" s="110" t="s">
        <v>75</v>
      </c>
      <c r="O24" s="110" t="s">
        <v>75</v>
      </c>
      <c r="P24" s="110" t="s">
        <v>75</v>
      </c>
      <c r="Q24" s="110" t="s">
        <v>75</v>
      </c>
      <c r="R24" s="110" t="s">
        <v>75</v>
      </c>
      <c r="S24" s="110" t="s">
        <v>75</v>
      </c>
      <c r="T24" s="110" t="s">
        <v>75</v>
      </c>
      <c r="U24" s="110" t="s">
        <v>75</v>
      </c>
      <c r="V24" s="110" t="s">
        <v>75</v>
      </c>
      <c r="W24" s="110" t="s">
        <v>75</v>
      </c>
      <c r="X24" s="110" t="s">
        <v>75</v>
      </c>
      <c r="Y24" s="110" t="s">
        <v>75</v>
      </c>
      <c r="Z24" s="110" t="s">
        <v>75</v>
      </c>
      <c r="AA24" s="110" t="s">
        <v>75</v>
      </c>
      <c r="AB24" s="110" t="s">
        <v>75</v>
      </c>
      <c r="AC24" s="93" t="s">
        <v>75</v>
      </c>
      <c r="AD24" s="93" t="s">
        <v>75</v>
      </c>
      <c r="AE24" s="93" t="s">
        <v>76</v>
      </c>
    </row>
    <row r="25" spans="1:31" ht="25.5">
      <c r="A25" s="127" t="s">
        <v>77</v>
      </c>
      <c r="B25" s="133" t="s">
        <v>78</v>
      </c>
      <c r="C25" s="133" t="s">
        <v>78</v>
      </c>
      <c r="D25" s="133" t="s">
        <v>78</v>
      </c>
      <c r="E25" s="133" t="s">
        <v>78</v>
      </c>
      <c r="F25" s="133" t="s">
        <v>78</v>
      </c>
      <c r="G25" s="133" t="s">
        <v>78</v>
      </c>
      <c r="H25" s="133" t="s">
        <v>78</v>
      </c>
      <c r="I25" s="133" t="s">
        <v>78</v>
      </c>
      <c r="J25" s="133" t="s">
        <v>78</v>
      </c>
      <c r="K25" s="133" t="s">
        <v>78</v>
      </c>
      <c r="L25" s="133" t="s">
        <v>78</v>
      </c>
      <c r="M25" s="134" t="s">
        <v>78</v>
      </c>
      <c r="N25" s="134" t="s">
        <v>78</v>
      </c>
      <c r="O25" s="133" t="s">
        <v>78</v>
      </c>
      <c r="P25" s="133" t="s">
        <v>78</v>
      </c>
      <c r="Q25" s="133" t="s">
        <v>78</v>
      </c>
      <c r="R25" s="133" t="s">
        <v>78</v>
      </c>
      <c r="S25" s="133" t="s">
        <v>78</v>
      </c>
      <c r="T25" s="133" t="s">
        <v>78</v>
      </c>
      <c r="U25" s="133" t="s">
        <v>78</v>
      </c>
      <c r="V25" s="133" t="s">
        <v>78</v>
      </c>
      <c r="W25" s="133" t="s">
        <v>78</v>
      </c>
      <c r="X25" s="133" t="s">
        <v>78</v>
      </c>
      <c r="Y25" s="133" t="s">
        <v>78</v>
      </c>
      <c r="Z25" s="133" t="s">
        <v>78</v>
      </c>
      <c r="AA25" s="133" t="s">
        <v>78</v>
      </c>
      <c r="AB25" s="133" t="s">
        <v>78</v>
      </c>
      <c r="AC25" s="136" t="s">
        <v>78</v>
      </c>
      <c r="AD25" s="136" t="s">
        <v>78</v>
      </c>
      <c r="AE25" s="136" t="s">
        <v>79</v>
      </c>
    </row>
    <row r="26" spans="1:31" ht="25.5">
      <c r="A26" s="87" t="s">
        <v>80</v>
      </c>
      <c r="B26" s="133">
        <v>47672</v>
      </c>
      <c r="C26" s="133">
        <v>47672</v>
      </c>
      <c r="D26" s="133">
        <v>47672</v>
      </c>
      <c r="E26" s="133">
        <v>47672</v>
      </c>
      <c r="F26" s="133">
        <v>47672</v>
      </c>
      <c r="G26" s="133">
        <v>47672</v>
      </c>
      <c r="H26" s="133">
        <v>47672</v>
      </c>
      <c r="I26" s="133">
        <v>47601</v>
      </c>
      <c r="J26" s="133">
        <v>47601</v>
      </c>
      <c r="K26" s="133">
        <v>47595</v>
      </c>
      <c r="L26" s="133">
        <v>47589</v>
      </c>
      <c r="M26" s="134">
        <v>47589</v>
      </c>
      <c r="N26" s="133">
        <v>47589</v>
      </c>
      <c r="O26" s="133">
        <v>47589</v>
      </c>
      <c r="P26" s="130">
        <v>47577</v>
      </c>
      <c r="Q26" s="133">
        <v>47565</v>
      </c>
      <c r="R26" s="133">
        <v>47565</v>
      </c>
      <c r="S26" s="133">
        <v>47565</v>
      </c>
      <c r="T26" s="133">
        <v>47565</v>
      </c>
      <c r="U26" s="133">
        <v>47565</v>
      </c>
      <c r="V26" s="133">
        <v>47565</v>
      </c>
      <c r="W26" s="133">
        <v>47565</v>
      </c>
      <c r="X26" s="133">
        <v>47565</v>
      </c>
      <c r="Y26" s="133">
        <v>47565</v>
      </c>
      <c r="Z26" s="133">
        <v>47517</v>
      </c>
      <c r="AA26" s="133">
        <v>47517</v>
      </c>
      <c r="AB26" s="133">
        <v>47503</v>
      </c>
      <c r="AC26" s="136">
        <v>47503</v>
      </c>
      <c r="AD26" s="136">
        <v>47495</v>
      </c>
      <c r="AE26" s="136">
        <v>47495</v>
      </c>
    </row>
    <row r="27" spans="1:31" ht="26.25" thickBot="1">
      <c r="A27" s="139" t="s">
        <v>81</v>
      </c>
      <c r="B27" s="140">
        <v>2720</v>
      </c>
      <c r="C27" s="140">
        <v>2720</v>
      </c>
      <c r="D27" s="140">
        <v>2720</v>
      </c>
      <c r="E27" s="140">
        <v>2720</v>
      </c>
      <c r="F27" s="140">
        <v>2720</v>
      </c>
      <c r="G27" s="141">
        <v>2720</v>
      </c>
      <c r="H27" s="140">
        <v>2720</v>
      </c>
      <c r="I27" s="140">
        <v>2720</v>
      </c>
      <c r="J27" s="140">
        <v>2720</v>
      </c>
      <c r="K27" s="140">
        <v>2720</v>
      </c>
      <c r="L27" s="140">
        <v>2720</v>
      </c>
      <c r="M27" s="140">
        <v>2720</v>
      </c>
      <c r="N27" s="140">
        <v>2720</v>
      </c>
      <c r="O27" s="140">
        <v>2720</v>
      </c>
      <c r="P27" s="140">
        <v>2720</v>
      </c>
      <c r="Q27" s="140">
        <v>2720</v>
      </c>
      <c r="R27" s="140">
        <v>2720</v>
      </c>
      <c r="S27" s="140">
        <v>2720</v>
      </c>
      <c r="T27" s="140">
        <v>2720</v>
      </c>
      <c r="U27" s="140">
        <v>2720</v>
      </c>
      <c r="V27" s="140">
        <v>2720</v>
      </c>
      <c r="W27" s="140">
        <v>2720</v>
      </c>
      <c r="X27" s="140">
        <v>2720</v>
      </c>
      <c r="Y27" s="140">
        <v>2720</v>
      </c>
      <c r="Z27" s="140">
        <v>2720</v>
      </c>
      <c r="AA27" s="140">
        <v>2720</v>
      </c>
      <c r="AB27" s="140">
        <v>2720</v>
      </c>
      <c r="AC27" s="142">
        <v>2720</v>
      </c>
      <c r="AD27" s="142">
        <v>2720</v>
      </c>
      <c r="AE27" s="136">
        <v>2720</v>
      </c>
    </row>
  </sheetData>
  <mergeCells count="1">
    <mergeCell ref="A1:A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6BAF9-BB97-48C3-95D6-19FEF849A807}">
  <dimension ref="A1:AL27"/>
  <sheetViews>
    <sheetView workbookViewId="0">
      <selection activeCell="K16" sqref="K16"/>
    </sheetView>
  </sheetViews>
  <sheetFormatPr defaultRowHeight="15"/>
  <cols>
    <col min="1" max="1" width="26" style="20" customWidth="1"/>
    <col min="2" max="2" width="10.85546875" style="20" customWidth="1"/>
    <col min="3" max="6" width="8.7109375" style="20"/>
    <col min="7" max="7" width="9.28515625" style="20" customWidth="1"/>
    <col min="8" max="18" width="8.7109375" style="20"/>
    <col min="19" max="19" width="8.7109375" style="174"/>
    <col min="20" max="28" width="8.7109375" style="20"/>
    <col min="29" max="30" width="9.42578125" style="143" customWidth="1"/>
    <col min="31" max="32" width="8.7109375" style="144"/>
    <col min="33" max="33" width="11" customWidth="1"/>
    <col min="35" max="35" width="11.42578125" customWidth="1"/>
  </cols>
  <sheetData>
    <row r="1" spans="1:38"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row>
    <row r="2" spans="1:38" ht="15.75">
      <c r="A2" s="82"/>
      <c r="B2" s="83">
        <v>44166</v>
      </c>
      <c r="C2" s="83">
        <v>44167</v>
      </c>
      <c r="D2" s="83">
        <v>44168</v>
      </c>
      <c r="E2" s="83">
        <v>44169</v>
      </c>
      <c r="F2" s="83">
        <v>44170</v>
      </c>
      <c r="G2" s="83">
        <v>44171</v>
      </c>
      <c r="H2" s="83">
        <v>44172</v>
      </c>
      <c r="I2" s="83">
        <v>44173</v>
      </c>
      <c r="J2" s="83">
        <v>44174</v>
      </c>
      <c r="K2" s="83">
        <v>44175</v>
      </c>
      <c r="L2" s="83">
        <v>44176</v>
      </c>
      <c r="M2" s="83">
        <v>44177</v>
      </c>
      <c r="N2" s="83">
        <v>44178</v>
      </c>
      <c r="O2" s="83">
        <v>44179</v>
      </c>
      <c r="P2" s="83">
        <v>44180</v>
      </c>
      <c r="Q2" s="83">
        <v>44181</v>
      </c>
      <c r="R2" s="83">
        <v>44182</v>
      </c>
      <c r="S2" s="145">
        <v>44183</v>
      </c>
      <c r="T2" s="83">
        <v>44184</v>
      </c>
      <c r="U2" s="83">
        <v>44185</v>
      </c>
      <c r="V2" s="83">
        <v>44186</v>
      </c>
      <c r="W2" s="83">
        <v>44187</v>
      </c>
      <c r="X2" s="83">
        <v>44188</v>
      </c>
      <c r="Y2" s="83">
        <v>44189</v>
      </c>
      <c r="Z2" s="83">
        <v>44190</v>
      </c>
      <c r="AA2" s="83">
        <v>44191</v>
      </c>
      <c r="AB2" s="83">
        <v>44192</v>
      </c>
      <c r="AC2" s="83">
        <v>44193</v>
      </c>
      <c r="AD2" s="83">
        <v>44194</v>
      </c>
      <c r="AE2" s="83">
        <v>44195</v>
      </c>
      <c r="AF2" s="83">
        <v>44196</v>
      </c>
    </row>
    <row r="3" spans="1:38"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88" t="s">
        <v>52</v>
      </c>
      <c r="Y3" s="88" t="s">
        <v>52</v>
      </c>
      <c r="Z3" s="91" t="s">
        <v>53</v>
      </c>
      <c r="AA3" s="88" t="s">
        <v>52</v>
      </c>
      <c r="AB3" s="91" t="s">
        <v>53</v>
      </c>
      <c r="AC3" s="92" t="s">
        <v>52</v>
      </c>
      <c r="AD3" s="92" t="s">
        <v>52</v>
      </c>
      <c r="AE3" s="93" t="s">
        <v>52</v>
      </c>
      <c r="AF3" s="93" t="s">
        <v>52</v>
      </c>
    </row>
    <row r="4" spans="1:38">
      <c r="A4" s="94" t="s">
        <v>54</v>
      </c>
      <c r="B4" s="147">
        <v>120890</v>
      </c>
      <c r="C4" s="147">
        <v>121094</v>
      </c>
      <c r="D4" s="147">
        <v>121297</v>
      </c>
      <c r="E4" s="147">
        <v>121496</v>
      </c>
      <c r="F4" s="147">
        <v>121686</v>
      </c>
      <c r="G4" s="147">
        <v>121884</v>
      </c>
      <c r="H4" s="147">
        <v>122085</v>
      </c>
      <c r="I4" s="147">
        <v>122287</v>
      </c>
      <c r="J4" s="147">
        <v>122487</v>
      </c>
      <c r="K4" s="147">
        <v>122689</v>
      </c>
      <c r="L4" s="147">
        <v>122883</v>
      </c>
      <c r="M4" s="147">
        <v>123066</v>
      </c>
      <c r="N4" s="147">
        <v>123261</v>
      </c>
      <c r="O4" s="147">
        <v>123469</v>
      </c>
      <c r="P4" s="147">
        <v>123674</v>
      </c>
      <c r="Q4" s="147">
        <v>123880</v>
      </c>
      <c r="R4" s="147">
        <v>124087</v>
      </c>
      <c r="S4" s="95">
        <v>124281</v>
      </c>
      <c r="T4" s="148">
        <v>124475</v>
      </c>
      <c r="U4" s="148">
        <v>124682</v>
      </c>
      <c r="V4" s="148">
        <v>124881</v>
      </c>
      <c r="W4" s="148">
        <v>125082</v>
      </c>
      <c r="X4" s="148">
        <v>125282</v>
      </c>
      <c r="Y4" s="147">
        <v>125482</v>
      </c>
      <c r="Z4" s="95">
        <v>125673</v>
      </c>
      <c r="AA4" s="148">
        <v>125864</v>
      </c>
      <c r="AB4" s="148">
        <v>126061</v>
      </c>
      <c r="AC4" s="148">
        <v>126261</v>
      </c>
      <c r="AD4" s="148">
        <v>126463</v>
      </c>
      <c r="AE4" s="148">
        <v>126664</v>
      </c>
      <c r="AF4" s="148">
        <v>126865</v>
      </c>
      <c r="AG4" s="101"/>
      <c r="AI4" s="101"/>
      <c r="AL4" s="102"/>
    </row>
    <row r="5" spans="1:38">
      <c r="A5" s="94" t="s">
        <v>55</v>
      </c>
      <c r="B5" s="147">
        <v>2048408</v>
      </c>
      <c r="C5" s="147">
        <v>2055701</v>
      </c>
      <c r="D5" s="147">
        <v>2062996</v>
      </c>
      <c r="E5" s="147">
        <v>2070012</v>
      </c>
      <c r="F5" s="147">
        <v>2076417</v>
      </c>
      <c r="G5" s="147">
        <v>2083301</v>
      </c>
      <c r="H5" s="147">
        <v>2090575</v>
      </c>
      <c r="I5" s="147">
        <v>2098008</v>
      </c>
      <c r="J5" s="147">
        <v>2105276</v>
      </c>
      <c r="K5" s="147">
        <v>2112602</v>
      </c>
      <c r="L5" s="147">
        <v>2119537</v>
      </c>
      <c r="M5" s="147">
        <v>2125811</v>
      </c>
      <c r="N5" s="147">
        <v>2132572</v>
      </c>
      <c r="O5" s="147">
        <v>2140119</v>
      </c>
      <c r="P5" s="147">
        <v>2147446</v>
      </c>
      <c r="Q5" s="147">
        <v>2154889</v>
      </c>
      <c r="R5" s="147">
        <v>2162292</v>
      </c>
      <c r="S5" s="95">
        <v>2169518</v>
      </c>
      <c r="T5" s="148">
        <v>2176743</v>
      </c>
      <c r="U5" s="148">
        <v>2184338</v>
      </c>
      <c r="V5" s="148">
        <v>2191609</v>
      </c>
      <c r="W5" s="148">
        <v>2198897</v>
      </c>
      <c r="X5" s="148">
        <v>2206043</v>
      </c>
      <c r="Y5" s="147">
        <v>2213279</v>
      </c>
      <c r="Z5" s="95">
        <v>2220028</v>
      </c>
      <c r="AA5" s="148">
        <v>2226777</v>
      </c>
      <c r="AB5" s="148">
        <v>2233522</v>
      </c>
      <c r="AC5" s="148">
        <v>2240812</v>
      </c>
      <c r="AD5" s="148">
        <v>2248207</v>
      </c>
      <c r="AE5" s="148">
        <v>2255272</v>
      </c>
      <c r="AF5" s="148">
        <v>2262298</v>
      </c>
      <c r="AG5" s="101"/>
      <c r="AI5" s="101"/>
      <c r="AL5" s="102"/>
    </row>
    <row r="6" spans="1:38">
      <c r="A6" s="94" t="s">
        <v>56</v>
      </c>
      <c r="B6" s="147">
        <v>1103140</v>
      </c>
      <c r="C6" s="147">
        <v>1106129</v>
      </c>
      <c r="D6" s="147">
        <v>1109278</v>
      </c>
      <c r="E6" s="147">
        <v>1112335</v>
      </c>
      <c r="F6" s="147">
        <v>1115219</v>
      </c>
      <c r="G6" s="147">
        <v>1118073</v>
      </c>
      <c r="H6" s="147">
        <v>1121170</v>
      </c>
      <c r="I6" s="147">
        <v>1124150</v>
      </c>
      <c r="J6" s="147">
        <v>1127241</v>
      </c>
      <c r="K6" s="147">
        <v>1130379</v>
      </c>
      <c r="L6" s="147">
        <v>1133519</v>
      </c>
      <c r="M6" s="147">
        <v>1136455</v>
      </c>
      <c r="N6" s="147">
        <v>1139610</v>
      </c>
      <c r="O6" s="147">
        <v>1142852</v>
      </c>
      <c r="P6" s="147">
        <v>1146126</v>
      </c>
      <c r="Q6" s="147">
        <v>1149340</v>
      </c>
      <c r="R6" s="147">
        <v>1152515</v>
      </c>
      <c r="S6" s="95">
        <v>1155581</v>
      </c>
      <c r="T6" s="148">
        <v>1158646</v>
      </c>
      <c r="U6" s="148">
        <v>1161809</v>
      </c>
      <c r="V6" s="148">
        <v>1164999</v>
      </c>
      <c r="W6" s="148">
        <v>1168122</v>
      </c>
      <c r="X6" s="148">
        <v>1171292</v>
      </c>
      <c r="Y6" s="147">
        <v>1174568</v>
      </c>
      <c r="Z6" s="95">
        <v>1177502</v>
      </c>
      <c r="AA6" s="148">
        <v>1180435</v>
      </c>
      <c r="AB6" s="148">
        <v>1183425</v>
      </c>
      <c r="AC6" s="148">
        <v>1186703</v>
      </c>
      <c r="AD6" s="148">
        <v>1190256</v>
      </c>
      <c r="AE6" s="148">
        <v>1193792</v>
      </c>
      <c r="AF6" s="148">
        <v>1197243</v>
      </c>
      <c r="AG6" s="101"/>
      <c r="AI6" s="101"/>
      <c r="AL6" s="102"/>
    </row>
    <row r="7" spans="1:38">
      <c r="A7" s="94" t="s">
        <v>57</v>
      </c>
      <c r="B7" s="147">
        <v>4124257</v>
      </c>
      <c r="C7" s="147">
        <v>4124340</v>
      </c>
      <c r="D7" s="147">
        <v>4124423</v>
      </c>
      <c r="E7" s="147">
        <v>4124506</v>
      </c>
      <c r="F7" s="147">
        <v>4124591</v>
      </c>
      <c r="G7" s="147">
        <v>4124674</v>
      </c>
      <c r="H7" s="147">
        <v>4124759</v>
      </c>
      <c r="I7" s="147">
        <v>4124840</v>
      </c>
      <c r="J7" s="147">
        <v>4124923</v>
      </c>
      <c r="K7" s="147">
        <v>4125005</v>
      </c>
      <c r="L7" s="147">
        <v>4125089</v>
      </c>
      <c r="M7" s="147">
        <v>4125174</v>
      </c>
      <c r="N7" s="147">
        <v>4125255</v>
      </c>
      <c r="O7" s="147">
        <v>4125335</v>
      </c>
      <c r="P7" s="147">
        <v>4125416</v>
      </c>
      <c r="Q7" s="147">
        <v>4125498</v>
      </c>
      <c r="R7" s="147">
        <v>4125580</v>
      </c>
      <c r="S7" s="95">
        <v>4125758</v>
      </c>
      <c r="T7" s="148">
        <v>4125936</v>
      </c>
      <c r="U7" s="148">
        <v>4133321</v>
      </c>
      <c r="V7" s="148">
        <v>4140514</v>
      </c>
      <c r="W7" s="148">
        <v>4147547</v>
      </c>
      <c r="X7" s="148">
        <v>4154521</v>
      </c>
      <c r="Y7" s="147">
        <v>4161394</v>
      </c>
      <c r="Z7" s="95">
        <v>4168226</v>
      </c>
      <c r="AA7" s="148">
        <v>4175057</v>
      </c>
      <c r="AB7" s="148">
        <v>4181320</v>
      </c>
      <c r="AC7" s="148">
        <v>4187805</v>
      </c>
      <c r="AD7" s="148">
        <v>4195205</v>
      </c>
      <c r="AE7" s="148">
        <v>4202249</v>
      </c>
      <c r="AF7" s="148">
        <v>4209313</v>
      </c>
      <c r="AG7" s="101"/>
      <c r="AI7" s="101"/>
      <c r="AL7" s="102"/>
    </row>
    <row r="8" spans="1:38">
      <c r="A8" s="94" t="s">
        <v>58</v>
      </c>
      <c r="B8" s="147">
        <v>1622567</v>
      </c>
      <c r="C8" s="147">
        <v>1625346</v>
      </c>
      <c r="D8" s="147">
        <v>1628293</v>
      </c>
      <c r="E8" s="147">
        <v>1631135</v>
      </c>
      <c r="F8" s="147">
        <v>1633911</v>
      </c>
      <c r="G8" s="147">
        <v>1636828</v>
      </c>
      <c r="H8" s="147">
        <v>1639547</v>
      </c>
      <c r="I8" s="147">
        <v>1642216</v>
      </c>
      <c r="J8" s="147">
        <v>1644710</v>
      </c>
      <c r="K8" s="147">
        <v>1647066</v>
      </c>
      <c r="L8" s="147">
        <v>1649449</v>
      </c>
      <c r="M8" s="147">
        <v>1651766</v>
      </c>
      <c r="N8" s="147">
        <v>1654054</v>
      </c>
      <c r="O8" s="147">
        <v>1656072</v>
      </c>
      <c r="P8" s="147">
        <v>1657979</v>
      </c>
      <c r="Q8" s="147">
        <v>1660432</v>
      </c>
      <c r="R8" s="147">
        <v>1662922</v>
      </c>
      <c r="S8" s="95">
        <v>1665402</v>
      </c>
      <c r="T8" s="148">
        <v>1667881</v>
      </c>
      <c r="U8" s="148">
        <v>1667881</v>
      </c>
      <c r="V8" s="148">
        <v>1667881</v>
      </c>
      <c r="W8" s="148">
        <v>1667881</v>
      </c>
      <c r="X8" s="148">
        <v>1667881</v>
      </c>
      <c r="Y8" s="147">
        <v>1667881</v>
      </c>
      <c r="Z8" s="95">
        <v>1667881</v>
      </c>
      <c r="AA8" s="148">
        <v>1667881</v>
      </c>
      <c r="AB8" s="148">
        <v>1667881</v>
      </c>
      <c r="AC8" s="148">
        <v>1667881</v>
      </c>
      <c r="AD8" s="148">
        <v>1667881</v>
      </c>
      <c r="AE8" s="148">
        <v>1667881</v>
      </c>
      <c r="AF8" s="148">
        <v>1667881</v>
      </c>
      <c r="AG8" s="101"/>
      <c r="AI8" s="101"/>
      <c r="AL8" s="102"/>
    </row>
    <row r="9" spans="1:38">
      <c r="A9" s="94" t="s">
        <v>59</v>
      </c>
      <c r="B9" s="147">
        <v>9685240</v>
      </c>
      <c r="C9" s="147">
        <v>9694150</v>
      </c>
      <c r="D9" s="147">
        <v>9702417</v>
      </c>
      <c r="E9" s="147">
        <v>9710521</v>
      </c>
      <c r="F9" s="147">
        <v>9718706</v>
      </c>
      <c r="G9" s="147">
        <v>9726975</v>
      </c>
      <c r="H9" s="147">
        <v>9735142</v>
      </c>
      <c r="I9" s="147">
        <v>9743152</v>
      </c>
      <c r="J9" s="147">
        <v>9751259</v>
      </c>
      <c r="K9" s="147">
        <v>9760069</v>
      </c>
      <c r="L9" s="147">
        <v>9768474</v>
      </c>
      <c r="M9" s="147">
        <v>9776725</v>
      </c>
      <c r="N9" s="147">
        <v>9784414</v>
      </c>
      <c r="O9" s="147">
        <v>9792502</v>
      </c>
      <c r="P9" s="147">
        <v>9800964</v>
      </c>
      <c r="Q9" s="147">
        <v>9809860</v>
      </c>
      <c r="R9" s="147">
        <v>9818913</v>
      </c>
      <c r="S9" s="95">
        <v>9827745</v>
      </c>
      <c r="T9" s="148">
        <v>9836576</v>
      </c>
      <c r="U9" s="148">
        <v>9845515</v>
      </c>
      <c r="V9" s="148">
        <v>9853899</v>
      </c>
      <c r="W9" s="148">
        <v>9862570</v>
      </c>
      <c r="X9" s="148">
        <v>9871274</v>
      </c>
      <c r="Y9" s="147">
        <v>9879772</v>
      </c>
      <c r="Z9" s="95">
        <v>9888032</v>
      </c>
      <c r="AA9" s="148">
        <v>9896292</v>
      </c>
      <c r="AB9" s="148">
        <v>9904149</v>
      </c>
      <c r="AC9" s="148">
        <v>9912172</v>
      </c>
      <c r="AD9" s="148">
        <v>9920175</v>
      </c>
      <c r="AE9" s="148">
        <v>9928226</v>
      </c>
      <c r="AF9" s="148">
        <v>9935710</v>
      </c>
      <c r="AG9" s="101"/>
      <c r="AI9" s="101"/>
      <c r="AL9" s="102"/>
    </row>
    <row r="10" spans="1:38">
      <c r="A10" s="94" t="s">
        <v>60</v>
      </c>
      <c r="B10" s="147">
        <v>1690049</v>
      </c>
      <c r="C10" s="147">
        <v>1696371</v>
      </c>
      <c r="D10" s="147">
        <v>1702380</v>
      </c>
      <c r="E10" s="147">
        <v>1708605</v>
      </c>
      <c r="F10" s="147">
        <v>1714415</v>
      </c>
      <c r="G10" s="147">
        <v>1720591</v>
      </c>
      <c r="H10" s="147">
        <v>1726559</v>
      </c>
      <c r="I10" s="147">
        <v>1732748</v>
      </c>
      <c r="J10" s="147">
        <v>1738743</v>
      </c>
      <c r="K10" s="147">
        <v>1744922</v>
      </c>
      <c r="L10" s="147">
        <v>1750880</v>
      </c>
      <c r="M10" s="147">
        <v>1756613</v>
      </c>
      <c r="N10" s="147">
        <v>1762424</v>
      </c>
      <c r="O10" s="147">
        <v>1768506</v>
      </c>
      <c r="P10" s="147">
        <v>1774496</v>
      </c>
      <c r="Q10" s="147">
        <v>1780597</v>
      </c>
      <c r="R10" s="147">
        <v>1786643</v>
      </c>
      <c r="S10" s="95">
        <v>1792421</v>
      </c>
      <c r="T10" s="148">
        <v>1798199</v>
      </c>
      <c r="U10" s="148">
        <v>1803806</v>
      </c>
      <c r="V10" s="148">
        <v>1809464</v>
      </c>
      <c r="W10" s="148">
        <v>1815169</v>
      </c>
      <c r="X10" s="148">
        <v>1820816</v>
      </c>
      <c r="Y10" s="147">
        <v>1826127</v>
      </c>
      <c r="Z10" s="95">
        <v>1831405</v>
      </c>
      <c r="AA10" s="148">
        <v>1836682</v>
      </c>
      <c r="AB10" s="148">
        <v>1841970</v>
      </c>
      <c r="AC10" s="148">
        <v>1847432</v>
      </c>
      <c r="AD10" s="148">
        <v>1852914</v>
      </c>
      <c r="AE10" s="148">
        <v>1858854</v>
      </c>
      <c r="AF10" s="148">
        <v>1864804</v>
      </c>
      <c r="AG10" s="101"/>
      <c r="AI10" s="101"/>
      <c r="AL10" s="102"/>
    </row>
    <row r="11" spans="1:38">
      <c r="A11" s="94" t="s">
        <v>61</v>
      </c>
      <c r="B11" s="149">
        <v>94284</v>
      </c>
      <c r="C11" s="149">
        <v>94463</v>
      </c>
      <c r="D11" s="149">
        <v>94641</v>
      </c>
      <c r="E11" s="149">
        <v>94810</v>
      </c>
      <c r="F11" s="149">
        <v>94967</v>
      </c>
      <c r="G11" s="149">
        <v>95137</v>
      </c>
      <c r="H11" s="149">
        <v>95321</v>
      </c>
      <c r="I11" s="149">
        <v>95504</v>
      </c>
      <c r="J11" s="149">
        <v>95681</v>
      </c>
      <c r="K11" s="149">
        <v>95857</v>
      </c>
      <c r="L11" s="149">
        <v>96023</v>
      </c>
      <c r="M11" s="149">
        <v>96173</v>
      </c>
      <c r="N11" s="149">
        <v>96335</v>
      </c>
      <c r="O11" s="149">
        <v>96509</v>
      </c>
      <c r="P11" s="149">
        <v>96680</v>
      </c>
      <c r="Q11" s="149">
        <v>96849</v>
      </c>
      <c r="R11" s="149">
        <v>97010</v>
      </c>
      <c r="S11" s="150">
        <v>97160</v>
      </c>
      <c r="T11" s="151">
        <v>97309</v>
      </c>
      <c r="U11" s="151">
        <v>97468</v>
      </c>
      <c r="V11" s="151">
        <v>97629</v>
      </c>
      <c r="W11" s="151">
        <v>97793</v>
      </c>
      <c r="X11" s="151">
        <v>97957</v>
      </c>
      <c r="Y11" s="149">
        <v>98121</v>
      </c>
      <c r="Z11" s="150">
        <v>98271</v>
      </c>
      <c r="AA11" s="151">
        <v>98420</v>
      </c>
      <c r="AB11" s="151">
        <v>98571</v>
      </c>
      <c r="AC11" s="151">
        <v>98731</v>
      </c>
      <c r="AD11" s="151">
        <v>98899</v>
      </c>
      <c r="AE11" s="148">
        <v>99068</v>
      </c>
      <c r="AF11" s="148">
        <v>99257</v>
      </c>
      <c r="AG11" s="101"/>
      <c r="AI11" s="101"/>
      <c r="AL11" s="102"/>
    </row>
    <row r="12" spans="1:38" s="109" customFormat="1" ht="18" customHeight="1">
      <c r="A12" s="103" t="s">
        <v>62</v>
      </c>
      <c r="B12" s="152">
        <f>SUM(B4:B11)</f>
        <v>20488835</v>
      </c>
      <c r="C12" s="152">
        <f t="shared" ref="C12:AF12" si="0">SUM(C4:C11)</f>
        <v>20517594</v>
      </c>
      <c r="D12" s="152">
        <f t="shared" si="0"/>
        <v>20545725</v>
      </c>
      <c r="E12" s="152">
        <f t="shared" si="0"/>
        <v>20573420</v>
      </c>
      <c r="F12" s="152">
        <f t="shared" si="0"/>
        <v>20599912</v>
      </c>
      <c r="G12" s="152">
        <f t="shared" si="0"/>
        <v>20627463</v>
      </c>
      <c r="H12" s="152">
        <f t="shared" si="0"/>
        <v>20655158</v>
      </c>
      <c r="I12" s="152">
        <f t="shared" si="0"/>
        <v>20682905</v>
      </c>
      <c r="J12" s="152">
        <f t="shared" si="0"/>
        <v>20710320</v>
      </c>
      <c r="K12" s="152">
        <f t="shared" si="0"/>
        <v>20738589</v>
      </c>
      <c r="L12" s="152">
        <f t="shared" si="0"/>
        <v>20765854</v>
      </c>
      <c r="M12" s="152">
        <f t="shared" si="0"/>
        <v>20791783</v>
      </c>
      <c r="N12" s="152">
        <f t="shared" si="0"/>
        <v>20817925</v>
      </c>
      <c r="O12" s="152">
        <f t="shared" si="0"/>
        <v>20845364</v>
      </c>
      <c r="P12" s="152">
        <f t="shared" si="0"/>
        <v>20872781</v>
      </c>
      <c r="Q12" s="152">
        <f t="shared" si="0"/>
        <v>20901345</v>
      </c>
      <c r="R12" s="152">
        <f t="shared" si="0"/>
        <v>20929962</v>
      </c>
      <c r="S12" s="153">
        <f t="shared" si="0"/>
        <v>20957866</v>
      </c>
      <c r="T12" s="152">
        <f t="shared" si="0"/>
        <v>20985765</v>
      </c>
      <c r="U12" s="152">
        <f t="shared" si="0"/>
        <v>21018820</v>
      </c>
      <c r="V12" s="152">
        <f t="shared" si="0"/>
        <v>21050876</v>
      </c>
      <c r="W12" s="152">
        <f t="shared" si="0"/>
        <v>21083061</v>
      </c>
      <c r="X12" s="152">
        <f t="shared" si="0"/>
        <v>21115066</v>
      </c>
      <c r="Y12" s="152">
        <f t="shared" si="0"/>
        <v>21146624</v>
      </c>
      <c r="Z12" s="153">
        <f t="shared" si="0"/>
        <v>21177018</v>
      </c>
      <c r="AA12" s="152">
        <f t="shared" si="0"/>
        <v>21207408</v>
      </c>
      <c r="AB12" s="152">
        <f t="shared" si="0"/>
        <v>21236899</v>
      </c>
      <c r="AC12" s="152">
        <f t="shared" si="0"/>
        <v>21267797</v>
      </c>
      <c r="AD12" s="152">
        <f t="shared" si="0"/>
        <v>21300000</v>
      </c>
      <c r="AE12" s="152">
        <f t="shared" si="0"/>
        <v>21332006</v>
      </c>
      <c r="AF12" s="152">
        <f t="shared" si="0"/>
        <v>21363371</v>
      </c>
    </row>
    <row r="13" spans="1:38" ht="25.5">
      <c r="A13" s="87" t="s">
        <v>63</v>
      </c>
      <c r="B13" s="154" t="s">
        <v>65</v>
      </c>
      <c r="C13" s="154" t="s">
        <v>65</v>
      </c>
      <c r="D13" s="154" t="s">
        <v>65</v>
      </c>
      <c r="E13" s="154" t="s">
        <v>65</v>
      </c>
      <c r="F13" s="154" t="s">
        <v>65</v>
      </c>
      <c r="G13" s="154" t="s">
        <v>65</v>
      </c>
      <c r="H13" s="154" t="s">
        <v>65</v>
      </c>
      <c r="I13" s="154" t="s">
        <v>65</v>
      </c>
      <c r="J13" s="154" t="s">
        <v>65</v>
      </c>
      <c r="K13" s="154" t="s">
        <v>65</v>
      </c>
      <c r="L13" s="154" t="s">
        <v>65</v>
      </c>
      <c r="M13" s="154" t="s">
        <v>65</v>
      </c>
      <c r="N13" s="154" t="s">
        <v>65</v>
      </c>
      <c r="O13" s="154" t="s">
        <v>65</v>
      </c>
      <c r="P13" s="154" t="s">
        <v>65</v>
      </c>
      <c r="Q13" s="154" t="s">
        <v>65</v>
      </c>
      <c r="R13" s="154" t="s">
        <v>65</v>
      </c>
      <c r="S13" s="155" t="s">
        <v>64</v>
      </c>
      <c r="T13" s="154" t="s">
        <v>65</v>
      </c>
      <c r="U13" s="154" t="s">
        <v>65</v>
      </c>
      <c r="V13" s="154" t="s">
        <v>65</v>
      </c>
      <c r="W13" s="154" t="s">
        <v>65</v>
      </c>
      <c r="X13" s="154" t="s">
        <v>65</v>
      </c>
      <c r="Y13" s="154" t="s">
        <v>65</v>
      </c>
      <c r="Z13" s="155" t="s">
        <v>64</v>
      </c>
      <c r="AA13" s="154" t="s">
        <v>65</v>
      </c>
      <c r="AB13" s="154" t="s">
        <v>65</v>
      </c>
      <c r="AC13" s="154" t="s">
        <v>65</v>
      </c>
      <c r="AD13" s="154" t="s">
        <v>65</v>
      </c>
      <c r="AE13" s="156" t="s">
        <v>65</v>
      </c>
      <c r="AF13" s="157" t="s">
        <v>65</v>
      </c>
    </row>
    <row r="14" spans="1:38" ht="25.5">
      <c r="A14" s="87" t="s">
        <v>66</v>
      </c>
      <c r="B14" s="158">
        <v>153646.48000000001</v>
      </c>
      <c r="C14" s="158">
        <v>153646.48000000001</v>
      </c>
      <c r="D14" s="158">
        <v>153646.48000000001</v>
      </c>
      <c r="E14" s="158">
        <v>153646.48000000001</v>
      </c>
      <c r="F14" s="158">
        <v>154508.46</v>
      </c>
      <c r="G14" s="158">
        <v>154508.46</v>
      </c>
      <c r="H14" s="158">
        <v>154508.46</v>
      </c>
      <c r="I14" s="158">
        <v>154508.46</v>
      </c>
      <c r="J14" s="158">
        <v>154508.46</v>
      </c>
      <c r="K14" s="158">
        <v>154508.46</v>
      </c>
      <c r="L14" s="158">
        <v>154508.46</v>
      </c>
      <c r="M14" s="158">
        <v>155324.46</v>
      </c>
      <c r="N14" s="158">
        <v>155324.46</v>
      </c>
      <c r="O14" s="158">
        <v>155324.46</v>
      </c>
      <c r="P14" s="158">
        <v>155324.46</v>
      </c>
      <c r="Q14" s="158">
        <v>155324.46</v>
      </c>
      <c r="R14" s="158">
        <v>155324.46</v>
      </c>
      <c r="S14" s="159">
        <v>155324.46</v>
      </c>
      <c r="T14" s="158">
        <v>156224.76</v>
      </c>
      <c r="U14" s="158">
        <v>155324.46</v>
      </c>
      <c r="V14" s="158">
        <v>155324.46</v>
      </c>
      <c r="W14" s="158">
        <v>155324.46</v>
      </c>
      <c r="X14" s="158">
        <v>155324.46</v>
      </c>
      <c r="Y14" s="158">
        <v>156224.76</v>
      </c>
      <c r="Z14" s="112">
        <v>156626</v>
      </c>
      <c r="AA14" s="158">
        <v>157026.67000000001</v>
      </c>
      <c r="AB14" s="158">
        <v>157026.67000000001</v>
      </c>
      <c r="AC14" s="158">
        <v>157026.67000000001</v>
      </c>
      <c r="AD14" s="158">
        <v>157026.67000000001</v>
      </c>
      <c r="AE14" s="158">
        <v>157026.67000000001</v>
      </c>
      <c r="AF14" s="158">
        <v>157026.67000000001</v>
      </c>
    </row>
    <row r="15" spans="1:38" ht="25.5">
      <c r="A15" s="87" t="s">
        <v>67</v>
      </c>
      <c r="B15" s="160">
        <v>683</v>
      </c>
      <c r="C15" s="160">
        <v>683</v>
      </c>
      <c r="D15" s="160">
        <v>683</v>
      </c>
      <c r="E15" s="160">
        <v>683</v>
      </c>
      <c r="F15" s="160">
        <v>683</v>
      </c>
      <c r="G15" s="160">
        <v>683</v>
      </c>
      <c r="H15" s="160">
        <v>683</v>
      </c>
      <c r="I15" s="160">
        <v>683</v>
      </c>
      <c r="J15" s="160">
        <v>683</v>
      </c>
      <c r="K15" s="160">
        <v>683</v>
      </c>
      <c r="L15" s="160">
        <v>683</v>
      </c>
      <c r="M15" s="160">
        <v>683</v>
      </c>
      <c r="N15" s="160">
        <v>683</v>
      </c>
      <c r="O15" s="160">
        <v>683</v>
      </c>
      <c r="P15" s="160">
        <v>683</v>
      </c>
      <c r="Q15" s="160">
        <v>683</v>
      </c>
      <c r="R15" s="160">
        <v>683</v>
      </c>
      <c r="S15" s="116">
        <v>681</v>
      </c>
      <c r="T15" s="160">
        <v>689</v>
      </c>
      <c r="U15" s="160">
        <v>704</v>
      </c>
      <c r="V15" s="160">
        <v>801</v>
      </c>
      <c r="W15" s="160">
        <v>801</v>
      </c>
      <c r="X15" s="160">
        <v>801</v>
      </c>
      <c r="Y15" s="160">
        <v>802</v>
      </c>
      <c r="Z15" s="116">
        <v>802</v>
      </c>
      <c r="AA15" s="160">
        <v>802</v>
      </c>
      <c r="AB15" s="160">
        <v>802</v>
      </c>
      <c r="AC15" s="160">
        <v>802</v>
      </c>
      <c r="AD15" s="160">
        <v>804</v>
      </c>
      <c r="AE15" s="160">
        <v>804</v>
      </c>
      <c r="AF15" s="160">
        <v>804</v>
      </c>
    </row>
    <row r="16" spans="1:38" ht="25.5">
      <c r="A16" s="87" t="s">
        <v>68</v>
      </c>
      <c r="B16" s="160">
        <v>3987</v>
      </c>
      <c r="C16" s="160">
        <v>3987</v>
      </c>
      <c r="D16" s="160">
        <v>3987</v>
      </c>
      <c r="E16" s="160">
        <v>3987</v>
      </c>
      <c r="F16" s="160">
        <v>3987</v>
      </c>
      <c r="G16" s="160">
        <v>3987</v>
      </c>
      <c r="H16" s="160">
        <v>3987</v>
      </c>
      <c r="I16" s="160">
        <v>3987</v>
      </c>
      <c r="J16" s="160">
        <v>3987</v>
      </c>
      <c r="K16" s="160">
        <v>3987</v>
      </c>
      <c r="L16" s="160">
        <v>3987</v>
      </c>
      <c r="M16" s="160">
        <v>3987</v>
      </c>
      <c r="N16" s="160">
        <v>3987</v>
      </c>
      <c r="O16" s="160">
        <v>3987</v>
      </c>
      <c r="P16" s="160">
        <v>3987</v>
      </c>
      <c r="Q16" s="160">
        <v>3987</v>
      </c>
      <c r="R16" s="160">
        <v>3987</v>
      </c>
      <c r="S16" s="116">
        <v>3987</v>
      </c>
      <c r="T16" s="160">
        <v>3987</v>
      </c>
      <c r="U16" s="160">
        <v>3987</v>
      </c>
      <c r="V16" s="160">
        <v>3987</v>
      </c>
      <c r="W16" s="160">
        <v>3987</v>
      </c>
      <c r="X16" s="160">
        <v>3987</v>
      </c>
      <c r="Y16" s="160">
        <v>3987</v>
      </c>
      <c r="Z16" s="161">
        <v>3987</v>
      </c>
      <c r="AA16" s="160">
        <v>3987</v>
      </c>
      <c r="AB16" s="160">
        <v>3987</v>
      </c>
      <c r="AC16" s="160">
        <v>3987</v>
      </c>
      <c r="AD16" s="160">
        <v>3987</v>
      </c>
      <c r="AE16" s="160">
        <v>3987</v>
      </c>
      <c r="AF16" s="160">
        <v>3987</v>
      </c>
    </row>
    <row r="17" spans="1:32">
      <c r="A17" s="121"/>
      <c r="B17" s="162"/>
      <c r="C17" s="162"/>
      <c r="D17" s="162"/>
      <c r="E17" s="162"/>
      <c r="F17" s="162"/>
      <c r="G17" s="162"/>
      <c r="H17" s="162"/>
      <c r="I17" s="162"/>
      <c r="J17" s="162"/>
      <c r="K17" s="162"/>
      <c r="L17" s="162"/>
      <c r="M17" s="162"/>
      <c r="N17" s="162"/>
      <c r="O17" s="162"/>
      <c r="P17" s="162"/>
      <c r="Q17" s="162"/>
      <c r="R17" s="162"/>
      <c r="S17" s="122"/>
      <c r="T17" s="162"/>
      <c r="U17" s="162"/>
      <c r="V17" s="162"/>
      <c r="W17" s="162"/>
      <c r="X17" s="162"/>
      <c r="Y17" s="162"/>
      <c r="Z17" s="122"/>
      <c r="AA17" s="162"/>
      <c r="AB17" s="162"/>
      <c r="AC17" s="162"/>
      <c r="AD17" s="162"/>
      <c r="AE17" s="162"/>
      <c r="AF17" s="162"/>
    </row>
    <row r="18" spans="1:32" ht="25.5">
      <c r="A18" s="87" t="s">
        <v>69</v>
      </c>
      <c r="B18" s="157" t="s">
        <v>65</v>
      </c>
      <c r="C18" s="157" t="s">
        <v>65</v>
      </c>
      <c r="D18" s="157" t="s">
        <v>65</v>
      </c>
      <c r="E18" s="157" t="s">
        <v>65</v>
      </c>
      <c r="F18" s="157" t="s">
        <v>65</v>
      </c>
      <c r="G18" s="157" t="s">
        <v>65</v>
      </c>
      <c r="H18" s="157" t="s">
        <v>65</v>
      </c>
      <c r="I18" s="157" t="s">
        <v>65</v>
      </c>
      <c r="J18" s="157" t="s">
        <v>65</v>
      </c>
      <c r="K18" s="157" t="s">
        <v>65</v>
      </c>
      <c r="L18" s="157" t="s">
        <v>65</v>
      </c>
      <c r="M18" s="157" t="s">
        <v>65</v>
      </c>
      <c r="N18" s="157" t="s">
        <v>65</v>
      </c>
      <c r="O18" s="157" t="s">
        <v>65</v>
      </c>
      <c r="P18" s="157" t="s">
        <v>65</v>
      </c>
      <c r="Q18" s="157" t="s">
        <v>65</v>
      </c>
      <c r="R18" s="157" t="s">
        <v>65</v>
      </c>
      <c r="S18" s="163" t="s">
        <v>64</v>
      </c>
      <c r="T18" s="157" t="s">
        <v>65</v>
      </c>
      <c r="U18" s="157" t="s">
        <v>65</v>
      </c>
      <c r="V18" s="157" t="s">
        <v>65</v>
      </c>
      <c r="W18" s="157" t="s">
        <v>65</v>
      </c>
      <c r="X18" s="157" t="s">
        <v>65</v>
      </c>
      <c r="Y18" s="157" t="s">
        <v>65</v>
      </c>
      <c r="Z18" s="163" t="s">
        <v>64</v>
      </c>
      <c r="AA18" s="157" t="s">
        <v>65</v>
      </c>
      <c r="AB18" s="157" t="s">
        <v>65</v>
      </c>
      <c r="AC18" s="157" t="s">
        <v>65</v>
      </c>
      <c r="AD18" s="157" t="s">
        <v>65</v>
      </c>
      <c r="AE18" s="156" t="s">
        <v>65</v>
      </c>
      <c r="AF18" s="157" t="s">
        <v>65</v>
      </c>
    </row>
    <row r="19" spans="1:32" ht="25.5">
      <c r="A19" s="127" t="s">
        <v>70</v>
      </c>
      <c r="B19" s="164">
        <v>38126.9</v>
      </c>
      <c r="C19" s="164">
        <v>38171.699999999997</v>
      </c>
      <c r="D19" s="164">
        <v>38213.800000000003</v>
      </c>
      <c r="E19" s="164">
        <v>38256.400000000001</v>
      </c>
      <c r="F19" s="164">
        <v>38295.5</v>
      </c>
      <c r="G19" s="164">
        <v>38329.599999999999</v>
      </c>
      <c r="H19" s="164">
        <v>38375.800000000003</v>
      </c>
      <c r="I19" s="164">
        <v>38417.1</v>
      </c>
      <c r="J19" s="164">
        <v>38448.199999999997</v>
      </c>
      <c r="K19" s="164">
        <v>38512.300000000003</v>
      </c>
      <c r="L19" s="164">
        <v>38595.4</v>
      </c>
      <c r="M19" s="164">
        <v>38633.1</v>
      </c>
      <c r="N19" s="164">
        <v>38643.699999999997</v>
      </c>
      <c r="O19" s="164">
        <v>38667.199999999997</v>
      </c>
      <c r="P19" s="164">
        <v>38682.699999999997</v>
      </c>
      <c r="Q19" s="164">
        <v>38710.5</v>
      </c>
      <c r="R19" s="164">
        <v>38732.300000000003</v>
      </c>
      <c r="S19" s="165">
        <v>38756.9</v>
      </c>
      <c r="T19" s="164">
        <v>38781.4</v>
      </c>
      <c r="U19" s="164">
        <v>38805.5</v>
      </c>
      <c r="V19" s="164">
        <v>38830.5</v>
      </c>
      <c r="W19" s="160">
        <v>38855</v>
      </c>
      <c r="X19" s="164">
        <v>38876.800000000003</v>
      </c>
      <c r="Y19" s="164">
        <v>38902.5</v>
      </c>
      <c r="Z19" s="166">
        <v>38927</v>
      </c>
      <c r="AA19" s="164">
        <v>38951.199999999997</v>
      </c>
      <c r="AB19" s="164">
        <v>38987.199999999997</v>
      </c>
      <c r="AC19" s="164">
        <v>38999.300000000003</v>
      </c>
      <c r="AD19" s="164">
        <v>39025.300000000003</v>
      </c>
      <c r="AE19" s="160">
        <v>39047</v>
      </c>
      <c r="AF19" s="164">
        <v>39067.1</v>
      </c>
    </row>
    <row r="20" spans="1:32" ht="38.25">
      <c r="A20" s="87" t="s">
        <v>71</v>
      </c>
      <c r="B20" s="167" t="s">
        <v>82</v>
      </c>
      <c r="C20" s="167" t="s">
        <v>83</v>
      </c>
      <c r="D20" s="167" t="s">
        <v>84</v>
      </c>
      <c r="E20" s="167" t="s">
        <v>84</v>
      </c>
      <c r="F20" s="167" t="s">
        <v>83</v>
      </c>
      <c r="G20" s="167" t="s">
        <v>85</v>
      </c>
      <c r="H20" s="167" t="s">
        <v>86</v>
      </c>
      <c r="I20" s="167" t="s">
        <v>87</v>
      </c>
      <c r="J20" s="167" t="s">
        <v>87</v>
      </c>
      <c r="K20" s="167" t="s">
        <v>88</v>
      </c>
      <c r="L20" s="167" t="s">
        <v>88</v>
      </c>
      <c r="M20" s="167" t="s">
        <v>88</v>
      </c>
      <c r="N20" s="167" t="s">
        <v>89</v>
      </c>
      <c r="O20" s="167" t="s">
        <v>89</v>
      </c>
      <c r="P20" s="167" t="s">
        <v>90</v>
      </c>
      <c r="Q20" s="167" t="s">
        <v>91</v>
      </c>
      <c r="R20" s="167" t="s">
        <v>91</v>
      </c>
      <c r="S20" s="168" t="s">
        <v>92</v>
      </c>
      <c r="T20" s="167" t="s">
        <v>93</v>
      </c>
      <c r="U20" s="167" t="s">
        <v>90</v>
      </c>
      <c r="V20" s="167" t="s">
        <v>94</v>
      </c>
      <c r="W20" s="167" t="s">
        <v>94</v>
      </c>
      <c r="X20" s="167" t="s">
        <v>95</v>
      </c>
      <c r="Y20" s="167" t="s">
        <v>96</v>
      </c>
      <c r="Z20" s="168" t="s">
        <v>97</v>
      </c>
      <c r="AA20" s="167" t="s">
        <v>98</v>
      </c>
      <c r="AB20" s="167" t="s">
        <v>99</v>
      </c>
      <c r="AC20" s="167" t="s">
        <v>100</v>
      </c>
      <c r="AD20" s="167" t="s">
        <v>101</v>
      </c>
      <c r="AE20" s="168" t="s">
        <v>102</v>
      </c>
      <c r="AF20" s="167" t="s">
        <v>103</v>
      </c>
    </row>
    <row r="21" spans="1:32" ht="25.5">
      <c r="A21" s="87" t="s">
        <v>72</v>
      </c>
      <c r="B21" s="160">
        <v>14875</v>
      </c>
      <c r="C21" s="160">
        <v>14875</v>
      </c>
      <c r="D21" s="160">
        <v>14875</v>
      </c>
      <c r="E21" s="160">
        <v>14875</v>
      </c>
      <c r="F21" s="160">
        <v>15737</v>
      </c>
      <c r="G21" s="160">
        <v>15737</v>
      </c>
      <c r="H21" s="169"/>
      <c r="I21" s="169"/>
      <c r="J21" s="160">
        <v>14875</v>
      </c>
      <c r="K21" s="160">
        <v>14875</v>
      </c>
      <c r="L21" s="160">
        <v>14875</v>
      </c>
      <c r="M21" s="160">
        <v>15672</v>
      </c>
      <c r="N21" s="160">
        <v>15672</v>
      </c>
      <c r="O21" s="160">
        <v>15672</v>
      </c>
      <c r="P21" s="160">
        <v>15672</v>
      </c>
      <c r="Q21" s="160">
        <v>15672</v>
      </c>
      <c r="R21" s="160">
        <v>15672</v>
      </c>
      <c r="S21" s="161">
        <v>15672</v>
      </c>
      <c r="T21" s="160">
        <v>17323</v>
      </c>
      <c r="U21" s="160">
        <v>15672</v>
      </c>
      <c r="V21" s="160">
        <v>15672</v>
      </c>
      <c r="W21" s="160">
        <v>15672</v>
      </c>
      <c r="X21" s="160">
        <v>15672</v>
      </c>
      <c r="Y21" s="160">
        <v>17323</v>
      </c>
      <c r="Z21" s="161">
        <v>17323</v>
      </c>
      <c r="AA21" s="160">
        <v>17923</v>
      </c>
      <c r="AB21" s="160">
        <v>17923</v>
      </c>
      <c r="AC21" s="160">
        <v>17923</v>
      </c>
      <c r="AD21" s="160">
        <v>17923</v>
      </c>
      <c r="AE21" s="160">
        <v>17923</v>
      </c>
      <c r="AF21" s="160">
        <v>17923</v>
      </c>
    </row>
    <row r="22" spans="1:32" ht="25.5">
      <c r="A22" s="87" t="s">
        <v>73</v>
      </c>
      <c r="B22" s="160">
        <v>100514</v>
      </c>
      <c r="C22" s="160">
        <v>100583</v>
      </c>
      <c r="D22" s="160">
        <v>100664</v>
      </c>
      <c r="E22" s="160">
        <v>100664</v>
      </c>
      <c r="F22" s="160">
        <v>100812</v>
      </c>
      <c r="G22" s="160">
        <v>100885</v>
      </c>
      <c r="H22" s="160">
        <v>100953</v>
      </c>
      <c r="I22" s="160">
        <v>101019</v>
      </c>
      <c r="J22" s="160">
        <v>101088</v>
      </c>
      <c r="K22" s="160">
        <v>101258</v>
      </c>
      <c r="L22" s="160">
        <v>101258</v>
      </c>
      <c r="M22" s="160">
        <v>101398</v>
      </c>
      <c r="N22" s="160">
        <v>101425</v>
      </c>
      <c r="O22" s="160">
        <v>101469</v>
      </c>
      <c r="P22" s="160">
        <v>101515</v>
      </c>
      <c r="Q22" s="160">
        <v>101561</v>
      </c>
      <c r="R22" s="160">
        <v>101613</v>
      </c>
      <c r="S22" s="170">
        <v>101663</v>
      </c>
      <c r="T22" s="160">
        <v>101712</v>
      </c>
      <c r="U22" s="160">
        <v>101757</v>
      </c>
      <c r="V22" s="160">
        <v>101803</v>
      </c>
      <c r="W22" s="160">
        <v>101847</v>
      </c>
      <c r="X22" s="160">
        <v>101891</v>
      </c>
      <c r="Y22" s="160">
        <v>101931</v>
      </c>
      <c r="Z22" s="170">
        <v>101975</v>
      </c>
      <c r="AA22" s="160">
        <v>102019</v>
      </c>
      <c r="AB22" s="160">
        <v>102057</v>
      </c>
      <c r="AC22" s="160">
        <v>102095</v>
      </c>
      <c r="AD22" s="160">
        <v>102147</v>
      </c>
      <c r="AE22" s="160">
        <v>102192</v>
      </c>
      <c r="AF22" s="160">
        <v>102235</v>
      </c>
    </row>
    <row r="23" spans="1:32">
      <c r="A23" s="138"/>
      <c r="B23" s="171"/>
      <c r="C23" s="171"/>
      <c r="D23" s="171"/>
      <c r="E23" s="171"/>
      <c r="F23" s="171"/>
      <c r="G23" s="171"/>
      <c r="H23" s="171"/>
      <c r="I23" s="171"/>
      <c r="J23" s="171"/>
      <c r="K23" s="171"/>
      <c r="L23" s="171"/>
      <c r="M23" s="171"/>
      <c r="N23" s="171"/>
      <c r="O23" s="171"/>
      <c r="P23" s="171"/>
      <c r="Q23" s="171"/>
      <c r="R23" s="171"/>
      <c r="S23" s="122"/>
      <c r="T23" s="171"/>
      <c r="U23" s="171"/>
      <c r="V23" s="171"/>
      <c r="W23" s="171"/>
      <c r="X23" s="171"/>
      <c r="Y23" s="171"/>
      <c r="Z23" s="122"/>
      <c r="AA23" s="171"/>
      <c r="AB23" s="171"/>
      <c r="AC23" s="171"/>
      <c r="AD23" s="171"/>
      <c r="AE23" s="171"/>
      <c r="AF23" s="171"/>
    </row>
    <row r="24" spans="1:32" ht="16.5">
      <c r="A24" s="87" t="s">
        <v>74</v>
      </c>
      <c r="B24" s="157" t="s">
        <v>76</v>
      </c>
      <c r="C24" s="157" t="s">
        <v>76</v>
      </c>
      <c r="D24" s="157" t="s">
        <v>76</v>
      </c>
      <c r="E24" s="157" t="s">
        <v>76</v>
      </c>
      <c r="F24" s="157" t="s">
        <v>76</v>
      </c>
      <c r="G24" s="157" t="s">
        <v>76</v>
      </c>
      <c r="H24" s="157" t="s">
        <v>76</v>
      </c>
      <c r="I24" s="157" t="s">
        <v>76</v>
      </c>
      <c r="J24" s="157" t="s">
        <v>76</v>
      </c>
      <c r="K24" s="157" t="s">
        <v>76</v>
      </c>
      <c r="L24" s="157" t="s">
        <v>76</v>
      </c>
      <c r="M24" s="157" t="s">
        <v>76</v>
      </c>
      <c r="N24" s="157" t="s">
        <v>76</v>
      </c>
      <c r="O24" s="157" t="s">
        <v>76</v>
      </c>
      <c r="P24" s="157" t="s">
        <v>76</v>
      </c>
      <c r="Q24" s="157" t="s">
        <v>76</v>
      </c>
      <c r="R24" s="157" t="s">
        <v>76</v>
      </c>
      <c r="S24" s="172" t="s">
        <v>75</v>
      </c>
      <c r="T24" s="157" t="s">
        <v>76</v>
      </c>
      <c r="U24" s="157" t="s">
        <v>76</v>
      </c>
      <c r="V24" s="157" t="s">
        <v>76</v>
      </c>
      <c r="W24" s="157" t="s">
        <v>76</v>
      </c>
      <c r="X24" s="157" t="s">
        <v>76</v>
      </c>
      <c r="Y24" s="157" t="s">
        <v>76</v>
      </c>
      <c r="Z24" s="172" t="s">
        <v>75</v>
      </c>
      <c r="AA24" s="157" t="s">
        <v>76</v>
      </c>
      <c r="AB24" s="157" t="s">
        <v>76</v>
      </c>
      <c r="AC24" s="157" t="s">
        <v>76</v>
      </c>
      <c r="AD24" s="157" t="s">
        <v>76</v>
      </c>
      <c r="AE24" s="156" t="s">
        <v>76</v>
      </c>
      <c r="AF24" s="157" t="s">
        <v>76</v>
      </c>
    </row>
    <row r="25" spans="1:32" ht="25.5">
      <c r="A25" s="127" t="s">
        <v>77</v>
      </c>
      <c r="B25" s="167" t="s">
        <v>79</v>
      </c>
      <c r="C25" s="167" t="s">
        <v>79</v>
      </c>
      <c r="D25" s="167" t="s">
        <v>79</v>
      </c>
      <c r="E25" s="167" t="s">
        <v>79</v>
      </c>
      <c r="F25" s="167" t="s">
        <v>79</v>
      </c>
      <c r="G25" s="167" t="s">
        <v>79</v>
      </c>
      <c r="H25" s="167" t="s">
        <v>79</v>
      </c>
      <c r="I25" s="167" t="s">
        <v>79</v>
      </c>
      <c r="J25" s="167" t="s">
        <v>79</v>
      </c>
      <c r="K25" s="167" t="s">
        <v>79</v>
      </c>
      <c r="L25" s="167" t="s">
        <v>79</v>
      </c>
      <c r="M25" s="167" t="s">
        <v>79</v>
      </c>
      <c r="N25" s="167" t="s">
        <v>79</v>
      </c>
      <c r="O25" s="167" t="s">
        <v>79</v>
      </c>
      <c r="P25" s="167" t="s">
        <v>79</v>
      </c>
      <c r="Q25" s="167" t="s">
        <v>79</v>
      </c>
      <c r="R25" s="167" t="s">
        <v>79</v>
      </c>
      <c r="S25" s="173" t="s">
        <v>78</v>
      </c>
      <c r="T25" s="167" t="s">
        <v>79</v>
      </c>
      <c r="U25" s="167" t="s">
        <v>79</v>
      </c>
      <c r="V25" s="167" t="s">
        <v>79</v>
      </c>
      <c r="W25" s="167" t="s">
        <v>79</v>
      </c>
      <c r="X25" s="167" t="s">
        <v>79</v>
      </c>
      <c r="Y25" s="167" t="s">
        <v>79</v>
      </c>
      <c r="Z25" s="173" t="s">
        <v>78</v>
      </c>
      <c r="AA25" s="167" t="s">
        <v>79</v>
      </c>
      <c r="AB25" s="167" t="s">
        <v>79</v>
      </c>
      <c r="AC25" s="167" t="s">
        <v>79</v>
      </c>
      <c r="AD25" s="167" t="s">
        <v>79</v>
      </c>
      <c r="AE25" s="136" t="s">
        <v>79</v>
      </c>
      <c r="AF25" s="167" t="s">
        <v>79</v>
      </c>
    </row>
    <row r="26" spans="1:32" ht="25.5">
      <c r="A26" s="87" t="s">
        <v>80</v>
      </c>
      <c r="B26" s="167">
        <v>47487</v>
      </c>
      <c r="C26" s="167">
        <v>47487</v>
      </c>
      <c r="D26" s="167">
        <v>47478</v>
      </c>
      <c r="E26" s="167">
        <v>47478</v>
      </c>
      <c r="F26" s="167">
        <v>47473</v>
      </c>
      <c r="G26" s="167">
        <v>47470</v>
      </c>
      <c r="H26" s="167">
        <v>47467</v>
      </c>
      <c r="I26" s="167">
        <v>47458</v>
      </c>
      <c r="J26" s="167">
        <v>47447</v>
      </c>
      <c r="K26" s="167">
        <v>47439</v>
      </c>
      <c r="L26" s="167">
        <v>47432</v>
      </c>
      <c r="M26" s="167">
        <v>47425</v>
      </c>
      <c r="N26" s="167">
        <v>47416</v>
      </c>
      <c r="O26" s="167">
        <v>47407</v>
      </c>
      <c r="P26" s="167">
        <v>47401</v>
      </c>
      <c r="Q26" s="167">
        <v>47394</v>
      </c>
      <c r="R26" s="167">
        <v>47392</v>
      </c>
      <c r="S26" s="173">
        <v>47389</v>
      </c>
      <c r="T26" s="167">
        <v>47383</v>
      </c>
      <c r="U26" s="167">
        <v>47401</v>
      </c>
      <c r="V26" s="167">
        <v>47401</v>
      </c>
      <c r="W26" s="167">
        <v>47360</v>
      </c>
      <c r="X26" s="167">
        <v>47352</v>
      </c>
      <c r="Y26" s="167">
        <v>47346</v>
      </c>
      <c r="Z26" s="168">
        <v>47340</v>
      </c>
      <c r="AA26" s="167">
        <v>47333</v>
      </c>
      <c r="AB26" s="167">
        <v>47333</v>
      </c>
      <c r="AC26" s="167">
        <v>47312</v>
      </c>
      <c r="AD26" s="167">
        <v>47306</v>
      </c>
      <c r="AE26" s="168" t="s">
        <v>104</v>
      </c>
      <c r="AF26" s="167">
        <v>47297</v>
      </c>
    </row>
    <row r="27" spans="1:32" ht="26.25" thickBot="1">
      <c r="A27" s="139" t="s">
        <v>81</v>
      </c>
      <c r="B27" s="167">
        <v>2740</v>
      </c>
      <c r="C27" s="167">
        <v>2740</v>
      </c>
      <c r="D27" s="167">
        <v>2740</v>
      </c>
      <c r="E27" s="167">
        <v>2740</v>
      </c>
      <c r="F27" s="167">
        <v>2740</v>
      </c>
      <c r="G27" s="167">
        <v>2740</v>
      </c>
      <c r="H27" s="167">
        <v>2740</v>
      </c>
      <c r="I27" s="167">
        <v>2740</v>
      </c>
      <c r="J27" s="167">
        <v>2740</v>
      </c>
      <c r="K27" s="167">
        <v>2740</v>
      </c>
      <c r="L27" s="167">
        <v>2740</v>
      </c>
      <c r="M27" s="167">
        <v>2740</v>
      </c>
      <c r="N27" s="167">
        <v>2740</v>
      </c>
      <c r="O27" s="167">
        <v>2740</v>
      </c>
      <c r="P27" s="167">
        <v>2740</v>
      </c>
      <c r="Q27" s="167">
        <v>2740</v>
      </c>
      <c r="R27" s="167">
        <v>2740</v>
      </c>
      <c r="S27" s="168">
        <v>2740</v>
      </c>
      <c r="T27" s="167">
        <v>2850</v>
      </c>
      <c r="U27" s="167">
        <v>2740</v>
      </c>
      <c r="V27" s="167">
        <v>2740</v>
      </c>
      <c r="W27" s="167">
        <v>2740</v>
      </c>
      <c r="X27" s="167">
        <v>2790</v>
      </c>
      <c r="Y27" s="167">
        <v>2850</v>
      </c>
      <c r="Z27" s="168">
        <v>2850</v>
      </c>
      <c r="AA27" s="167">
        <v>2760</v>
      </c>
      <c r="AB27" s="167">
        <v>2760</v>
      </c>
      <c r="AC27" s="167">
        <v>2800</v>
      </c>
      <c r="AD27" s="167">
        <v>2800</v>
      </c>
      <c r="AE27" s="168" t="s">
        <v>105</v>
      </c>
      <c r="AF27" s="167">
        <v>2780</v>
      </c>
    </row>
  </sheetData>
  <mergeCells count="1">
    <mergeCell ref="A1:A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D9CA7-78BA-40E5-8E8F-ABCAF3ECAD1F}">
  <dimension ref="A1:AL34"/>
  <sheetViews>
    <sheetView topLeftCell="N15" zoomScale="130" zoomScaleNormal="130" workbookViewId="0">
      <selection activeCell="AC28" sqref="AC28"/>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28" width="8.7109375" style="20"/>
    <col min="29" max="30" width="9.42578125" style="143" customWidth="1"/>
    <col min="31" max="32" width="8.7109375" style="144"/>
    <col min="33" max="33" width="11" customWidth="1"/>
    <col min="35" max="35" width="11.42578125" customWidth="1"/>
  </cols>
  <sheetData>
    <row r="1" spans="1:38"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row>
    <row r="2" spans="1:38" ht="15.75">
      <c r="A2" s="82"/>
      <c r="B2" s="83">
        <v>44197</v>
      </c>
      <c r="C2" s="83">
        <v>44198</v>
      </c>
      <c r="D2" s="83">
        <v>44199</v>
      </c>
      <c r="E2" s="83">
        <v>44200</v>
      </c>
      <c r="F2" s="83">
        <v>44201</v>
      </c>
      <c r="G2" s="83">
        <v>44202</v>
      </c>
      <c r="H2" s="83">
        <v>44203</v>
      </c>
      <c r="I2" s="83">
        <v>44204</v>
      </c>
      <c r="J2" s="83">
        <v>44205</v>
      </c>
      <c r="K2" s="83">
        <v>44206</v>
      </c>
      <c r="L2" s="83">
        <v>44207</v>
      </c>
      <c r="M2" s="83">
        <v>44208</v>
      </c>
      <c r="N2" s="83">
        <v>44209</v>
      </c>
      <c r="O2" s="83">
        <v>44210</v>
      </c>
      <c r="P2" s="83">
        <v>44211</v>
      </c>
      <c r="Q2" s="83">
        <v>44212</v>
      </c>
      <c r="R2" s="83">
        <v>44213</v>
      </c>
      <c r="S2" s="83">
        <v>44214</v>
      </c>
      <c r="T2" s="83">
        <v>44215</v>
      </c>
      <c r="U2" s="83">
        <v>44216</v>
      </c>
      <c r="V2" s="83">
        <v>44217</v>
      </c>
      <c r="W2" s="83">
        <v>44218</v>
      </c>
      <c r="X2" s="83">
        <v>44219</v>
      </c>
      <c r="Y2" s="83">
        <v>44220</v>
      </c>
      <c r="Z2" s="83">
        <v>44221</v>
      </c>
      <c r="AA2" s="83">
        <v>44222</v>
      </c>
      <c r="AB2" s="83">
        <v>44223</v>
      </c>
      <c r="AC2" s="83">
        <v>44224</v>
      </c>
      <c r="AD2" s="83">
        <v>44225</v>
      </c>
      <c r="AE2" s="83">
        <v>44226</v>
      </c>
      <c r="AF2" s="83">
        <v>44227</v>
      </c>
      <c r="AH2" s="83">
        <v>44196</v>
      </c>
    </row>
    <row r="3" spans="1:38"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175" t="s">
        <v>52</v>
      </c>
      <c r="AD3" s="175" t="s">
        <v>52</v>
      </c>
      <c r="AE3" s="93" t="s">
        <v>52</v>
      </c>
      <c r="AF3" s="93" t="s">
        <v>52</v>
      </c>
      <c r="AH3" s="93" t="s">
        <v>52</v>
      </c>
    </row>
    <row r="4" spans="1:38" ht="20.100000000000001" customHeight="1">
      <c r="A4" s="94" t="s">
        <v>54</v>
      </c>
      <c r="B4" s="148">
        <v>127063</v>
      </c>
      <c r="C4" s="148">
        <v>127252</v>
      </c>
      <c r="D4" s="148">
        <v>127451</v>
      </c>
      <c r="E4" s="148">
        <v>127652</v>
      </c>
      <c r="F4" s="148">
        <v>127853</v>
      </c>
      <c r="G4" s="148">
        <v>128056</v>
      </c>
      <c r="H4" s="148">
        <v>128257</v>
      </c>
      <c r="I4" s="148">
        <v>128456</v>
      </c>
      <c r="J4" s="148">
        <v>128625</v>
      </c>
      <c r="K4" s="148">
        <v>128835</v>
      </c>
      <c r="L4" s="148">
        <v>129038</v>
      </c>
      <c r="M4" s="148">
        <v>129242</v>
      </c>
      <c r="N4" s="148">
        <v>129445</v>
      </c>
      <c r="O4" s="148">
        <v>129644</v>
      </c>
      <c r="P4" s="148">
        <v>129825</v>
      </c>
      <c r="Q4" s="148">
        <v>130029</v>
      </c>
      <c r="R4" s="148">
        <v>130233</v>
      </c>
      <c r="S4" s="148">
        <v>130437</v>
      </c>
      <c r="T4" s="148">
        <v>130642</v>
      </c>
      <c r="U4" s="148">
        <v>130846</v>
      </c>
      <c r="V4" s="148">
        <v>131050</v>
      </c>
      <c r="W4" s="148">
        <v>131250</v>
      </c>
      <c r="X4" s="148">
        <v>131437</v>
      </c>
      <c r="Y4" s="148">
        <v>131630</v>
      </c>
      <c r="Z4" s="148">
        <v>131830</v>
      </c>
      <c r="AA4" s="148">
        <v>132038</v>
      </c>
      <c r="AB4" s="148">
        <v>132246</v>
      </c>
      <c r="AC4" s="148">
        <v>132248</v>
      </c>
      <c r="AD4" s="148">
        <v>132248</v>
      </c>
      <c r="AE4" s="176">
        <v>132830</v>
      </c>
      <c r="AF4" s="176">
        <v>133035</v>
      </c>
      <c r="AG4" s="101"/>
      <c r="AH4" s="148">
        <v>126865</v>
      </c>
      <c r="AI4" s="101"/>
      <c r="AL4" s="102"/>
    </row>
    <row r="5" spans="1:38" ht="20.100000000000001" customHeight="1">
      <c r="A5" s="94" t="s">
        <v>55</v>
      </c>
      <c r="B5" s="148">
        <v>2269307</v>
      </c>
      <c r="C5" s="148">
        <v>2275774</v>
      </c>
      <c r="D5" s="148">
        <v>2282598</v>
      </c>
      <c r="E5" s="177">
        <v>2289181</v>
      </c>
      <c r="F5" s="148">
        <v>2297165</v>
      </c>
      <c r="G5" s="148">
        <v>2304306</v>
      </c>
      <c r="H5" s="148">
        <v>2311493</v>
      </c>
      <c r="I5" s="148">
        <v>2318339</v>
      </c>
      <c r="J5" s="148">
        <v>2323980</v>
      </c>
      <c r="K5" s="148">
        <v>2331075</v>
      </c>
      <c r="L5" s="148">
        <v>2338167</v>
      </c>
      <c r="M5" s="148">
        <v>2345277</v>
      </c>
      <c r="N5" s="148">
        <v>2352312</v>
      </c>
      <c r="O5" s="148">
        <v>2359207</v>
      </c>
      <c r="P5" s="148">
        <v>2365446</v>
      </c>
      <c r="Q5" s="148">
        <v>2372208</v>
      </c>
      <c r="R5" s="148">
        <v>2378594</v>
      </c>
      <c r="S5" s="148">
        <v>2385763</v>
      </c>
      <c r="T5" s="148">
        <v>2393000</v>
      </c>
      <c r="U5" s="148">
        <v>2400088</v>
      </c>
      <c r="V5" s="148">
        <v>2407037</v>
      </c>
      <c r="W5" s="148">
        <v>2413592</v>
      </c>
      <c r="X5" s="148">
        <v>2419673</v>
      </c>
      <c r="Y5" s="148">
        <v>2426241</v>
      </c>
      <c r="Z5" s="148">
        <v>2432940</v>
      </c>
      <c r="AA5" s="148">
        <v>2440345</v>
      </c>
      <c r="AB5" s="148">
        <v>2447371</v>
      </c>
      <c r="AC5" s="148">
        <v>2454265</v>
      </c>
      <c r="AD5" s="148">
        <v>2454265</v>
      </c>
      <c r="AE5" s="176">
        <v>2467242</v>
      </c>
      <c r="AF5" s="176">
        <v>2473920</v>
      </c>
      <c r="AG5" s="101"/>
      <c r="AH5" s="148">
        <v>2262298</v>
      </c>
      <c r="AI5" s="101"/>
      <c r="AL5" s="102"/>
    </row>
    <row r="6" spans="1:38" ht="20.100000000000001" customHeight="1">
      <c r="A6" s="94" t="s">
        <v>56</v>
      </c>
      <c r="B6" s="177">
        <f>C6-3288</f>
        <v>1200553</v>
      </c>
      <c r="C6" s="148">
        <v>1203841</v>
      </c>
      <c r="D6" s="148">
        <v>1207154</v>
      </c>
      <c r="E6" s="148">
        <v>1210637</v>
      </c>
      <c r="F6" s="148">
        <v>1213925</v>
      </c>
      <c r="G6" s="148">
        <v>1217297</v>
      </c>
      <c r="H6" s="148">
        <v>1220563</v>
      </c>
      <c r="I6" s="148">
        <v>1223704</v>
      </c>
      <c r="J6" s="148">
        <v>1226328</v>
      </c>
      <c r="K6" s="148">
        <v>1229928</v>
      </c>
      <c r="L6" s="148">
        <v>1233130</v>
      </c>
      <c r="M6" s="148">
        <v>1236276</v>
      </c>
      <c r="N6" s="148">
        <v>1239466</v>
      </c>
      <c r="O6" s="148">
        <v>1242578</v>
      </c>
      <c r="P6" s="148">
        <v>1245356</v>
      </c>
      <c r="Q6" s="148">
        <v>1248105</v>
      </c>
      <c r="R6" s="148">
        <v>1251265</v>
      </c>
      <c r="S6" s="148">
        <v>1254531</v>
      </c>
      <c r="T6" s="148">
        <v>1257857</v>
      </c>
      <c r="U6" s="148">
        <v>1261220</v>
      </c>
      <c r="V6" s="148">
        <v>1264584</v>
      </c>
      <c r="W6" s="148">
        <v>1267782</v>
      </c>
      <c r="X6" s="148">
        <v>1270669</v>
      </c>
      <c r="Y6" s="148">
        <v>1273636</v>
      </c>
      <c r="Z6" s="148">
        <v>1276834</v>
      </c>
      <c r="AA6" s="148">
        <v>1280237</v>
      </c>
      <c r="AB6" s="148">
        <v>1283653</v>
      </c>
      <c r="AC6" s="148">
        <v>1286982</v>
      </c>
      <c r="AD6" s="148">
        <v>1286982</v>
      </c>
      <c r="AE6" s="176">
        <v>1293331</v>
      </c>
      <c r="AF6" s="176">
        <v>1296666</v>
      </c>
      <c r="AG6" s="101"/>
      <c r="AH6" s="148">
        <v>1197243</v>
      </c>
      <c r="AI6" s="101"/>
      <c r="AL6" s="102"/>
    </row>
    <row r="7" spans="1:38" ht="20.100000000000001" customHeight="1">
      <c r="A7" s="94" t="s">
        <v>57</v>
      </c>
      <c r="B7" s="148">
        <v>4216490</v>
      </c>
      <c r="C7" s="148">
        <v>4223494</v>
      </c>
      <c r="D7" s="148">
        <v>4230421</v>
      </c>
      <c r="E7" s="148">
        <v>4237496</v>
      </c>
      <c r="F7" s="148">
        <v>4244442</v>
      </c>
      <c r="G7" s="148">
        <v>4251538</v>
      </c>
      <c r="H7" s="148">
        <v>4258276</v>
      </c>
      <c r="I7" s="148">
        <v>4264904</v>
      </c>
      <c r="J7" s="148">
        <v>4270740</v>
      </c>
      <c r="K7" s="148">
        <v>4270941</v>
      </c>
      <c r="L7" s="148">
        <v>4271024</v>
      </c>
      <c r="M7" s="148">
        <v>4271106</v>
      </c>
      <c r="N7" s="148">
        <v>4271182</v>
      </c>
      <c r="O7" s="148">
        <v>4271970</v>
      </c>
      <c r="P7" s="148">
        <v>4272038</v>
      </c>
      <c r="Q7" s="148">
        <v>4273494</v>
      </c>
      <c r="R7" s="148">
        <v>4279328</v>
      </c>
      <c r="S7" s="148">
        <v>4286398</v>
      </c>
      <c r="T7" s="148">
        <v>4293394</v>
      </c>
      <c r="U7" s="148">
        <v>4294504</v>
      </c>
      <c r="V7" s="148">
        <v>4294584</v>
      </c>
      <c r="W7" s="148">
        <v>4294667</v>
      </c>
      <c r="X7" s="148">
        <v>4294751</v>
      </c>
      <c r="Y7" s="148">
        <v>4294835</v>
      </c>
      <c r="Z7" s="148">
        <v>4294914</v>
      </c>
      <c r="AA7" s="148">
        <v>4294993</v>
      </c>
      <c r="AB7" s="148">
        <v>4295074</v>
      </c>
      <c r="AC7" s="148">
        <v>4295152</v>
      </c>
      <c r="AD7" s="148">
        <v>4295152</v>
      </c>
      <c r="AE7" s="176">
        <v>4295307</v>
      </c>
      <c r="AF7" s="176">
        <v>4295386</v>
      </c>
      <c r="AG7" s="101"/>
      <c r="AH7" s="148">
        <v>4209313</v>
      </c>
      <c r="AI7" s="101"/>
      <c r="AL7" s="102"/>
    </row>
    <row r="8" spans="1:38" ht="20.100000000000001" customHeight="1">
      <c r="A8" s="94" t="s">
        <v>58</v>
      </c>
      <c r="B8" s="148">
        <v>1667881</v>
      </c>
      <c r="C8" s="148">
        <v>1667881</v>
      </c>
      <c r="D8" s="148">
        <v>1667881</v>
      </c>
      <c r="E8" s="148">
        <v>1667881</v>
      </c>
      <c r="F8" s="148">
        <v>1667881</v>
      </c>
      <c r="G8" s="148">
        <v>1667881</v>
      </c>
      <c r="H8" s="148">
        <v>1667881</v>
      </c>
      <c r="I8" s="148">
        <v>1667881</v>
      </c>
      <c r="J8" s="148">
        <v>1667881</v>
      </c>
      <c r="K8" s="148">
        <v>1669887</v>
      </c>
      <c r="L8" s="148">
        <v>1672073</v>
      </c>
      <c r="M8" s="148">
        <v>1674238</v>
      </c>
      <c r="N8" s="148">
        <v>1676361</v>
      </c>
      <c r="O8" s="148">
        <v>1678241</v>
      </c>
      <c r="P8" s="148">
        <v>1680107</v>
      </c>
      <c r="Q8" s="148">
        <v>1681744</v>
      </c>
      <c r="R8" s="148">
        <v>1682027</v>
      </c>
      <c r="S8" s="148">
        <v>1682027</v>
      </c>
      <c r="T8" s="148">
        <v>1682027</v>
      </c>
      <c r="U8" s="148">
        <v>1683982</v>
      </c>
      <c r="V8" s="148">
        <v>1686252</v>
      </c>
      <c r="W8" s="148">
        <v>1688282</v>
      </c>
      <c r="X8" s="148">
        <v>1690273</v>
      </c>
      <c r="Y8" s="148">
        <v>1692302</v>
      </c>
      <c r="Z8" s="148">
        <v>1694523</v>
      </c>
      <c r="AA8" s="148">
        <v>1696702</v>
      </c>
      <c r="AB8" s="148">
        <v>1698869</v>
      </c>
      <c r="AC8" s="148">
        <v>1700892</v>
      </c>
      <c r="AD8" s="148">
        <v>1700892</v>
      </c>
      <c r="AE8" s="176">
        <v>1705150</v>
      </c>
      <c r="AF8" s="176">
        <v>1707228</v>
      </c>
      <c r="AG8" s="101"/>
      <c r="AH8" s="148">
        <v>1667881</v>
      </c>
      <c r="AI8" s="101"/>
      <c r="AL8" s="102"/>
    </row>
    <row r="9" spans="1:38" ht="20.100000000000001" customHeight="1">
      <c r="A9" s="94" t="s">
        <v>59</v>
      </c>
      <c r="B9" s="148">
        <v>9943207</v>
      </c>
      <c r="C9" s="148">
        <v>9950592</v>
      </c>
      <c r="D9" s="148">
        <v>9958002</v>
      </c>
      <c r="E9" s="148">
        <v>9965630</v>
      </c>
      <c r="F9" s="148">
        <v>9973059</v>
      </c>
      <c r="G9" s="148">
        <v>9980990</v>
      </c>
      <c r="H9" s="148">
        <v>9989138</v>
      </c>
      <c r="I9" s="148">
        <v>9997224</v>
      </c>
      <c r="J9" s="178">
        <v>10004409</v>
      </c>
      <c r="K9" s="178">
        <v>10011766</v>
      </c>
      <c r="L9" s="178">
        <v>10019921</v>
      </c>
      <c r="M9" s="178">
        <v>10027935</v>
      </c>
      <c r="N9" s="178">
        <v>10035550</v>
      </c>
      <c r="O9" s="178">
        <v>10042913</v>
      </c>
      <c r="P9" s="178">
        <v>10049516</v>
      </c>
      <c r="Q9" s="178">
        <v>10056989</v>
      </c>
      <c r="R9" s="178">
        <v>10064278</v>
      </c>
      <c r="S9" s="178">
        <v>10071707</v>
      </c>
      <c r="T9" s="178">
        <v>10078739</v>
      </c>
      <c r="U9" s="178">
        <v>10085813</v>
      </c>
      <c r="V9" s="178">
        <v>10093751</v>
      </c>
      <c r="W9" s="178">
        <v>10100657</v>
      </c>
      <c r="X9" s="178">
        <v>10107713</v>
      </c>
      <c r="Y9" s="178">
        <v>10114768</v>
      </c>
      <c r="Z9" s="178">
        <v>10122252</v>
      </c>
      <c r="AA9" s="178">
        <v>10130277</v>
      </c>
      <c r="AB9" s="178">
        <v>10137739</v>
      </c>
      <c r="AC9" s="178">
        <v>10144760</v>
      </c>
      <c r="AD9" s="178">
        <v>10144760</v>
      </c>
      <c r="AE9" s="179">
        <v>10158843</v>
      </c>
      <c r="AF9" s="179">
        <v>10165835</v>
      </c>
      <c r="AG9" s="101"/>
      <c r="AH9" s="148">
        <v>9935710</v>
      </c>
      <c r="AI9" s="101"/>
      <c r="AL9" s="102"/>
    </row>
    <row r="10" spans="1:38" ht="20.100000000000001" customHeight="1">
      <c r="A10" s="94" t="s">
        <v>60</v>
      </c>
      <c r="B10" s="148">
        <v>1870773</v>
      </c>
      <c r="C10" s="148">
        <v>1876225</v>
      </c>
      <c r="D10" s="148">
        <v>1882036</v>
      </c>
      <c r="E10" s="148">
        <v>1887901</v>
      </c>
      <c r="F10" s="148">
        <v>1893751</v>
      </c>
      <c r="G10" s="148">
        <v>1899546</v>
      </c>
      <c r="H10" s="148">
        <v>1905329</v>
      </c>
      <c r="I10" s="148">
        <v>1910875</v>
      </c>
      <c r="J10" s="148">
        <v>1915758</v>
      </c>
      <c r="K10" s="148">
        <v>1921598</v>
      </c>
      <c r="L10" s="148">
        <v>1927382</v>
      </c>
      <c r="M10" s="148">
        <v>1933145</v>
      </c>
      <c r="N10" s="148">
        <v>1938809</v>
      </c>
      <c r="O10" s="148">
        <v>1944605</v>
      </c>
      <c r="P10" s="148">
        <v>1949828</v>
      </c>
      <c r="Q10" s="148">
        <v>1955327</v>
      </c>
      <c r="R10" s="148">
        <v>1960790</v>
      </c>
      <c r="S10" s="148">
        <v>1966577</v>
      </c>
      <c r="T10" s="148">
        <v>1972057</v>
      </c>
      <c r="U10" s="148">
        <v>1977575</v>
      </c>
      <c r="V10" s="148">
        <v>1983072</v>
      </c>
      <c r="W10" s="148">
        <v>1987668</v>
      </c>
      <c r="X10" s="148">
        <v>1992573</v>
      </c>
      <c r="Y10" s="148">
        <v>1997805</v>
      </c>
      <c r="Z10" s="148">
        <v>2003144</v>
      </c>
      <c r="AA10" s="148">
        <v>2008861</v>
      </c>
      <c r="AB10" s="148">
        <v>2014344</v>
      </c>
      <c r="AC10" s="148">
        <v>2019774</v>
      </c>
      <c r="AD10" s="148">
        <v>2019774</v>
      </c>
      <c r="AE10" s="176">
        <v>2030264</v>
      </c>
      <c r="AF10" s="176">
        <v>2035628</v>
      </c>
      <c r="AG10" s="101"/>
      <c r="AH10" s="148">
        <v>1864804</v>
      </c>
      <c r="AI10" s="101"/>
      <c r="AL10" s="102"/>
    </row>
    <row r="11" spans="1:38" ht="22.5" customHeight="1">
      <c r="A11" s="94" t="s">
        <v>61</v>
      </c>
      <c r="B11" s="148">
        <v>99402</v>
      </c>
      <c r="C11" s="148">
        <v>99549</v>
      </c>
      <c r="D11" s="148">
        <v>99712</v>
      </c>
      <c r="E11" s="148">
        <v>99885</v>
      </c>
      <c r="F11" s="148">
        <v>100054</v>
      </c>
      <c r="G11" s="148">
        <v>100220</v>
      </c>
      <c r="H11" s="148">
        <v>100391</v>
      </c>
      <c r="I11" s="148">
        <v>100548</v>
      </c>
      <c r="J11" s="148">
        <v>100676</v>
      </c>
      <c r="K11" s="148">
        <v>100841</v>
      </c>
      <c r="L11" s="148">
        <v>101006</v>
      </c>
      <c r="M11" s="148">
        <v>101173</v>
      </c>
      <c r="N11" s="148">
        <v>101334</v>
      </c>
      <c r="O11" s="148">
        <v>101489</v>
      </c>
      <c r="P11" s="148">
        <v>101622</v>
      </c>
      <c r="Q11" s="148">
        <v>101769</v>
      </c>
      <c r="R11" s="148">
        <v>101922</v>
      </c>
      <c r="S11" s="148">
        <v>102084</v>
      </c>
      <c r="T11" s="148">
        <v>102250</v>
      </c>
      <c r="U11" s="148">
        <v>102417</v>
      </c>
      <c r="V11" s="148">
        <v>102576</v>
      </c>
      <c r="W11" s="148">
        <v>102739</v>
      </c>
      <c r="X11" s="148">
        <v>102911</v>
      </c>
      <c r="Y11" s="148">
        <v>103037</v>
      </c>
      <c r="Z11" s="148">
        <v>103189</v>
      </c>
      <c r="AA11" s="148">
        <v>103341</v>
      </c>
      <c r="AB11" s="148">
        <v>103510</v>
      </c>
      <c r="AC11" s="148">
        <v>103674</v>
      </c>
      <c r="AD11" s="148">
        <v>103674</v>
      </c>
      <c r="AE11" s="176">
        <v>103960</v>
      </c>
      <c r="AF11" s="176">
        <v>104108</v>
      </c>
      <c r="AG11" s="101"/>
      <c r="AH11" s="148">
        <v>99257</v>
      </c>
      <c r="AI11" s="101"/>
      <c r="AL11" s="102"/>
    </row>
    <row r="12" spans="1:38" s="109" customFormat="1" ht="18" customHeight="1">
      <c r="A12" s="103" t="s">
        <v>62</v>
      </c>
      <c r="B12" s="180">
        <f>SUM(B4:B11)</f>
        <v>21394676</v>
      </c>
      <c r="C12" s="180">
        <f t="shared" ref="C12:AF12" si="0">SUM(C4:C11)</f>
        <v>21424608</v>
      </c>
      <c r="D12" s="180">
        <f t="shared" si="0"/>
        <v>21455255</v>
      </c>
      <c r="E12" s="180">
        <f t="shared" si="0"/>
        <v>21486263</v>
      </c>
      <c r="F12" s="180">
        <f t="shared" si="0"/>
        <v>21518130</v>
      </c>
      <c r="G12" s="180">
        <f t="shared" si="0"/>
        <v>21549834</v>
      </c>
      <c r="H12" s="180">
        <f t="shared" si="0"/>
        <v>21581328</v>
      </c>
      <c r="I12" s="180">
        <f t="shared" si="0"/>
        <v>21611931</v>
      </c>
      <c r="J12" s="180">
        <f t="shared" si="0"/>
        <v>21638397</v>
      </c>
      <c r="K12" s="180">
        <f t="shared" si="0"/>
        <v>21664871</v>
      </c>
      <c r="L12" s="180">
        <f t="shared" si="0"/>
        <v>21691741</v>
      </c>
      <c r="M12" s="180">
        <f t="shared" si="0"/>
        <v>21718392</v>
      </c>
      <c r="N12" s="180">
        <f t="shared" si="0"/>
        <v>21744459</v>
      </c>
      <c r="O12" s="180">
        <f t="shared" si="0"/>
        <v>21770647</v>
      </c>
      <c r="P12" s="180">
        <f t="shared" si="0"/>
        <v>21793738</v>
      </c>
      <c r="Q12" s="180">
        <f t="shared" si="0"/>
        <v>21819665</v>
      </c>
      <c r="R12" s="180">
        <f t="shared" si="0"/>
        <v>21848437</v>
      </c>
      <c r="S12" s="180">
        <f t="shared" si="0"/>
        <v>21879524</v>
      </c>
      <c r="T12" s="180">
        <f t="shared" si="0"/>
        <v>21909966</v>
      </c>
      <c r="U12" s="180">
        <f t="shared" si="0"/>
        <v>21936445</v>
      </c>
      <c r="V12" s="180">
        <f t="shared" si="0"/>
        <v>21962906</v>
      </c>
      <c r="W12" s="180">
        <f t="shared" si="0"/>
        <v>21986637</v>
      </c>
      <c r="X12" s="180">
        <f t="shared" si="0"/>
        <v>22010000</v>
      </c>
      <c r="Y12" s="180">
        <f t="shared" si="0"/>
        <v>22034254</v>
      </c>
      <c r="Z12" s="180">
        <f t="shared" si="0"/>
        <v>22059626</v>
      </c>
      <c r="AA12" s="180">
        <f t="shared" si="0"/>
        <v>22086794</v>
      </c>
      <c r="AB12" s="180">
        <f t="shared" si="0"/>
        <v>22112806</v>
      </c>
      <c r="AC12" s="180">
        <f t="shared" si="0"/>
        <v>22137747</v>
      </c>
      <c r="AD12" s="180">
        <f t="shared" si="0"/>
        <v>22137747</v>
      </c>
      <c r="AE12" s="180">
        <f t="shared" si="0"/>
        <v>22186927</v>
      </c>
      <c r="AF12" s="180">
        <f t="shared" si="0"/>
        <v>22211806</v>
      </c>
      <c r="AH12" s="162"/>
    </row>
    <row r="13" spans="1:38" ht="25.5">
      <c r="A13" s="87" t="s">
        <v>63</v>
      </c>
      <c r="B13" s="156" t="s">
        <v>65</v>
      </c>
      <c r="C13" s="156" t="s">
        <v>65</v>
      </c>
      <c r="D13" s="156" t="s">
        <v>65</v>
      </c>
      <c r="E13" s="156" t="s">
        <v>65</v>
      </c>
      <c r="F13" s="156" t="s">
        <v>65</v>
      </c>
      <c r="G13" s="156" t="s">
        <v>65</v>
      </c>
      <c r="H13" s="156" t="s">
        <v>65</v>
      </c>
      <c r="I13" s="156" t="s">
        <v>65</v>
      </c>
      <c r="J13" s="156" t="s">
        <v>65</v>
      </c>
      <c r="K13" s="156" t="s">
        <v>65</v>
      </c>
      <c r="L13" s="156" t="s">
        <v>65</v>
      </c>
      <c r="M13" s="156" t="s">
        <v>65</v>
      </c>
      <c r="N13" s="156" t="s">
        <v>65</v>
      </c>
      <c r="O13" s="156" t="s">
        <v>65</v>
      </c>
      <c r="P13" s="156" t="s">
        <v>65</v>
      </c>
      <c r="Q13" s="156" t="s">
        <v>65</v>
      </c>
      <c r="R13" s="156" t="s">
        <v>65</v>
      </c>
      <c r="S13" s="156" t="s">
        <v>65</v>
      </c>
      <c r="T13" s="156" t="s">
        <v>65</v>
      </c>
      <c r="U13" s="156" t="s">
        <v>65</v>
      </c>
      <c r="V13" s="156" t="s">
        <v>65</v>
      </c>
      <c r="W13" s="156" t="s">
        <v>65</v>
      </c>
      <c r="X13" s="156" t="s">
        <v>65</v>
      </c>
      <c r="Y13" s="156" t="s">
        <v>65</v>
      </c>
      <c r="Z13" s="156" t="s">
        <v>65</v>
      </c>
      <c r="AA13" s="156" t="s">
        <v>65</v>
      </c>
      <c r="AB13" s="156" t="s">
        <v>65</v>
      </c>
      <c r="AC13" s="156" t="s">
        <v>65</v>
      </c>
      <c r="AD13" s="156" t="s">
        <v>65</v>
      </c>
      <c r="AE13" s="156" t="s">
        <v>65</v>
      </c>
      <c r="AF13" s="181" t="s">
        <v>106</v>
      </c>
      <c r="AH13" s="156" t="s">
        <v>65</v>
      </c>
    </row>
    <row r="14" spans="1:38">
      <c r="A14" s="87" t="s">
        <v>66</v>
      </c>
      <c r="B14" s="158">
        <v>157026.67000000001</v>
      </c>
      <c r="C14" s="158">
        <v>157774.46</v>
      </c>
      <c r="D14" s="158">
        <v>157774.46</v>
      </c>
      <c r="E14" s="158">
        <v>157774.46</v>
      </c>
      <c r="F14" s="158">
        <v>157774.46</v>
      </c>
      <c r="G14" s="158">
        <v>157774.46</v>
      </c>
      <c r="H14" s="158">
        <v>157774.46</v>
      </c>
      <c r="I14" s="158">
        <v>157774.46</v>
      </c>
      <c r="J14" s="158">
        <v>158311.45000000001</v>
      </c>
      <c r="K14" s="158">
        <v>158311.45000000001</v>
      </c>
      <c r="L14" s="158">
        <v>158311.45000000001</v>
      </c>
      <c r="M14" s="158">
        <v>158311.45000000001</v>
      </c>
      <c r="N14" s="158">
        <v>158311.45000000001</v>
      </c>
      <c r="O14" s="158">
        <v>158311.45000000001</v>
      </c>
      <c r="P14" s="158">
        <v>158311.45000000001</v>
      </c>
      <c r="Q14" s="158">
        <v>158902.87</v>
      </c>
      <c r="R14" s="158">
        <v>158902.87</v>
      </c>
      <c r="S14" s="158">
        <v>158902.87</v>
      </c>
      <c r="T14" s="158">
        <v>158902.87</v>
      </c>
      <c r="U14" s="158">
        <v>158902.87</v>
      </c>
      <c r="V14" s="158">
        <v>158902.87</v>
      </c>
      <c r="W14" s="158">
        <v>158902.87</v>
      </c>
      <c r="X14" s="158">
        <v>159674.29</v>
      </c>
      <c r="Y14" s="158">
        <v>159674.29</v>
      </c>
      <c r="Z14" s="158">
        <v>159674.29</v>
      </c>
      <c r="AA14" s="158">
        <v>159674.29</v>
      </c>
      <c r="AB14" s="158">
        <v>159674.29</v>
      </c>
      <c r="AC14" s="158">
        <v>159674.29</v>
      </c>
      <c r="AD14" s="158">
        <v>159674.29</v>
      </c>
      <c r="AE14" s="182">
        <v>159674.29</v>
      </c>
      <c r="AF14" s="182">
        <v>159674.29</v>
      </c>
      <c r="AH14" s="158">
        <v>157026.67000000001</v>
      </c>
    </row>
    <row r="15" spans="1:38" ht="25.5">
      <c r="A15" s="87" t="s">
        <v>67</v>
      </c>
      <c r="B15" s="160">
        <v>804</v>
      </c>
      <c r="C15" s="160">
        <v>805</v>
      </c>
      <c r="D15" s="160">
        <v>805</v>
      </c>
      <c r="E15" s="160">
        <v>805</v>
      </c>
      <c r="F15" s="160">
        <v>805</v>
      </c>
      <c r="G15" s="160">
        <v>805</v>
      </c>
      <c r="H15" s="160">
        <v>805</v>
      </c>
      <c r="I15" s="160">
        <v>805</v>
      </c>
      <c r="J15" s="160">
        <v>809</v>
      </c>
      <c r="K15" s="160">
        <v>809</v>
      </c>
      <c r="L15" s="160">
        <v>809</v>
      </c>
      <c r="M15" s="160">
        <v>809</v>
      </c>
      <c r="N15" s="160">
        <v>809</v>
      </c>
      <c r="O15" s="160">
        <v>809</v>
      </c>
      <c r="P15" s="160">
        <v>809</v>
      </c>
      <c r="Q15" s="160">
        <v>814</v>
      </c>
      <c r="R15" s="160">
        <v>814</v>
      </c>
      <c r="S15" s="160">
        <v>814</v>
      </c>
      <c r="T15" s="160">
        <v>814</v>
      </c>
      <c r="U15" s="160">
        <v>814</v>
      </c>
      <c r="V15" s="160">
        <v>814</v>
      </c>
      <c r="W15" s="160">
        <v>814</v>
      </c>
      <c r="X15" s="160">
        <v>820</v>
      </c>
      <c r="Y15" s="160">
        <v>820</v>
      </c>
      <c r="Z15" s="160">
        <v>820</v>
      </c>
      <c r="AA15" s="160">
        <v>820</v>
      </c>
      <c r="AB15" s="160">
        <v>820</v>
      </c>
      <c r="AC15" s="160">
        <v>820</v>
      </c>
      <c r="AD15" s="160">
        <v>820</v>
      </c>
      <c r="AE15" s="183">
        <v>820</v>
      </c>
      <c r="AF15" s="183">
        <v>833</v>
      </c>
      <c r="AH15" s="160">
        <v>804</v>
      </c>
    </row>
    <row r="16" spans="1:38" ht="25.5">
      <c r="A16" s="87" t="s">
        <v>68</v>
      </c>
      <c r="B16" s="160">
        <v>3987</v>
      </c>
      <c r="C16" s="160">
        <v>3987</v>
      </c>
      <c r="D16" s="160">
        <v>3987</v>
      </c>
      <c r="E16" s="160">
        <v>3987</v>
      </c>
      <c r="F16" s="160">
        <v>3987</v>
      </c>
      <c r="G16" s="160">
        <v>3987</v>
      </c>
      <c r="H16" s="160">
        <v>3987</v>
      </c>
      <c r="I16" s="160">
        <v>3987</v>
      </c>
      <c r="J16" s="160">
        <v>3987</v>
      </c>
      <c r="K16" s="160">
        <v>3987</v>
      </c>
      <c r="L16" s="160">
        <v>3987</v>
      </c>
      <c r="M16" s="160">
        <v>3987</v>
      </c>
      <c r="N16" s="160">
        <v>3987</v>
      </c>
      <c r="O16" s="160">
        <v>3987</v>
      </c>
      <c r="P16" s="160">
        <v>3987</v>
      </c>
      <c r="Q16" s="160">
        <v>3987</v>
      </c>
      <c r="R16" s="160">
        <v>3987</v>
      </c>
      <c r="S16" s="160">
        <v>3987</v>
      </c>
      <c r="T16" s="160">
        <v>3987</v>
      </c>
      <c r="U16" s="160">
        <v>3987</v>
      </c>
      <c r="V16" s="160">
        <v>3987</v>
      </c>
      <c r="W16" s="160">
        <v>4070</v>
      </c>
      <c r="X16" s="160">
        <v>4154</v>
      </c>
      <c r="Y16" s="160">
        <v>4154</v>
      </c>
      <c r="Z16" s="160">
        <v>4154</v>
      </c>
      <c r="AA16" s="160">
        <v>4154</v>
      </c>
      <c r="AB16" s="160">
        <v>4154</v>
      </c>
      <c r="AC16" s="160">
        <v>4154</v>
      </c>
      <c r="AD16" s="160">
        <v>4154</v>
      </c>
      <c r="AE16" s="183">
        <v>4154</v>
      </c>
      <c r="AF16" s="183">
        <v>4154</v>
      </c>
      <c r="AH16" s="160">
        <v>3987</v>
      </c>
    </row>
    <row r="17" spans="1:34" ht="20.100000000000001" customHeight="1">
      <c r="A17" s="121"/>
      <c r="B17" s="162"/>
      <c r="C17" s="162"/>
      <c r="D17" s="162"/>
      <c r="E17" s="162"/>
      <c r="F17" s="162"/>
      <c r="G17" s="162"/>
      <c r="H17" s="162"/>
      <c r="I17" s="162"/>
      <c r="J17" s="162"/>
      <c r="K17" s="162"/>
      <c r="L17" s="162"/>
      <c r="M17" s="162"/>
      <c r="N17" s="162"/>
      <c r="O17" s="162"/>
      <c r="P17" s="162"/>
      <c r="Q17" s="162"/>
      <c r="R17" s="184"/>
      <c r="S17" s="162"/>
      <c r="T17" s="162"/>
      <c r="U17" s="162"/>
      <c r="V17" s="185"/>
      <c r="W17" s="162"/>
      <c r="X17" s="185"/>
      <c r="Y17" s="162"/>
      <c r="Z17" s="162"/>
      <c r="AA17" s="162"/>
      <c r="AB17" s="162"/>
      <c r="AC17" s="162"/>
      <c r="AD17" s="162"/>
      <c r="AE17" s="162"/>
      <c r="AF17" s="162"/>
      <c r="AH17" s="162"/>
    </row>
    <row r="18" spans="1:34" ht="16.5">
      <c r="A18" s="87" t="s">
        <v>69</v>
      </c>
      <c r="B18" s="156" t="s">
        <v>65</v>
      </c>
      <c r="C18" s="156" t="s">
        <v>65</v>
      </c>
      <c r="D18" s="156" t="s">
        <v>65</v>
      </c>
      <c r="E18" s="156" t="s">
        <v>65</v>
      </c>
      <c r="F18" s="156" t="s">
        <v>65</v>
      </c>
      <c r="G18" s="156" t="s">
        <v>65</v>
      </c>
      <c r="H18" s="156" t="s">
        <v>65</v>
      </c>
      <c r="I18" s="156" t="s">
        <v>65</v>
      </c>
      <c r="J18" s="156" t="s">
        <v>65</v>
      </c>
      <c r="K18" s="156" t="s">
        <v>65</v>
      </c>
      <c r="L18" s="156" t="s">
        <v>65</v>
      </c>
      <c r="M18" s="156" t="s">
        <v>65</v>
      </c>
      <c r="N18" s="156" t="s">
        <v>65</v>
      </c>
      <c r="O18" s="156" t="s">
        <v>65</v>
      </c>
      <c r="P18" s="156" t="s">
        <v>65</v>
      </c>
      <c r="Q18" s="156" t="s">
        <v>65</v>
      </c>
      <c r="R18" s="156" t="s">
        <v>65</v>
      </c>
      <c r="S18" s="156" t="s">
        <v>65</v>
      </c>
      <c r="T18" s="156" t="s">
        <v>65</v>
      </c>
      <c r="U18" s="156" t="s">
        <v>65</v>
      </c>
      <c r="V18" s="156" t="s">
        <v>65</v>
      </c>
      <c r="W18" s="156" t="s">
        <v>65</v>
      </c>
      <c r="X18" s="156" t="s">
        <v>65</v>
      </c>
      <c r="Y18" s="156" t="s">
        <v>65</v>
      </c>
      <c r="Z18" s="156" t="s">
        <v>65</v>
      </c>
      <c r="AA18" s="156" t="s">
        <v>65</v>
      </c>
      <c r="AB18" s="156" t="s">
        <v>65</v>
      </c>
      <c r="AC18" s="156" t="s">
        <v>65</v>
      </c>
      <c r="AD18" s="156" t="s">
        <v>65</v>
      </c>
      <c r="AE18" s="156" t="s">
        <v>65</v>
      </c>
      <c r="AF18" s="181" t="s">
        <v>106</v>
      </c>
      <c r="AH18" s="156" t="s">
        <v>65</v>
      </c>
    </row>
    <row r="19" spans="1:34" ht="25.5">
      <c r="A19" s="127" t="s">
        <v>70</v>
      </c>
      <c r="B19" s="164">
        <v>39093.9</v>
      </c>
      <c r="C19" s="164">
        <v>39115.300000000003</v>
      </c>
      <c r="D19" s="164">
        <v>39141.800000000003</v>
      </c>
      <c r="E19" s="164">
        <v>39164.699999999997</v>
      </c>
      <c r="F19" s="164">
        <v>39197.199999999997</v>
      </c>
      <c r="G19" s="164">
        <v>39247.199999999997</v>
      </c>
      <c r="H19" s="160">
        <v>39275</v>
      </c>
      <c r="I19" s="164">
        <v>39313.800000000003</v>
      </c>
      <c r="J19" s="164">
        <v>39355.1</v>
      </c>
      <c r="K19" s="164">
        <v>39373.5</v>
      </c>
      <c r="L19" s="164">
        <v>39398.199999999997</v>
      </c>
      <c r="M19" s="160">
        <v>39427</v>
      </c>
      <c r="N19" s="164">
        <v>39450.199999999997</v>
      </c>
      <c r="O19" s="164">
        <v>39498.699999999997</v>
      </c>
      <c r="P19" s="164">
        <v>39540.400000000001</v>
      </c>
      <c r="Q19" s="164">
        <v>39586.5</v>
      </c>
      <c r="R19" s="164">
        <v>39591.5</v>
      </c>
      <c r="S19" s="164">
        <v>39634.6</v>
      </c>
      <c r="T19" s="164">
        <v>39644.6</v>
      </c>
      <c r="U19" s="160">
        <v>39670</v>
      </c>
      <c r="V19" s="160">
        <v>39671</v>
      </c>
      <c r="W19" s="164">
        <v>39672.1</v>
      </c>
      <c r="X19" s="164">
        <v>39672.1</v>
      </c>
      <c r="Y19" s="164">
        <v>39672.199999999997</v>
      </c>
      <c r="Z19" s="164">
        <v>39717.300000000003</v>
      </c>
      <c r="AA19" s="164">
        <v>39721.699999999997</v>
      </c>
      <c r="AB19" s="164">
        <v>39781.300000000003</v>
      </c>
      <c r="AC19" s="164">
        <v>39803.800000000003</v>
      </c>
      <c r="AD19" s="164">
        <v>39825.699999999997</v>
      </c>
      <c r="AE19" s="160">
        <v>39843.800000000003</v>
      </c>
      <c r="AF19" s="186">
        <v>39858.5</v>
      </c>
      <c r="AG19" s="418">
        <f>AF19-AH19</f>
        <v>791.40000000000146</v>
      </c>
      <c r="AH19" s="164">
        <v>39067.1</v>
      </c>
    </row>
    <row r="20" spans="1:34" ht="25.5">
      <c r="A20" s="87" t="s">
        <v>71</v>
      </c>
      <c r="B20" s="168" t="s">
        <v>107</v>
      </c>
      <c r="C20" s="168" t="s">
        <v>108</v>
      </c>
      <c r="D20" s="168" t="s">
        <v>109</v>
      </c>
      <c r="E20" s="168" t="s">
        <v>110</v>
      </c>
      <c r="F20" s="168" t="s">
        <v>111</v>
      </c>
      <c r="G20" s="168" t="s">
        <v>112</v>
      </c>
      <c r="H20" s="168" t="s">
        <v>113</v>
      </c>
      <c r="I20" s="168" t="s">
        <v>114</v>
      </c>
      <c r="J20" s="168" t="s">
        <v>115</v>
      </c>
      <c r="K20" s="168" t="s">
        <v>116</v>
      </c>
      <c r="L20" s="168" t="s">
        <v>117</v>
      </c>
      <c r="M20" s="168" t="s">
        <v>118</v>
      </c>
      <c r="N20" s="168" t="s">
        <v>119</v>
      </c>
      <c r="O20" s="168" t="s">
        <v>120</v>
      </c>
      <c r="P20" s="168" t="s">
        <v>121</v>
      </c>
      <c r="Q20" s="168" t="s">
        <v>122</v>
      </c>
      <c r="R20" s="168" t="s">
        <v>123</v>
      </c>
      <c r="S20" s="168" t="s">
        <v>124</v>
      </c>
      <c r="T20" s="168" t="s">
        <v>124</v>
      </c>
      <c r="U20" s="168" t="s">
        <v>125</v>
      </c>
      <c r="V20" s="168" t="s">
        <v>126</v>
      </c>
      <c r="W20" s="168" t="s">
        <v>127</v>
      </c>
      <c r="X20" s="168" t="s">
        <v>128</v>
      </c>
      <c r="Y20" s="168" t="s">
        <v>129</v>
      </c>
      <c r="Z20" s="168" t="s">
        <v>130</v>
      </c>
      <c r="AA20" s="168" t="s">
        <v>131</v>
      </c>
      <c r="AB20" s="168" t="s">
        <v>132</v>
      </c>
      <c r="AC20" s="168" t="s">
        <v>133</v>
      </c>
      <c r="AD20" s="168" t="s">
        <v>134</v>
      </c>
      <c r="AE20" s="187" t="s">
        <v>135</v>
      </c>
      <c r="AF20" s="188">
        <v>4774098</v>
      </c>
      <c r="AG20">
        <f>AF20-AH20</f>
        <v>-76344</v>
      </c>
      <c r="AH20" s="168">
        <v>4850442</v>
      </c>
    </row>
    <row r="21" spans="1:34" ht="25.5">
      <c r="A21" s="87" t="s">
        <v>72</v>
      </c>
      <c r="B21" s="160">
        <v>17923</v>
      </c>
      <c r="C21" s="160">
        <v>18518</v>
      </c>
      <c r="D21" s="160">
        <v>18518</v>
      </c>
      <c r="E21" s="160">
        <v>18518</v>
      </c>
      <c r="F21" s="160">
        <v>18518</v>
      </c>
      <c r="G21" s="160">
        <v>18518</v>
      </c>
      <c r="H21" s="160">
        <v>18518</v>
      </c>
      <c r="I21" s="160">
        <v>18518</v>
      </c>
      <c r="J21" s="160">
        <v>19325</v>
      </c>
      <c r="K21" s="160">
        <v>19325</v>
      </c>
      <c r="L21" s="160">
        <v>19325</v>
      </c>
      <c r="M21" s="160">
        <v>19325</v>
      </c>
      <c r="N21" s="160">
        <v>19325</v>
      </c>
      <c r="O21" s="160">
        <v>19325</v>
      </c>
      <c r="P21" s="160">
        <v>19325</v>
      </c>
      <c r="Q21" s="160">
        <v>20093</v>
      </c>
      <c r="R21" s="160">
        <v>20093</v>
      </c>
      <c r="S21" s="160">
        <v>20093</v>
      </c>
      <c r="T21" s="160">
        <v>20093</v>
      </c>
      <c r="U21" s="160">
        <v>20093</v>
      </c>
      <c r="V21" s="160">
        <v>20093</v>
      </c>
      <c r="W21" s="160">
        <v>20093</v>
      </c>
      <c r="X21" s="160">
        <v>20442</v>
      </c>
      <c r="Y21" s="160">
        <v>20442</v>
      </c>
      <c r="Z21" s="160">
        <v>20442</v>
      </c>
      <c r="AA21" s="160">
        <v>20442</v>
      </c>
      <c r="AB21" s="160">
        <v>20442</v>
      </c>
      <c r="AC21" s="160">
        <v>20442</v>
      </c>
      <c r="AD21" s="160">
        <v>20442</v>
      </c>
      <c r="AE21" s="160">
        <v>20442</v>
      </c>
      <c r="AF21" s="183">
        <v>20442</v>
      </c>
      <c r="AG21" s="48">
        <f>AF21-AH21</f>
        <v>2519</v>
      </c>
      <c r="AH21" s="160">
        <v>17923</v>
      </c>
    </row>
    <row r="22" spans="1:34">
      <c r="A22" s="87" t="s">
        <v>73</v>
      </c>
      <c r="B22" s="160">
        <v>102287</v>
      </c>
      <c r="C22" s="160">
        <v>102341</v>
      </c>
      <c r="D22" s="160">
        <v>102387</v>
      </c>
      <c r="E22" s="160">
        <v>102443</v>
      </c>
      <c r="F22" s="160">
        <v>102486</v>
      </c>
      <c r="G22" s="160">
        <v>102536</v>
      </c>
      <c r="H22" s="160">
        <v>102584</v>
      </c>
      <c r="I22" s="160">
        <v>102654</v>
      </c>
      <c r="J22" s="160">
        <v>102694</v>
      </c>
      <c r="K22" s="160">
        <v>102729</v>
      </c>
      <c r="L22" s="160">
        <v>102767</v>
      </c>
      <c r="M22" s="160">
        <v>102810</v>
      </c>
      <c r="N22" s="160">
        <v>102852</v>
      </c>
      <c r="O22" s="160">
        <v>102897</v>
      </c>
      <c r="P22" s="160">
        <v>102936</v>
      </c>
      <c r="Q22" s="160">
        <v>102968</v>
      </c>
      <c r="R22" s="160">
        <v>103014</v>
      </c>
      <c r="S22" s="160">
        <v>103056</v>
      </c>
      <c r="T22" s="160">
        <v>103104</v>
      </c>
      <c r="U22" s="160">
        <v>103145</v>
      </c>
      <c r="V22" s="160">
        <v>103203</v>
      </c>
      <c r="W22" s="160">
        <v>103238</v>
      </c>
      <c r="X22" s="160">
        <v>103283</v>
      </c>
      <c r="Y22" s="160">
        <v>103316</v>
      </c>
      <c r="Z22" s="160">
        <v>103365</v>
      </c>
      <c r="AA22" s="160">
        <v>103404</v>
      </c>
      <c r="AB22" s="160">
        <v>103466</v>
      </c>
      <c r="AC22" s="160">
        <v>103504</v>
      </c>
      <c r="AD22" s="160">
        <v>103565</v>
      </c>
      <c r="AE22" s="160">
        <v>103504</v>
      </c>
      <c r="AF22" s="183">
        <v>103504</v>
      </c>
      <c r="AG22" s="48">
        <f>AF22-B22</f>
        <v>1217</v>
      </c>
      <c r="AH22" s="160"/>
    </row>
    <row r="23" spans="1:34">
      <c r="A23" s="189" t="s">
        <v>136</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8" t="s">
        <v>137</v>
      </c>
      <c r="AF23" s="188" t="s">
        <v>138</v>
      </c>
      <c r="AH23" s="160"/>
    </row>
    <row r="24" spans="1:34">
      <c r="A24" s="189" t="s">
        <v>139</v>
      </c>
      <c r="B24" s="160"/>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8" t="s">
        <v>140</v>
      </c>
      <c r="AF24" s="188" t="s">
        <v>141</v>
      </c>
      <c r="AH24" s="160"/>
    </row>
    <row r="25" spans="1:34">
      <c r="A25" s="189" t="s">
        <v>142</v>
      </c>
      <c r="B25" s="160"/>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8" t="s">
        <v>143</v>
      </c>
      <c r="AF25" s="188" t="s">
        <v>144</v>
      </c>
      <c r="AH25" s="160"/>
    </row>
    <row r="26" spans="1:34">
      <c r="A26" s="189" t="s">
        <v>145</v>
      </c>
      <c r="B26" s="160"/>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8" t="s">
        <v>146</v>
      </c>
      <c r="AF26" s="188" t="s">
        <v>147</v>
      </c>
      <c r="AH26" s="160"/>
    </row>
    <row r="27" spans="1:34">
      <c r="A27" s="189" t="s">
        <v>148</v>
      </c>
      <c r="B27" s="160"/>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8" t="s">
        <v>149</v>
      </c>
      <c r="AF27" s="188" t="s">
        <v>150</v>
      </c>
      <c r="AH27" s="160"/>
    </row>
    <row r="28" spans="1:34">
      <c r="A28" s="189" t="s">
        <v>151</v>
      </c>
      <c r="B28" s="160"/>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8" t="s">
        <v>152</v>
      </c>
      <c r="AF28" s="188" t="s">
        <v>153</v>
      </c>
      <c r="AH28" s="160"/>
    </row>
    <row r="29" spans="1:34">
      <c r="A29" s="189" t="s">
        <v>154</v>
      </c>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8" t="s">
        <v>155</v>
      </c>
      <c r="AF29" s="188" t="s">
        <v>156</v>
      </c>
      <c r="AH29" s="160"/>
    </row>
    <row r="30" spans="1:34">
      <c r="A30" s="138"/>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62"/>
      <c r="AH30" s="171"/>
    </row>
    <row r="31" spans="1:34" ht="20.100000000000001" customHeight="1">
      <c r="A31" s="87" t="s">
        <v>74</v>
      </c>
      <c r="B31" s="156" t="s">
        <v>76</v>
      </c>
      <c r="C31" s="156" t="s">
        <v>76</v>
      </c>
      <c r="D31" s="156" t="s">
        <v>76</v>
      </c>
      <c r="E31" s="156" t="s">
        <v>76</v>
      </c>
      <c r="F31" s="156" t="s">
        <v>76</v>
      </c>
      <c r="G31" s="156" t="s">
        <v>76</v>
      </c>
      <c r="H31" s="156" t="s">
        <v>76</v>
      </c>
      <c r="I31" s="156" t="s">
        <v>76</v>
      </c>
      <c r="J31" s="156" t="s">
        <v>76</v>
      </c>
      <c r="K31" s="156" t="s">
        <v>76</v>
      </c>
      <c r="L31" s="156" t="s">
        <v>76</v>
      </c>
      <c r="M31" s="156" t="s">
        <v>76</v>
      </c>
      <c r="N31" s="156" t="s">
        <v>76</v>
      </c>
      <c r="O31" s="156" t="s">
        <v>76</v>
      </c>
      <c r="P31" s="156" t="s">
        <v>76</v>
      </c>
      <c r="Q31" s="156" t="s">
        <v>76</v>
      </c>
      <c r="R31" s="156" t="s">
        <v>76</v>
      </c>
      <c r="S31" s="156" t="s">
        <v>76</v>
      </c>
      <c r="T31" s="156" t="s">
        <v>76</v>
      </c>
      <c r="U31" s="156" t="s">
        <v>76</v>
      </c>
      <c r="V31" s="156" t="s">
        <v>76</v>
      </c>
      <c r="W31" s="156" t="s">
        <v>76</v>
      </c>
      <c r="X31" s="156" t="s">
        <v>76</v>
      </c>
      <c r="Y31" s="156" t="s">
        <v>76</v>
      </c>
      <c r="Z31" s="156" t="s">
        <v>76</v>
      </c>
      <c r="AA31" s="156" t="s">
        <v>76</v>
      </c>
      <c r="AB31" s="156" t="s">
        <v>76</v>
      </c>
      <c r="AC31" s="156" t="s">
        <v>76</v>
      </c>
      <c r="AD31" s="156" t="s">
        <v>76</v>
      </c>
      <c r="AE31" s="156" t="s">
        <v>76</v>
      </c>
      <c r="AF31" s="181" t="s">
        <v>157</v>
      </c>
      <c r="AH31" s="156" t="s">
        <v>76</v>
      </c>
    </row>
    <row r="32" spans="1:34" ht="25.5">
      <c r="A32" s="127" t="s">
        <v>77</v>
      </c>
      <c r="B32" s="136" t="s">
        <v>79</v>
      </c>
      <c r="C32" s="136" t="s">
        <v>79</v>
      </c>
      <c r="D32" s="136" t="s">
        <v>79</v>
      </c>
      <c r="E32" s="136" t="s">
        <v>79</v>
      </c>
      <c r="F32" s="136" t="s">
        <v>79</v>
      </c>
      <c r="G32" s="136" t="s">
        <v>79</v>
      </c>
      <c r="H32" s="136" t="s">
        <v>79</v>
      </c>
      <c r="I32" s="136" t="s">
        <v>79</v>
      </c>
      <c r="J32" s="136" t="s">
        <v>79</v>
      </c>
      <c r="K32" s="136" t="s">
        <v>79</v>
      </c>
      <c r="L32" s="136" t="s">
        <v>79</v>
      </c>
      <c r="M32" s="136" t="s">
        <v>79</v>
      </c>
      <c r="N32" s="136" t="s">
        <v>79</v>
      </c>
      <c r="O32" s="136" t="s">
        <v>79</v>
      </c>
      <c r="P32" s="136" t="s">
        <v>79</v>
      </c>
      <c r="Q32" s="136" t="s">
        <v>79</v>
      </c>
      <c r="R32" s="136" t="s">
        <v>79</v>
      </c>
      <c r="S32" s="136" t="s">
        <v>79</v>
      </c>
      <c r="T32" s="136" t="s">
        <v>79</v>
      </c>
      <c r="U32" s="136" t="s">
        <v>79</v>
      </c>
      <c r="V32" s="136" t="s">
        <v>79</v>
      </c>
      <c r="W32" s="136" t="s">
        <v>79</v>
      </c>
      <c r="X32" s="136" t="s">
        <v>79</v>
      </c>
      <c r="Y32" s="136" t="s">
        <v>79</v>
      </c>
      <c r="Z32" s="136" t="s">
        <v>79</v>
      </c>
      <c r="AA32" s="136" t="s">
        <v>79</v>
      </c>
      <c r="AB32" s="136" t="s">
        <v>79</v>
      </c>
      <c r="AC32" s="136" t="s">
        <v>79</v>
      </c>
      <c r="AD32" s="136" t="s">
        <v>79</v>
      </c>
      <c r="AE32" s="190" t="s">
        <v>158</v>
      </c>
      <c r="AF32" s="191" t="s">
        <v>158</v>
      </c>
      <c r="AH32" s="136" t="s">
        <v>79</v>
      </c>
    </row>
    <row r="33" spans="1:34" ht="25.5">
      <c r="A33" s="87" t="s">
        <v>80</v>
      </c>
      <c r="B33" s="168" t="s">
        <v>584</v>
      </c>
      <c r="C33" s="168" t="s">
        <v>159</v>
      </c>
      <c r="D33" s="168" t="s">
        <v>160</v>
      </c>
      <c r="E33" s="168" t="s">
        <v>160</v>
      </c>
      <c r="F33" s="168" t="s">
        <v>161</v>
      </c>
      <c r="G33" s="168" t="s">
        <v>162</v>
      </c>
      <c r="H33" s="168" t="s">
        <v>163</v>
      </c>
      <c r="I33" s="168" t="s">
        <v>164</v>
      </c>
      <c r="J33" s="168" t="s">
        <v>165</v>
      </c>
      <c r="K33" s="168" t="s">
        <v>166</v>
      </c>
      <c r="L33" s="168" t="s">
        <v>167</v>
      </c>
      <c r="M33" s="168" t="s">
        <v>168</v>
      </c>
      <c r="N33" s="168" t="s">
        <v>169</v>
      </c>
      <c r="O33" s="168" t="s">
        <v>170</v>
      </c>
      <c r="P33" s="168" t="s">
        <v>171</v>
      </c>
      <c r="Q33" s="168" t="s">
        <v>172</v>
      </c>
      <c r="R33" s="168" t="s">
        <v>173</v>
      </c>
      <c r="S33" s="168" t="s">
        <v>173</v>
      </c>
      <c r="T33" s="168" t="s">
        <v>174</v>
      </c>
      <c r="U33" s="168" t="s">
        <v>175</v>
      </c>
      <c r="V33" s="168" t="s">
        <v>175</v>
      </c>
      <c r="W33" s="168" t="s">
        <v>175</v>
      </c>
      <c r="X33" s="168" t="s">
        <v>175</v>
      </c>
      <c r="Y33" s="168" t="s">
        <v>176</v>
      </c>
      <c r="Z33" s="168" t="s">
        <v>177</v>
      </c>
      <c r="AA33" s="168" t="s">
        <v>178</v>
      </c>
      <c r="AB33" s="168" t="s">
        <v>179</v>
      </c>
      <c r="AC33" s="168" t="s">
        <v>179</v>
      </c>
      <c r="AD33" s="168" t="s">
        <v>179</v>
      </c>
      <c r="AE33" s="187" t="s">
        <v>180</v>
      </c>
      <c r="AF33" s="188" t="s">
        <v>181</v>
      </c>
      <c r="AH33" s="168" t="s">
        <v>182</v>
      </c>
    </row>
    <row r="34" spans="1:34" ht="15.75" thickBot="1">
      <c r="A34" s="139" t="s">
        <v>81</v>
      </c>
      <c r="B34" s="168" t="s">
        <v>585</v>
      </c>
      <c r="C34" s="168" t="s">
        <v>183</v>
      </c>
      <c r="D34" s="168" t="s">
        <v>184</v>
      </c>
      <c r="E34" s="168" t="s">
        <v>183</v>
      </c>
      <c r="F34" s="168" t="s">
        <v>183</v>
      </c>
      <c r="G34" s="168" t="s">
        <v>184</v>
      </c>
      <c r="H34" s="168" t="s">
        <v>185</v>
      </c>
      <c r="I34" s="168" t="s">
        <v>184</v>
      </c>
      <c r="J34" s="168" t="s">
        <v>184</v>
      </c>
      <c r="K34" s="168" t="s">
        <v>184</v>
      </c>
      <c r="L34" s="168" t="s">
        <v>184</v>
      </c>
      <c r="M34" s="168" t="s">
        <v>186</v>
      </c>
      <c r="N34" s="168" t="s">
        <v>187</v>
      </c>
      <c r="O34" s="168" t="s">
        <v>187</v>
      </c>
      <c r="P34" s="168" t="s">
        <v>184</v>
      </c>
      <c r="Q34" s="168" t="s">
        <v>184</v>
      </c>
      <c r="R34" s="168" t="s">
        <v>184</v>
      </c>
      <c r="S34" s="168" t="s">
        <v>184</v>
      </c>
      <c r="T34" s="168" t="s">
        <v>184</v>
      </c>
      <c r="U34" s="168" t="s">
        <v>184</v>
      </c>
      <c r="V34" s="168" t="s">
        <v>184</v>
      </c>
      <c r="W34" s="168" t="s">
        <v>184</v>
      </c>
      <c r="X34" s="168" t="s">
        <v>184</v>
      </c>
      <c r="Y34" s="168" t="s">
        <v>184</v>
      </c>
      <c r="Z34" s="168" t="s">
        <v>188</v>
      </c>
      <c r="AA34" s="168" t="s">
        <v>188</v>
      </c>
      <c r="AB34" s="168" t="s">
        <v>188</v>
      </c>
      <c r="AC34" s="168" t="s">
        <v>188</v>
      </c>
      <c r="AD34" s="168" t="s">
        <v>188</v>
      </c>
      <c r="AE34" s="187" t="s">
        <v>189</v>
      </c>
      <c r="AF34" s="188" t="s">
        <v>189</v>
      </c>
      <c r="AH34" s="168" t="s">
        <v>183</v>
      </c>
    </row>
  </sheetData>
  <mergeCells count="1">
    <mergeCell ref="A1:A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409B-9B29-44A2-BA12-929466F233A1}">
  <dimension ref="A1:AK36"/>
  <sheetViews>
    <sheetView topLeftCell="J12" zoomScale="115" zoomScaleNormal="115" workbookViewId="0">
      <selection activeCell="Z36" sqref="Z36"/>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28" width="8.7109375" style="20"/>
    <col min="29" max="30" width="9.42578125" style="143" customWidth="1"/>
    <col min="31" max="31" width="8.7109375" style="144"/>
    <col min="32" max="32" width="10.85546875" style="144" customWidth="1"/>
    <col min="33" max="33" width="11" customWidth="1"/>
    <col min="34" max="34" width="11.42578125" customWidth="1"/>
  </cols>
  <sheetData>
    <row r="1" spans="1:37"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row>
    <row r="2" spans="1:37" ht="15.75">
      <c r="A2" s="82"/>
      <c r="B2" s="83">
        <v>44228</v>
      </c>
      <c r="C2" s="83">
        <v>44229</v>
      </c>
      <c r="D2" s="83">
        <v>44230</v>
      </c>
      <c r="E2" s="83">
        <v>44231</v>
      </c>
      <c r="F2" s="83">
        <v>44232</v>
      </c>
      <c r="G2" s="83">
        <v>44233</v>
      </c>
      <c r="H2" s="83">
        <v>44234</v>
      </c>
      <c r="I2" s="83">
        <v>44235</v>
      </c>
      <c r="J2" s="83">
        <v>44236</v>
      </c>
      <c r="K2" s="83">
        <v>44237</v>
      </c>
      <c r="L2" s="83">
        <v>44238</v>
      </c>
      <c r="M2" s="83">
        <v>44239</v>
      </c>
      <c r="N2" s="83">
        <v>44240</v>
      </c>
      <c r="O2" s="83">
        <v>44241</v>
      </c>
      <c r="P2" s="83">
        <v>44242</v>
      </c>
      <c r="Q2" s="83">
        <v>44243</v>
      </c>
      <c r="R2" s="83">
        <v>44244</v>
      </c>
      <c r="S2" s="83">
        <v>44245</v>
      </c>
      <c r="T2" s="83">
        <v>44246</v>
      </c>
      <c r="U2" s="83">
        <v>44247</v>
      </c>
      <c r="V2" s="83">
        <v>44248</v>
      </c>
      <c r="W2" s="83">
        <v>44249</v>
      </c>
      <c r="X2" s="83">
        <v>44250</v>
      </c>
      <c r="Y2" s="83">
        <v>44251</v>
      </c>
      <c r="Z2" s="83">
        <v>44252</v>
      </c>
      <c r="AA2" s="83">
        <v>44253</v>
      </c>
      <c r="AB2" s="83">
        <v>44254</v>
      </c>
      <c r="AC2" s="83">
        <v>44255</v>
      </c>
      <c r="AD2" s="83"/>
      <c r="AE2" s="83"/>
      <c r="AF2" s="83">
        <v>44227</v>
      </c>
    </row>
    <row r="3" spans="1:37"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175" t="s">
        <v>52</v>
      </c>
      <c r="AD3" s="192"/>
      <c r="AE3" s="193"/>
      <c r="AF3" s="93" t="s">
        <v>52</v>
      </c>
    </row>
    <row r="4" spans="1:37" ht="20.100000000000001" customHeight="1">
      <c r="A4" s="94" t="s">
        <v>54</v>
      </c>
      <c r="B4" s="176">
        <v>133243</v>
      </c>
      <c r="C4" s="212">
        <v>133448</v>
      </c>
      <c r="D4" s="212">
        <v>133657</v>
      </c>
      <c r="E4" s="212">
        <v>133857</v>
      </c>
      <c r="F4" s="212">
        <v>134067</v>
      </c>
      <c r="G4" s="212">
        <v>134248</v>
      </c>
      <c r="H4" s="212">
        <v>134450</v>
      </c>
      <c r="I4" s="212">
        <v>134658</v>
      </c>
      <c r="J4" s="212">
        <v>134860</v>
      </c>
      <c r="K4" s="212">
        <v>135059</v>
      </c>
      <c r="L4" s="212">
        <v>135265</v>
      </c>
      <c r="M4" s="212">
        <v>135465</v>
      </c>
      <c r="N4" s="212">
        <v>135656</v>
      </c>
      <c r="O4" s="212">
        <v>135859</v>
      </c>
      <c r="P4" s="212">
        <v>136064</v>
      </c>
      <c r="Q4" s="212">
        <v>136270</v>
      </c>
      <c r="R4" s="212">
        <v>136478</v>
      </c>
      <c r="S4" s="212">
        <v>136685</v>
      </c>
      <c r="T4" s="212">
        <v>136888</v>
      </c>
      <c r="U4" s="212">
        <v>137078</v>
      </c>
      <c r="V4" s="212">
        <v>137275</v>
      </c>
      <c r="W4" s="212">
        <v>137483</v>
      </c>
      <c r="X4" s="212">
        <v>137691</v>
      </c>
      <c r="Y4" s="212">
        <v>137893</v>
      </c>
      <c r="Z4" s="212">
        <v>138100</v>
      </c>
      <c r="AA4" s="212">
        <v>138299</v>
      </c>
      <c r="AB4" s="212">
        <v>138499</v>
      </c>
      <c r="AC4" s="212">
        <v>138692</v>
      </c>
      <c r="AD4" s="194"/>
      <c r="AE4" s="195"/>
      <c r="AF4" s="176">
        <v>133035</v>
      </c>
      <c r="AG4" s="101"/>
      <c r="AH4" s="101"/>
      <c r="AK4" s="102"/>
    </row>
    <row r="5" spans="1:37" ht="20.100000000000001" customHeight="1">
      <c r="A5" s="94" t="s">
        <v>55</v>
      </c>
      <c r="B5" s="176">
        <v>2480906</v>
      </c>
      <c r="C5" s="212">
        <v>2487863</v>
      </c>
      <c r="D5" s="212">
        <v>2495096</v>
      </c>
      <c r="E5" s="212">
        <v>2502031</v>
      </c>
      <c r="F5" s="212">
        <v>2509179</v>
      </c>
      <c r="G5" s="212">
        <v>2515088</v>
      </c>
      <c r="H5" s="212">
        <v>2521859</v>
      </c>
      <c r="I5" s="212">
        <v>2528923</v>
      </c>
      <c r="J5" s="212">
        <v>2535371</v>
      </c>
      <c r="K5" s="212">
        <v>2541185</v>
      </c>
      <c r="L5" s="212">
        <v>2548711</v>
      </c>
      <c r="M5" s="212">
        <v>2555733</v>
      </c>
      <c r="N5" s="212">
        <v>2562337</v>
      </c>
      <c r="O5" s="212">
        <v>2569326</v>
      </c>
      <c r="P5" s="212">
        <v>2576937</v>
      </c>
      <c r="Q5" s="212">
        <v>2584353</v>
      </c>
      <c r="R5" s="212">
        <v>2591596</v>
      </c>
      <c r="S5" s="212">
        <v>2598637</v>
      </c>
      <c r="T5" s="212">
        <v>2605573</v>
      </c>
      <c r="U5" s="212">
        <v>2611700</v>
      </c>
      <c r="V5" s="212">
        <v>2618193</v>
      </c>
      <c r="W5" s="212">
        <v>2625169</v>
      </c>
      <c r="X5" s="212">
        <v>2632183</v>
      </c>
      <c r="Y5" s="212">
        <v>2638888</v>
      </c>
      <c r="Z5" s="212">
        <v>2645778</v>
      </c>
      <c r="AA5" s="212">
        <v>2652223</v>
      </c>
      <c r="AB5" s="213">
        <v>2658241</v>
      </c>
      <c r="AC5" s="212">
        <v>2664449</v>
      </c>
      <c r="AD5" s="194"/>
      <c r="AE5" s="195"/>
      <c r="AF5" s="176">
        <v>2473920</v>
      </c>
      <c r="AG5" s="101"/>
      <c r="AH5" s="101"/>
      <c r="AK5" s="102"/>
    </row>
    <row r="6" spans="1:37" ht="20.100000000000001" customHeight="1">
      <c r="A6" s="94" t="s">
        <v>56</v>
      </c>
      <c r="B6" s="176">
        <v>1300136</v>
      </c>
      <c r="C6" s="212">
        <v>1303524</v>
      </c>
      <c r="D6" s="212">
        <v>1307042</v>
      </c>
      <c r="E6" s="212">
        <v>1310515</v>
      </c>
      <c r="F6" s="212">
        <v>1314097</v>
      </c>
      <c r="G6" s="212">
        <v>1317132</v>
      </c>
      <c r="H6" s="212">
        <v>1320625</v>
      </c>
      <c r="I6" s="212">
        <v>1324201</v>
      </c>
      <c r="J6" s="212">
        <v>1327418</v>
      </c>
      <c r="K6" s="212">
        <v>1330632</v>
      </c>
      <c r="L6" s="212">
        <v>1334340</v>
      </c>
      <c r="M6" s="212">
        <v>1337573</v>
      </c>
      <c r="N6" s="212">
        <v>1340681</v>
      </c>
      <c r="O6" s="212">
        <v>1343861</v>
      </c>
      <c r="P6" s="212">
        <v>1347239</v>
      </c>
      <c r="Q6" s="212">
        <v>1350434</v>
      </c>
      <c r="R6" s="212">
        <v>1353726</v>
      </c>
      <c r="S6" s="212">
        <v>1356991</v>
      </c>
      <c r="T6" s="212">
        <v>1360128</v>
      </c>
      <c r="U6" s="212">
        <v>1363079</v>
      </c>
      <c r="V6" s="212">
        <v>1366142</v>
      </c>
      <c r="W6" s="212">
        <v>1369484</v>
      </c>
      <c r="X6" s="212">
        <v>1372864</v>
      </c>
      <c r="Y6" s="212">
        <v>1376168</v>
      </c>
      <c r="Z6" s="212">
        <v>1379535</v>
      </c>
      <c r="AA6" s="212">
        <v>1382692</v>
      </c>
      <c r="AB6" s="212">
        <v>1385780</v>
      </c>
      <c r="AC6" s="212">
        <v>1388875</v>
      </c>
      <c r="AD6" s="194"/>
      <c r="AE6" s="195"/>
      <c r="AF6" s="176">
        <v>1296666</v>
      </c>
      <c r="AG6" s="101"/>
      <c r="AH6" s="101"/>
      <c r="AK6" s="102"/>
    </row>
    <row r="7" spans="1:37" ht="20.100000000000001" customHeight="1">
      <c r="A7" s="94" t="s">
        <v>57</v>
      </c>
      <c r="B7" s="176">
        <v>4295464</v>
      </c>
      <c r="C7" s="212">
        <v>4295544</v>
      </c>
      <c r="D7" s="212">
        <v>4296338</v>
      </c>
      <c r="E7" s="212">
        <v>4302665</v>
      </c>
      <c r="F7" s="212">
        <v>4309738</v>
      </c>
      <c r="G7" s="212">
        <v>4315246</v>
      </c>
      <c r="H7" s="212">
        <v>4321710</v>
      </c>
      <c r="I7" s="212">
        <v>4328492</v>
      </c>
      <c r="J7" s="212">
        <v>4335130</v>
      </c>
      <c r="K7" s="212">
        <v>4341628</v>
      </c>
      <c r="L7" s="212">
        <v>4348392</v>
      </c>
      <c r="M7" s="212">
        <v>4355083</v>
      </c>
      <c r="N7" s="212">
        <v>4360866</v>
      </c>
      <c r="O7" s="212">
        <v>4360947</v>
      </c>
      <c r="P7" s="212">
        <v>4361026</v>
      </c>
      <c r="Q7" s="212">
        <v>4361103</v>
      </c>
      <c r="R7" s="212">
        <v>4361183</v>
      </c>
      <c r="S7" s="212">
        <v>4361263</v>
      </c>
      <c r="T7" s="212">
        <v>4361343</v>
      </c>
      <c r="U7" s="212">
        <v>4362142</v>
      </c>
      <c r="V7" s="212">
        <v>4368350</v>
      </c>
      <c r="W7" s="212">
        <v>4374968</v>
      </c>
      <c r="X7" s="212">
        <v>4381774</v>
      </c>
      <c r="Y7" s="212">
        <v>4388273</v>
      </c>
      <c r="Z7" s="212">
        <v>4395265</v>
      </c>
      <c r="AA7" s="212">
        <v>4401801</v>
      </c>
      <c r="AB7" s="212">
        <v>4408281</v>
      </c>
      <c r="AC7" s="212">
        <v>4414454</v>
      </c>
      <c r="AD7" s="194"/>
      <c r="AE7" s="195"/>
      <c r="AF7" s="176">
        <v>4295386</v>
      </c>
      <c r="AG7" s="101"/>
      <c r="AH7" s="101"/>
      <c r="AK7" s="102"/>
    </row>
    <row r="8" spans="1:37" ht="20.100000000000001" customHeight="1">
      <c r="A8" s="94" t="s">
        <v>58</v>
      </c>
      <c r="B8" s="176">
        <v>1709280</v>
      </c>
      <c r="C8" s="212">
        <v>1711347</v>
      </c>
      <c r="D8" s="212">
        <v>1713238</v>
      </c>
      <c r="E8" s="212">
        <v>1713238</v>
      </c>
      <c r="F8" s="212">
        <v>1713238</v>
      </c>
      <c r="G8" s="212">
        <v>1713238</v>
      </c>
      <c r="H8" s="212">
        <v>1713238</v>
      </c>
      <c r="I8" s="212">
        <v>1713238</v>
      </c>
      <c r="J8" s="212">
        <v>1713238</v>
      </c>
      <c r="K8" s="212">
        <v>1713238</v>
      </c>
      <c r="L8" s="212">
        <v>1713238</v>
      </c>
      <c r="M8" s="212">
        <v>1713238</v>
      </c>
      <c r="N8" s="212">
        <v>1713522</v>
      </c>
      <c r="O8" s="212">
        <v>1715580</v>
      </c>
      <c r="P8" s="212">
        <v>1717747</v>
      </c>
      <c r="Q8" s="212">
        <v>1719893</v>
      </c>
      <c r="R8" s="212">
        <v>1722107</v>
      </c>
      <c r="S8" s="212">
        <v>1724392</v>
      </c>
      <c r="T8" s="212">
        <v>1726616</v>
      </c>
      <c r="U8" s="212">
        <v>1728419</v>
      </c>
      <c r="V8" s="212">
        <v>1728419</v>
      </c>
      <c r="W8" s="212">
        <v>1728419</v>
      </c>
      <c r="X8" s="212">
        <v>1728419</v>
      </c>
      <c r="Y8" s="212">
        <v>1728419</v>
      </c>
      <c r="Z8" s="212">
        <v>1728419</v>
      </c>
      <c r="AA8" s="212">
        <v>1728419</v>
      </c>
      <c r="AB8" s="212">
        <v>1728419</v>
      </c>
      <c r="AC8" s="212">
        <v>1728419</v>
      </c>
      <c r="AD8" s="194"/>
      <c r="AE8" s="195"/>
      <c r="AF8" s="176">
        <v>1707228</v>
      </c>
      <c r="AG8" s="101"/>
      <c r="AH8" s="101"/>
      <c r="AK8" s="102"/>
    </row>
    <row r="9" spans="1:37" ht="20.100000000000001" customHeight="1">
      <c r="A9" s="94" t="s">
        <v>59</v>
      </c>
      <c r="B9" s="179">
        <v>10172888</v>
      </c>
      <c r="C9" s="214">
        <v>10179865</v>
      </c>
      <c r="D9" s="214">
        <v>10187182</v>
      </c>
      <c r="E9" s="214">
        <v>10194534</v>
      </c>
      <c r="F9" s="214">
        <v>10202497</v>
      </c>
      <c r="G9" s="214">
        <v>10208911</v>
      </c>
      <c r="H9" s="214">
        <v>10216108</v>
      </c>
      <c r="I9" s="214">
        <v>10223757</v>
      </c>
      <c r="J9" s="214">
        <v>10231322</v>
      </c>
      <c r="K9" s="214">
        <v>10238847</v>
      </c>
      <c r="L9" s="214">
        <v>10246542</v>
      </c>
      <c r="M9" s="214">
        <v>10254081</v>
      </c>
      <c r="N9" s="214">
        <v>10261730</v>
      </c>
      <c r="O9" s="214">
        <v>10269217</v>
      </c>
      <c r="P9" s="214">
        <v>10277047</v>
      </c>
      <c r="Q9" s="214">
        <v>10285194</v>
      </c>
      <c r="R9" s="214">
        <v>10293726</v>
      </c>
      <c r="S9" s="214">
        <v>10302335</v>
      </c>
      <c r="T9" s="214">
        <v>10310658</v>
      </c>
      <c r="U9" s="214">
        <v>10318773</v>
      </c>
      <c r="V9" s="214">
        <v>10327011</v>
      </c>
      <c r="W9" s="214">
        <v>10335358</v>
      </c>
      <c r="X9" s="214">
        <v>10343924</v>
      </c>
      <c r="Y9" s="214">
        <v>10351981</v>
      </c>
      <c r="Z9" s="214">
        <v>10359848</v>
      </c>
      <c r="AA9" s="214">
        <v>10367447</v>
      </c>
      <c r="AB9" s="214">
        <v>10375230</v>
      </c>
      <c r="AC9" s="214">
        <v>10382632</v>
      </c>
      <c r="AD9" s="196"/>
      <c r="AE9" s="197"/>
      <c r="AF9" s="179">
        <v>10165835</v>
      </c>
      <c r="AG9" s="101"/>
      <c r="AH9" s="101"/>
      <c r="AK9" s="102"/>
    </row>
    <row r="10" spans="1:37" ht="20.100000000000001" customHeight="1">
      <c r="A10" s="94" t="s">
        <v>60</v>
      </c>
      <c r="B10" s="176">
        <v>2041014</v>
      </c>
      <c r="C10" s="212">
        <v>2046449</v>
      </c>
      <c r="D10" s="212">
        <v>2051977</v>
      </c>
      <c r="E10" s="212">
        <v>2057317</v>
      </c>
      <c r="F10" s="212">
        <v>2062825</v>
      </c>
      <c r="G10" s="212">
        <v>2067734</v>
      </c>
      <c r="H10" s="212">
        <v>2073060</v>
      </c>
      <c r="I10" s="212">
        <v>2078201</v>
      </c>
      <c r="J10" s="212">
        <v>2083253</v>
      </c>
      <c r="K10" s="212">
        <v>2088290</v>
      </c>
      <c r="L10" s="212">
        <v>2093479</v>
      </c>
      <c r="M10" s="212">
        <v>2098471</v>
      </c>
      <c r="N10" s="212">
        <v>2103318</v>
      </c>
      <c r="O10" s="212">
        <v>2108280</v>
      </c>
      <c r="P10" s="212">
        <v>2113383</v>
      </c>
      <c r="Q10" s="212">
        <v>2118568</v>
      </c>
      <c r="R10" s="212">
        <v>2123763</v>
      </c>
      <c r="S10" s="212">
        <v>2128970</v>
      </c>
      <c r="T10" s="212">
        <v>2133984</v>
      </c>
      <c r="U10" s="212">
        <v>2138696</v>
      </c>
      <c r="V10" s="212">
        <v>2143512</v>
      </c>
      <c r="W10" s="212">
        <v>2148695</v>
      </c>
      <c r="X10" s="212">
        <v>2153895</v>
      </c>
      <c r="Y10" s="212">
        <v>2158985</v>
      </c>
      <c r="Z10" s="212">
        <v>2164118</v>
      </c>
      <c r="AA10" s="212">
        <v>2169052</v>
      </c>
      <c r="AB10" s="212">
        <v>2173822</v>
      </c>
      <c r="AC10" s="212">
        <v>2178752</v>
      </c>
      <c r="AD10" s="194"/>
      <c r="AE10" s="195"/>
      <c r="AF10" s="176">
        <v>2035628</v>
      </c>
      <c r="AG10" s="101"/>
      <c r="AH10" s="101"/>
      <c r="AK10" s="102"/>
    </row>
    <row r="11" spans="1:37" ht="22.5" customHeight="1">
      <c r="A11" s="94" t="s">
        <v>61</v>
      </c>
      <c r="B11" s="176">
        <v>104270</v>
      </c>
      <c r="C11" s="212">
        <v>104430</v>
      </c>
      <c r="D11" s="212">
        <v>104590</v>
      </c>
      <c r="E11" s="212">
        <v>104744</v>
      </c>
      <c r="F11" s="212">
        <v>104904</v>
      </c>
      <c r="G11" s="212">
        <v>105035</v>
      </c>
      <c r="H11" s="212">
        <v>105186</v>
      </c>
      <c r="I11" s="212">
        <v>105354</v>
      </c>
      <c r="J11" s="212">
        <v>105503</v>
      </c>
      <c r="K11" s="212">
        <v>105643</v>
      </c>
      <c r="L11" s="212">
        <v>105810</v>
      </c>
      <c r="M11" s="212">
        <v>105972</v>
      </c>
      <c r="N11" s="212">
        <v>106123</v>
      </c>
      <c r="O11" s="212">
        <v>106290</v>
      </c>
      <c r="P11" s="212">
        <v>106462</v>
      </c>
      <c r="Q11" s="212">
        <v>106634</v>
      </c>
      <c r="R11" s="212">
        <v>106811</v>
      </c>
      <c r="S11" s="212">
        <v>106995</v>
      </c>
      <c r="T11" s="212">
        <v>107173</v>
      </c>
      <c r="U11" s="212">
        <v>107334</v>
      </c>
      <c r="V11" s="212">
        <v>107502</v>
      </c>
      <c r="W11" s="212">
        <v>107682</v>
      </c>
      <c r="X11" s="212">
        <v>107857</v>
      </c>
      <c r="Y11" s="212">
        <v>108028</v>
      </c>
      <c r="Z11" s="212">
        <v>108200</v>
      </c>
      <c r="AA11" s="212">
        <v>108361</v>
      </c>
      <c r="AB11" s="212">
        <v>108511</v>
      </c>
      <c r="AC11" s="212">
        <v>108667</v>
      </c>
      <c r="AD11" s="194"/>
      <c r="AE11" s="195"/>
      <c r="AF11" s="176">
        <v>104108</v>
      </c>
      <c r="AG11" s="101"/>
      <c r="AH11" s="101"/>
      <c r="AK11" s="102"/>
    </row>
    <row r="12" spans="1:37" s="109" customFormat="1" ht="18" customHeight="1">
      <c r="A12" s="103" t="s">
        <v>62</v>
      </c>
      <c r="B12" s="184"/>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98"/>
      <c r="AE12" s="198"/>
      <c r="AF12" s="180"/>
    </row>
    <row r="13" spans="1:37" ht="25.5">
      <c r="A13" s="87" t="s">
        <v>63</v>
      </c>
      <c r="B13" s="215"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92"/>
      <c r="AE13" s="192"/>
      <c r="AF13" s="181" t="s">
        <v>106</v>
      </c>
    </row>
    <row r="14" spans="1:37">
      <c r="A14" s="87" t="s">
        <v>66</v>
      </c>
      <c r="B14" s="182">
        <v>159674.29</v>
      </c>
      <c r="C14" s="182">
        <v>159674.29</v>
      </c>
      <c r="D14" s="182">
        <v>159674.29</v>
      </c>
      <c r="E14" s="182">
        <v>159674.29</v>
      </c>
      <c r="F14" s="182">
        <v>159674.29</v>
      </c>
      <c r="G14" s="182">
        <v>161012.22</v>
      </c>
      <c r="H14" s="182">
        <v>161012.22</v>
      </c>
      <c r="I14" s="182">
        <v>161012.22</v>
      </c>
      <c r="J14" s="182">
        <v>161012.22</v>
      </c>
      <c r="K14" s="182">
        <v>161012.22</v>
      </c>
      <c r="L14" s="182">
        <v>161012.22</v>
      </c>
      <c r="M14" s="182">
        <v>161012.22</v>
      </c>
      <c r="N14" s="182">
        <v>161760.01</v>
      </c>
      <c r="O14" s="182">
        <v>161760.01</v>
      </c>
      <c r="P14" s="182">
        <v>161760.01</v>
      </c>
      <c r="Q14" s="182">
        <v>161760.01</v>
      </c>
      <c r="R14" s="182">
        <v>161760.01</v>
      </c>
      <c r="S14" s="182">
        <v>161760.01</v>
      </c>
      <c r="T14" s="182">
        <v>161760.01</v>
      </c>
      <c r="U14" s="182">
        <v>162788.99</v>
      </c>
      <c r="V14" s="182">
        <v>162788.99</v>
      </c>
      <c r="W14" s="182">
        <v>162788.99</v>
      </c>
      <c r="X14" s="182">
        <v>162788.99</v>
      </c>
      <c r="Y14" s="182">
        <v>162788.99</v>
      </c>
      <c r="Z14" s="182">
        <v>162788.99</v>
      </c>
      <c r="AA14" s="182">
        <v>162788.99</v>
      </c>
      <c r="AB14" s="182">
        <v>164033.31</v>
      </c>
      <c r="AC14" s="182">
        <v>164033.31</v>
      </c>
      <c r="AD14" s="199"/>
      <c r="AE14" s="200"/>
      <c r="AF14" s="182">
        <v>159674.29</v>
      </c>
    </row>
    <row r="15" spans="1:37" ht="26.1" customHeight="1">
      <c r="A15" s="87" t="s">
        <v>67</v>
      </c>
      <c r="B15" s="183">
        <v>833</v>
      </c>
      <c r="C15" s="183">
        <v>834</v>
      </c>
      <c r="D15" s="183">
        <v>834</v>
      </c>
      <c r="E15" s="183">
        <v>834</v>
      </c>
      <c r="F15" s="183">
        <v>835</v>
      </c>
      <c r="G15" s="183">
        <v>838</v>
      </c>
      <c r="H15" s="183">
        <v>840</v>
      </c>
      <c r="I15" s="183">
        <v>840</v>
      </c>
      <c r="J15" s="183">
        <v>840</v>
      </c>
      <c r="K15" s="183">
        <v>840</v>
      </c>
      <c r="L15" s="183">
        <v>840</v>
      </c>
      <c r="M15" s="183">
        <v>840</v>
      </c>
      <c r="N15" s="183">
        <v>841</v>
      </c>
      <c r="O15" s="183">
        <v>841</v>
      </c>
      <c r="P15" s="183">
        <v>842</v>
      </c>
      <c r="Q15" s="183">
        <v>842</v>
      </c>
      <c r="R15" s="183">
        <v>842</v>
      </c>
      <c r="S15" s="183">
        <v>842</v>
      </c>
      <c r="T15" s="183">
        <v>843</v>
      </c>
      <c r="U15" s="183">
        <v>845</v>
      </c>
      <c r="V15" s="183">
        <v>846</v>
      </c>
      <c r="W15" s="183">
        <v>847</v>
      </c>
      <c r="X15" s="183">
        <v>848</v>
      </c>
      <c r="Y15" s="183">
        <v>849</v>
      </c>
      <c r="Z15" s="183">
        <v>850</v>
      </c>
      <c r="AA15" s="183">
        <v>852</v>
      </c>
      <c r="AB15" s="183">
        <v>852</v>
      </c>
      <c r="AC15" s="183">
        <v>852</v>
      </c>
      <c r="AD15" s="201"/>
      <c r="AE15" s="202"/>
      <c r="AF15" s="183">
        <v>833</v>
      </c>
    </row>
    <row r="16" spans="1:37" ht="25.5">
      <c r="A16" s="87" t="s">
        <v>68</v>
      </c>
      <c r="B16" s="183">
        <v>4154</v>
      </c>
      <c r="C16" s="183">
        <v>4154</v>
      </c>
      <c r="D16" s="183">
        <v>4154</v>
      </c>
      <c r="E16" s="183">
        <v>4154</v>
      </c>
      <c r="F16" s="183">
        <v>4154</v>
      </c>
      <c r="G16" s="183">
        <v>4154</v>
      </c>
      <c r="H16" s="183">
        <v>4154</v>
      </c>
      <c r="I16" s="183">
        <v>4154</v>
      </c>
      <c r="J16" s="183">
        <v>4154</v>
      </c>
      <c r="K16" s="183">
        <v>4154</v>
      </c>
      <c r="L16" s="183">
        <v>4154</v>
      </c>
      <c r="M16" s="183">
        <v>4154</v>
      </c>
      <c r="N16" s="183">
        <v>4154</v>
      </c>
      <c r="O16" s="183">
        <v>4154</v>
      </c>
      <c r="P16" s="183">
        <v>4154</v>
      </c>
      <c r="Q16" s="183">
        <v>4154</v>
      </c>
      <c r="R16" s="183">
        <v>4154</v>
      </c>
      <c r="S16" s="183">
        <v>4154</v>
      </c>
      <c r="T16" s="183">
        <v>4154</v>
      </c>
      <c r="U16" s="183">
        <v>4154</v>
      </c>
      <c r="V16" s="183">
        <v>4154</v>
      </c>
      <c r="W16" s="183">
        <v>4154</v>
      </c>
      <c r="X16" s="183">
        <v>4154</v>
      </c>
      <c r="Y16" s="183">
        <v>4154</v>
      </c>
      <c r="Z16" s="183">
        <v>4154</v>
      </c>
      <c r="AA16" s="183">
        <v>4154</v>
      </c>
      <c r="AB16" s="183">
        <v>4154</v>
      </c>
      <c r="AC16" s="183">
        <v>4154</v>
      </c>
      <c r="AD16" s="201"/>
      <c r="AE16" s="202"/>
      <c r="AF16" s="183">
        <v>4154</v>
      </c>
    </row>
    <row r="17" spans="1:32"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203"/>
      <c r="AE17" s="203"/>
      <c r="AF17" s="162"/>
    </row>
    <row r="18" spans="1:32" ht="16.5">
      <c r="A18" s="87" t="s">
        <v>69</v>
      </c>
      <c r="B18" s="215"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92"/>
      <c r="AE18" s="192"/>
      <c r="AF18" s="181" t="s">
        <v>106</v>
      </c>
    </row>
    <row r="19" spans="1:32" ht="26.1" customHeight="1">
      <c r="A19" s="127" t="s">
        <v>70</v>
      </c>
      <c r="B19" s="186">
        <v>39879.4</v>
      </c>
      <c r="C19" s="186">
        <v>39901.1</v>
      </c>
      <c r="D19" s="186">
        <v>39921.599999999999</v>
      </c>
      <c r="E19" s="186">
        <v>39932.6</v>
      </c>
      <c r="F19" s="186">
        <v>39950.5</v>
      </c>
      <c r="G19" s="182">
        <v>39958.01</v>
      </c>
      <c r="H19" s="186">
        <v>39976.5</v>
      </c>
      <c r="I19" s="186">
        <v>40002.400000000001</v>
      </c>
      <c r="J19" s="186">
        <v>40019.699999999997</v>
      </c>
      <c r="K19" s="186">
        <v>40038.6</v>
      </c>
      <c r="L19" s="186">
        <v>40051.4</v>
      </c>
      <c r="M19" s="186">
        <v>40078.800000000003</v>
      </c>
      <c r="N19" s="186">
        <v>40082.400000000001</v>
      </c>
      <c r="O19" s="186">
        <v>40111.9</v>
      </c>
      <c r="P19" s="186">
        <v>40125.1</v>
      </c>
      <c r="Q19" s="186">
        <v>40150.800000000003</v>
      </c>
      <c r="R19" s="186">
        <v>40161.599999999999</v>
      </c>
      <c r="S19" s="186">
        <v>40189.4</v>
      </c>
      <c r="T19" s="186">
        <v>40195.699999999997</v>
      </c>
      <c r="U19" s="186">
        <v>40195.699999999997</v>
      </c>
      <c r="V19" s="186">
        <v>40243.5</v>
      </c>
      <c r="W19" s="186">
        <v>40266.9</v>
      </c>
      <c r="X19" s="186">
        <v>40284.1</v>
      </c>
      <c r="Y19" s="186">
        <v>40298.199999999997</v>
      </c>
      <c r="Z19" s="188">
        <v>40320.300000000003</v>
      </c>
      <c r="AA19" s="188">
        <v>40335.699999999997</v>
      </c>
      <c r="AB19" s="188">
        <v>40344.699999999997</v>
      </c>
      <c r="AC19" s="188">
        <v>40377.9</v>
      </c>
      <c r="AD19" s="204">
        <f>AC19-AF19</f>
        <v>519.40000000000146</v>
      </c>
      <c r="AE19" s="201"/>
      <c r="AF19" s="186">
        <v>39858.5</v>
      </c>
    </row>
    <row r="20" spans="1:32" ht="25.5">
      <c r="A20" s="87" t="s">
        <v>71</v>
      </c>
      <c r="B20" s="187" t="s">
        <v>190</v>
      </c>
      <c r="C20" s="188" t="s">
        <v>191</v>
      </c>
      <c r="D20" s="188" t="s">
        <v>192</v>
      </c>
      <c r="E20" s="188" t="s">
        <v>193</v>
      </c>
      <c r="F20" s="188" t="s">
        <v>194</v>
      </c>
      <c r="G20" s="188" t="s">
        <v>195</v>
      </c>
      <c r="H20" s="188" t="s">
        <v>196</v>
      </c>
      <c r="I20" s="188" t="s">
        <v>197</v>
      </c>
      <c r="J20" s="188" t="s">
        <v>198</v>
      </c>
      <c r="K20" s="188" t="s">
        <v>199</v>
      </c>
      <c r="L20" s="188" t="s">
        <v>200</v>
      </c>
      <c r="M20" s="188" t="s">
        <v>201</v>
      </c>
      <c r="N20" s="188" t="s">
        <v>202</v>
      </c>
      <c r="O20" s="188" t="s">
        <v>203</v>
      </c>
      <c r="P20" s="188" t="s">
        <v>204</v>
      </c>
      <c r="Q20" s="188" t="s">
        <v>241</v>
      </c>
      <c r="R20" s="188" t="s">
        <v>242</v>
      </c>
      <c r="S20" s="188" t="s">
        <v>243</v>
      </c>
      <c r="T20" s="188" t="s">
        <v>244</v>
      </c>
      <c r="U20" s="188" t="s">
        <v>245</v>
      </c>
      <c r="V20" s="188" t="s">
        <v>246</v>
      </c>
      <c r="W20" s="188" t="s">
        <v>247</v>
      </c>
      <c r="X20" s="188" t="s">
        <v>248</v>
      </c>
      <c r="Y20" s="188" t="s">
        <v>249</v>
      </c>
      <c r="Z20" s="188" t="s">
        <v>250</v>
      </c>
      <c r="AA20" s="188" t="s">
        <v>251</v>
      </c>
      <c r="AB20" s="188" t="s">
        <v>252</v>
      </c>
      <c r="AC20" s="188">
        <v>4775156</v>
      </c>
      <c r="AD20" s="205">
        <f>AC20-AF20</f>
        <v>1058</v>
      </c>
      <c r="AE20" s="206"/>
      <c r="AF20" s="188">
        <v>4774098</v>
      </c>
    </row>
    <row r="21" spans="1:32" ht="25.5">
      <c r="A21" s="87" t="s">
        <v>72</v>
      </c>
      <c r="B21" s="183">
        <v>20442</v>
      </c>
      <c r="C21" s="183">
        <v>20442</v>
      </c>
      <c r="D21" s="183">
        <v>20442</v>
      </c>
      <c r="E21" s="183">
        <v>20442</v>
      </c>
      <c r="F21" s="183">
        <v>20442</v>
      </c>
      <c r="G21" s="188" t="s">
        <v>205</v>
      </c>
      <c r="H21" s="188" t="s">
        <v>205</v>
      </c>
      <c r="I21" s="188" t="s">
        <v>205</v>
      </c>
      <c r="J21" s="188" t="s">
        <v>205</v>
      </c>
      <c r="K21" s="188" t="s">
        <v>205</v>
      </c>
      <c r="L21" s="188" t="s">
        <v>205</v>
      </c>
      <c r="M21" s="188" t="s">
        <v>205</v>
      </c>
      <c r="N21" s="188" t="s">
        <v>206</v>
      </c>
      <c r="O21" s="188" t="s">
        <v>206</v>
      </c>
      <c r="P21" s="188" t="s">
        <v>206</v>
      </c>
      <c r="Q21" s="188" t="s">
        <v>206</v>
      </c>
      <c r="R21" s="188" t="s">
        <v>206</v>
      </c>
      <c r="S21" s="188" t="s">
        <v>206</v>
      </c>
      <c r="T21" s="188" t="s">
        <v>206</v>
      </c>
      <c r="U21" s="188" t="s">
        <v>253</v>
      </c>
      <c r="V21" s="188" t="s">
        <v>253</v>
      </c>
      <c r="W21" s="188" t="s">
        <v>253</v>
      </c>
      <c r="X21" s="188" t="s">
        <v>253</v>
      </c>
      <c r="Y21" s="188" t="s">
        <v>253</v>
      </c>
      <c r="Z21" s="188" t="s">
        <v>253</v>
      </c>
      <c r="AA21" s="188" t="s">
        <v>253</v>
      </c>
      <c r="AB21" s="188" t="s">
        <v>254</v>
      </c>
      <c r="AC21" s="188">
        <v>23219</v>
      </c>
      <c r="AD21" s="201">
        <f>AC21-AF21</f>
        <v>2777</v>
      </c>
      <c r="AE21" s="201"/>
      <c r="AF21" s="183">
        <v>20442</v>
      </c>
    </row>
    <row r="22" spans="1:32">
      <c r="A22" s="87" t="s">
        <v>73</v>
      </c>
      <c r="B22" s="183">
        <v>103689</v>
      </c>
      <c r="C22" s="183">
        <v>103731</v>
      </c>
      <c r="D22" s="183">
        <v>103738</v>
      </c>
      <c r="E22" s="183">
        <v>103812</v>
      </c>
      <c r="F22" s="183">
        <v>103854</v>
      </c>
      <c r="G22" s="188" t="s">
        <v>207</v>
      </c>
      <c r="H22" s="188" t="s">
        <v>208</v>
      </c>
      <c r="I22" s="188" t="s">
        <v>209</v>
      </c>
      <c r="J22" s="188" t="s">
        <v>210</v>
      </c>
      <c r="K22" s="188" t="s">
        <v>211</v>
      </c>
      <c r="L22" s="188" t="s">
        <v>212</v>
      </c>
      <c r="M22" s="188" t="s">
        <v>213</v>
      </c>
      <c r="N22" s="188" t="s">
        <v>214</v>
      </c>
      <c r="O22" s="188" t="s">
        <v>215</v>
      </c>
      <c r="P22" s="188" t="s">
        <v>216</v>
      </c>
      <c r="Q22" s="188" t="s">
        <v>255</v>
      </c>
      <c r="R22" s="188" t="s">
        <v>256</v>
      </c>
      <c r="S22" s="188" t="s">
        <v>257</v>
      </c>
      <c r="T22" s="188" t="s">
        <v>258</v>
      </c>
      <c r="U22" s="188" t="s">
        <v>259</v>
      </c>
      <c r="V22" s="188" t="s">
        <v>260</v>
      </c>
      <c r="W22" s="188" t="s">
        <v>261</v>
      </c>
      <c r="X22" s="188" t="s">
        <v>262</v>
      </c>
      <c r="Y22" s="188" t="s">
        <v>263</v>
      </c>
      <c r="Z22" s="188" t="s">
        <v>264</v>
      </c>
      <c r="AA22" s="188" t="s">
        <v>265</v>
      </c>
      <c r="AB22" s="188" t="s">
        <v>266</v>
      </c>
      <c r="AC22" s="188">
        <v>104928</v>
      </c>
      <c r="AD22" s="201">
        <f>AC22-AF22</f>
        <v>1424</v>
      </c>
      <c r="AE22" s="201"/>
      <c r="AF22" s="183">
        <v>103504</v>
      </c>
    </row>
    <row r="23" spans="1:32">
      <c r="A23" s="189" t="s">
        <v>136</v>
      </c>
      <c r="B23" s="187" t="s">
        <v>138</v>
      </c>
      <c r="C23" s="188" t="s">
        <v>138</v>
      </c>
      <c r="D23" s="188" t="s">
        <v>138</v>
      </c>
      <c r="E23" s="188" t="s">
        <v>138</v>
      </c>
      <c r="F23" s="188" t="s">
        <v>138</v>
      </c>
      <c r="G23" s="188" t="s">
        <v>217</v>
      </c>
      <c r="H23" s="188" t="s">
        <v>217</v>
      </c>
      <c r="I23" s="188" t="s">
        <v>217</v>
      </c>
      <c r="J23" s="188" t="s">
        <v>217</v>
      </c>
      <c r="K23" s="188" t="s">
        <v>217</v>
      </c>
      <c r="L23" s="188" t="s">
        <v>217</v>
      </c>
      <c r="M23" s="188" t="s">
        <v>217</v>
      </c>
      <c r="N23" s="188" t="s">
        <v>218</v>
      </c>
      <c r="O23" s="188" t="s">
        <v>218</v>
      </c>
      <c r="P23" s="188" t="s">
        <v>218</v>
      </c>
      <c r="Q23" s="188" t="s">
        <v>218</v>
      </c>
      <c r="R23" s="188" t="s">
        <v>218</v>
      </c>
      <c r="S23" s="188" t="s">
        <v>218</v>
      </c>
      <c r="T23" s="188" t="s">
        <v>218</v>
      </c>
      <c r="U23" s="188" t="s">
        <v>267</v>
      </c>
      <c r="V23" s="188" t="s">
        <v>267</v>
      </c>
      <c r="W23" s="188" t="s">
        <v>267</v>
      </c>
      <c r="X23" s="188" t="s">
        <v>267</v>
      </c>
      <c r="Y23" s="188" t="s">
        <v>267</v>
      </c>
      <c r="Z23" s="188" t="s">
        <v>267</v>
      </c>
      <c r="AA23" s="188" t="s">
        <v>267</v>
      </c>
      <c r="AB23" s="188" t="s">
        <v>268</v>
      </c>
      <c r="AC23" s="188" t="s">
        <v>268</v>
      </c>
      <c r="AD23" s="201"/>
      <c r="AE23" s="205"/>
      <c r="AF23" s="188" t="s">
        <v>138</v>
      </c>
    </row>
    <row r="24" spans="1:32">
      <c r="A24" s="189" t="s">
        <v>139</v>
      </c>
      <c r="B24" s="187" t="s">
        <v>141</v>
      </c>
      <c r="C24" s="188" t="s">
        <v>141</v>
      </c>
      <c r="D24" s="188" t="s">
        <v>141</v>
      </c>
      <c r="E24" s="188" t="s">
        <v>141</v>
      </c>
      <c r="F24" s="188" t="s">
        <v>141</v>
      </c>
      <c r="G24" s="188" t="s">
        <v>219</v>
      </c>
      <c r="H24" s="188" t="s">
        <v>219</v>
      </c>
      <c r="I24" s="188" t="s">
        <v>219</v>
      </c>
      <c r="J24" s="188" t="s">
        <v>219</v>
      </c>
      <c r="K24" s="188" t="s">
        <v>219</v>
      </c>
      <c r="L24" s="188" t="s">
        <v>219</v>
      </c>
      <c r="M24" s="188" t="s">
        <v>219</v>
      </c>
      <c r="N24" s="188" t="s">
        <v>220</v>
      </c>
      <c r="O24" s="188" t="s">
        <v>220</v>
      </c>
      <c r="P24" s="188" t="s">
        <v>220</v>
      </c>
      <c r="Q24" s="188" t="s">
        <v>220</v>
      </c>
      <c r="R24" s="188" t="s">
        <v>220</v>
      </c>
      <c r="S24" s="188" t="s">
        <v>220</v>
      </c>
      <c r="T24" s="188" t="s">
        <v>220</v>
      </c>
      <c r="U24" s="188" t="s">
        <v>269</v>
      </c>
      <c r="V24" s="188" t="s">
        <v>269</v>
      </c>
      <c r="W24" s="188" t="s">
        <v>269</v>
      </c>
      <c r="X24" s="188" t="s">
        <v>269</v>
      </c>
      <c r="Y24" s="188" t="s">
        <v>269</v>
      </c>
      <c r="Z24" s="188" t="s">
        <v>269</v>
      </c>
      <c r="AA24" s="188" t="s">
        <v>269</v>
      </c>
      <c r="AB24" s="188" t="s">
        <v>270</v>
      </c>
      <c r="AC24" s="188" t="s">
        <v>270</v>
      </c>
      <c r="AD24" s="201"/>
      <c r="AE24" s="205"/>
      <c r="AF24" s="188" t="s">
        <v>141</v>
      </c>
    </row>
    <row r="25" spans="1:32">
      <c r="A25" s="189" t="s">
        <v>142</v>
      </c>
      <c r="B25" s="187" t="s">
        <v>144</v>
      </c>
      <c r="C25" s="188" t="s">
        <v>144</v>
      </c>
      <c r="D25" s="188" t="s">
        <v>144</v>
      </c>
      <c r="E25" s="188" t="s">
        <v>144</v>
      </c>
      <c r="F25" s="188" t="s">
        <v>144</v>
      </c>
      <c r="G25" s="188" t="s">
        <v>221</v>
      </c>
      <c r="H25" s="188" t="s">
        <v>221</v>
      </c>
      <c r="I25" s="188" t="s">
        <v>221</v>
      </c>
      <c r="J25" s="188" t="s">
        <v>221</v>
      </c>
      <c r="K25" s="188" t="s">
        <v>221</v>
      </c>
      <c r="L25" s="188" t="s">
        <v>221</v>
      </c>
      <c r="M25" s="188" t="s">
        <v>221</v>
      </c>
      <c r="N25" s="188" t="s">
        <v>222</v>
      </c>
      <c r="O25" s="188" t="s">
        <v>222</v>
      </c>
      <c r="P25" s="188" t="s">
        <v>222</v>
      </c>
      <c r="Q25" s="188" t="s">
        <v>222</v>
      </c>
      <c r="R25" s="188" t="s">
        <v>222</v>
      </c>
      <c r="S25" s="188" t="s">
        <v>222</v>
      </c>
      <c r="T25" s="188" t="s">
        <v>222</v>
      </c>
      <c r="U25" s="188" t="s">
        <v>271</v>
      </c>
      <c r="V25" s="188" t="s">
        <v>271</v>
      </c>
      <c r="W25" s="188" t="s">
        <v>271</v>
      </c>
      <c r="X25" s="188" t="s">
        <v>271</v>
      </c>
      <c r="Y25" s="188" t="s">
        <v>271</v>
      </c>
      <c r="Z25" s="188" t="s">
        <v>271</v>
      </c>
      <c r="AA25" s="188" t="s">
        <v>271</v>
      </c>
      <c r="AB25" s="188" t="s">
        <v>272</v>
      </c>
      <c r="AC25" s="188" t="s">
        <v>272</v>
      </c>
      <c r="AD25" s="201"/>
      <c r="AE25" s="205"/>
      <c r="AF25" s="188" t="s">
        <v>144</v>
      </c>
    </row>
    <row r="26" spans="1:32">
      <c r="A26" s="189" t="s">
        <v>145</v>
      </c>
      <c r="B26" s="187" t="s">
        <v>147</v>
      </c>
      <c r="C26" s="188" t="s">
        <v>147</v>
      </c>
      <c r="D26" s="188" t="s">
        <v>147</v>
      </c>
      <c r="E26" s="188" t="s">
        <v>147</v>
      </c>
      <c r="F26" s="188" t="s">
        <v>147</v>
      </c>
      <c r="G26" s="188" t="s">
        <v>223</v>
      </c>
      <c r="H26" s="188" t="s">
        <v>223</v>
      </c>
      <c r="I26" s="188" t="s">
        <v>223</v>
      </c>
      <c r="J26" s="188" t="s">
        <v>223</v>
      </c>
      <c r="K26" s="188" t="s">
        <v>223</v>
      </c>
      <c r="L26" s="188" t="s">
        <v>223</v>
      </c>
      <c r="M26" s="188" t="s">
        <v>223</v>
      </c>
      <c r="N26" s="188" t="s">
        <v>224</v>
      </c>
      <c r="O26" s="188" t="s">
        <v>224</v>
      </c>
      <c r="P26" s="188" t="s">
        <v>224</v>
      </c>
      <c r="Q26" s="188" t="s">
        <v>224</v>
      </c>
      <c r="R26" s="188" t="s">
        <v>224</v>
      </c>
      <c r="S26" s="188" t="s">
        <v>224</v>
      </c>
      <c r="T26" s="188" t="s">
        <v>224</v>
      </c>
      <c r="U26" s="188" t="s">
        <v>273</v>
      </c>
      <c r="V26" s="188" t="s">
        <v>273</v>
      </c>
      <c r="W26" s="188" t="s">
        <v>273</v>
      </c>
      <c r="X26" s="188" t="s">
        <v>273</v>
      </c>
      <c r="Y26" s="188" t="s">
        <v>273</v>
      </c>
      <c r="Z26" s="188" t="s">
        <v>273</v>
      </c>
      <c r="AA26" s="188" t="s">
        <v>273</v>
      </c>
      <c r="AB26" s="188" t="s">
        <v>273</v>
      </c>
      <c r="AC26" s="188" t="s">
        <v>273</v>
      </c>
      <c r="AD26" s="201"/>
      <c r="AE26" s="205"/>
      <c r="AF26" s="188" t="s">
        <v>147</v>
      </c>
    </row>
    <row r="27" spans="1:32">
      <c r="A27" s="189" t="s">
        <v>148</v>
      </c>
      <c r="B27" s="187" t="s">
        <v>150</v>
      </c>
      <c r="C27" s="188" t="s">
        <v>150</v>
      </c>
      <c r="D27" s="188" t="s">
        <v>150</v>
      </c>
      <c r="E27" s="188" t="s">
        <v>150</v>
      </c>
      <c r="F27" s="188" t="s">
        <v>150</v>
      </c>
      <c r="G27" s="188" t="s">
        <v>225</v>
      </c>
      <c r="H27" s="188" t="s">
        <v>225</v>
      </c>
      <c r="I27" s="188" t="s">
        <v>225</v>
      </c>
      <c r="J27" s="188" t="s">
        <v>225</v>
      </c>
      <c r="K27" s="188" t="s">
        <v>225</v>
      </c>
      <c r="L27" s="188" t="s">
        <v>225</v>
      </c>
      <c r="M27" s="188" t="s">
        <v>225</v>
      </c>
      <c r="N27" s="188" t="s">
        <v>226</v>
      </c>
      <c r="O27" s="188" t="s">
        <v>226</v>
      </c>
      <c r="P27" s="188" t="s">
        <v>226</v>
      </c>
      <c r="Q27" s="188" t="s">
        <v>226</v>
      </c>
      <c r="R27" s="188" t="s">
        <v>226</v>
      </c>
      <c r="S27" s="188" t="s">
        <v>226</v>
      </c>
      <c r="T27" s="188" t="s">
        <v>226</v>
      </c>
      <c r="U27" s="188" t="s">
        <v>274</v>
      </c>
      <c r="V27" s="188" t="s">
        <v>274</v>
      </c>
      <c r="W27" s="188" t="s">
        <v>274</v>
      </c>
      <c r="X27" s="188" t="s">
        <v>274</v>
      </c>
      <c r="Y27" s="188" t="s">
        <v>274</v>
      </c>
      <c r="Z27" s="188" t="s">
        <v>274</v>
      </c>
      <c r="AA27" s="188" t="s">
        <v>274</v>
      </c>
      <c r="AB27" s="188" t="s">
        <v>275</v>
      </c>
      <c r="AC27" s="188" t="s">
        <v>275</v>
      </c>
      <c r="AD27" s="201"/>
      <c r="AE27" s="205"/>
      <c r="AF27" s="188" t="s">
        <v>150</v>
      </c>
    </row>
    <row r="28" spans="1:32">
      <c r="A28" s="189" t="s">
        <v>151</v>
      </c>
      <c r="B28" s="187" t="s">
        <v>153</v>
      </c>
      <c r="C28" s="188" t="s">
        <v>153</v>
      </c>
      <c r="D28" s="188" t="s">
        <v>153</v>
      </c>
      <c r="E28" s="188" t="s">
        <v>153</v>
      </c>
      <c r="F28" s="188" t="s">
        <v>153</v>
      </c>
      <c r="G28" s="188" t="s">
        <v>227</v>
      </c>
      <c r="H28" s="188" t="s">
        <v>227</v>
      </c>
      <c r="I28" s="188" t="s">
        <v>227</v>
      </c>
      <c r="J28" s="188" t="s">
        <v>227</v>
      </c>
      <c r="K28" s="188" t="s">
        <v>227</v>
      </c>
      <c r="L28" s="188" t="s">
        <v>227</v>
      </c>
      <c r="M28" s="188" t="s">
        <v>227</v>
      </c>
      <c r="N28" s="188" t="s">
        <v>228</v>
      </c>
      <c r="O28" s="188" t="s">
        <v>228</v>
      </c>
      <c r="P28" s="188" t="s">
        <v>228</v>
      </c>
      <c r="Q28" s="188" t="s">
        <v>228</v>
      </c>
      <c r="R28" s="188" t="s">
        <v>228</v>
      </c>
      <c r="S28" s="188" t="s">
        <v>228</v>
      </c>
      <c r="T28" s="188" t="s">
        <v>228</v>
      </c>
      <c r="U28" s="188" t="s">
        <v>276</v>
      </c>
      <c r="V28" s="188" t="s">
        <v>276</v>
      </c>
      <c r="W28" s="188" t="s">
        <v>276</v>
      </c>
      <c r="X28" s="188" t="s">
        <v>276</v>
      </c>
      <c r="Y28" s="188" t="s">
        <v>276</v>
      </c>
      <c r="Z28" s="188" t="s">
        <v>276</v>
      </c>
      <c r="AA28" s="188" t="s">
        <v>276</v>
      </c>
      <c r="AB28" s="188" t="s">
        <v>277</v>
      </c>
      <c r="AC28" s="188" t="s">
        <v>277</v>
      </c>
      <c r="AD28" s="201"/>
      <c r="AE28" s="205"/>
      <c r="AF28" s="188" t="s">
        <v>153</v>
      </c>
    </row>
    <row r="29" spans="1:32">
      <c r="A29" s="189" t="s">
        <v>154</v>
      </c>
      <c r="B29" s="187" t="s">
        <v>156</v>
      </c>
      <c r="C29" s="188" t="s">
        <v>156</v>
      </c>
      <c r="D29" s="188" t="s">
        <v>156</v>
      </c>
      <c r="E29" s="188" t="s">
        <v>156</v>
      </c>
      <c r="F29" s="188" t="s">
        <v>156</v>
      </c>
      <c r="G29" s="188" t="s">
        <v>229</v>
      </c>
      <c r="H29" s="188" t="s">
        <v>229</v>
      </c>
      <c r="I29" s="188" t="s">
        <v>229</v>
      </c>
      <c r="J29" s="188" t="s">
        <v>229</v>
      </c>
      <c r="K29" s="188" t="s">
        <v>229</v>
      </c>
      <c r="L29" s="188" t="s">
        <v>229</v>
      </c>
      <c r="M29" s="188" t="s">
        <v>229</v>
      </c>
      <c r="N29" s="188" t="s">
        <v>230</v>
      </c>
      <c r="O29" s="188" t="s">
        <v>230</v>
      </c>
      <c r="P29" s="188" t="s">
        <v>230</v>
      </c>
      <c r="Q29" s="188" t="s">
        <v>230</v>
      </c>
      <c r="R29" s="188" t="s">
        <v>230</v>
      </c>
      <c r="S29" s="188" t="s">
        <v>230</v>
      </c>
      <c r="T29" s="188" t="s">
        <v>230</v>
      </c>
      <c r="U29" s="188" t="s">
        <v>278</v>
      </c>
      <c r="V29" s="188" t="s">
        <v>278</v>
      </c>
      <c r="W29" s="188" t="s">
        <v>278</v>
      </c>
      <c r="X29" s="188" t="s">
        <v>278</v>
      </c>
      <c r="Y29" s="188" t="s">
        <v>278</v>
      </c>
      <c r="Z29" s="188" t="s">
        <v>278</v>
      </c>
      <c r="AA29" s="188" t="s">
        <v>278</v>
      </c>
      <c r="AB29" s="188" t="s">
        <v>279</v>
      </c>
      <c r="AC29" s="188" t="s">
        <v>279</v>
      </c>
      <c r="AD29" s="201"/>
      <c r="AE29" s="205"/>
      <c r="AF29" s="188" t="s">
        <v>156</v>
      </c>
    </row>
    <row r="30" spans="1:32">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207"/>
      <c r="AE30" s="207"/>
      <c r="AF30" s="162"/>
    </row>
    <row r="31" spans="1:32" ht="16.5">
      <c r="A31" s="87" t="s">
        <v>74</v>
      </c>
      <c r="B31" s="215"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92"/>
      <c r="AE31" s="192"/>
      <c r="AF31" s="181" t="s">
        <v>157</v>
      </c>
    </row>
    <row r="32" spans="1:32" ht="25.5">
      <c r="A32" s="127" t="s">
        <v>77</v>
      </c>
      <c r="B32" s="190" t="s">
        <v>158</v>
      </c>
      <c r="C32" s="191" t="s">
        <v>158</v>
      </c>
      <c r="D32" s="191" t="s">
        <v>158</v>
      </c>
      <c r="E32" s="191" t="s">
        <v>158</v>
      </c>
      <c r="F32" s="191" t="s">
        <v>158</v>
      </c>
      <c r="G32" s="191" t="s">
        <v>158</v>
      </c>
      <c r="H32" s="191" t="s">
        <v>158</v>
      </c>
      <c r="I32" s="191" t="s">
        <v>158</v>
      </c>
      <c r="J32" s="191" t="s">
        <v>158</v>
      </c>
      <c r="K32" s="191" t="s">
        <v>158</v>
      </c>
      <c r="L32" s="191" t="s">
        <v>158</v>
      </c>
      <c r="M32" s="191" t="s">
        <v>158</v>
      </c>
      <c r="N32" s="191" t="s">
        <v>158</v>
      </c>
      <c r="O32" s="191" t="s">
        <v>158</v>
      </c>
      <c r="P32" s="191" t="s">
        <v>158</v>
      </c>
      <c r="Q32" s="191" t="s">
        <v>158</v>
      </c>
      <c r="R32" s="191" t="s">
        <v>158</v>
      </c>
      <c r="S32" s="191" t="s">
        <v>158</v>
      </c>
      <c r="T32" s="191" t="s">
        <v>158</v>
      </c>
      <c r="U32" s="191" t="s">
        <v>158</v>
      </c>
      <c r="V32" s="191" t="s">
        <v>158</v>
      </c>
      <c r="W32" s="191" t="s">
        <v>158</v>
      </c>
      <c r="X32" s="191" t="s">
        <v>158</v>
      </c>
      <c r="Y32" s="191" t="s">
        <v>158</v>
      </c>
      <c r="Z32" s="191" t="s">
        <v>158</v>
      </c>
      <c r="AA32" s="191" t="s">
        <v>158</v>
      </c>
      <c r="AB32" s="191" t="s">
        <v>158</v>
      </c>
      <c r="AC32" s="191" t="s">
        <v>158</v>
      </c>
      <c r="AD32" s="208"/>
      <c r="AE32" s="209"/>
      <c r="AF32" s="191" t="s">
        <v>158</v>
      </c>
    </row>
    <row r="33" spans="1:32" ht="25.5">
      <c r="A33" s="87" t="s">
        <v>80</v>
      </c>
      <c r="B33" s="187" t="s">
        <v>586</v>
      </c>
      <c r="C33" s="188" t="s">
        <v>231</v>
      </c>
      <c r="D33" s="188" t="s">
        <v>232</v>
      </c>
      <c r="E33" s="188" t="s">
        <v>233</v>
      </c>
      <c r="F33" s="188" t="s">
        <v>234</v>
      </c>
      <c r="G33" s="188" t="s">
        <v>234</v>
      </c>
      <c r="H33" s="188" t="s">
        <v>234</v>
      </c>
      <c r="I33" s="188" t="s">
        <v>235</v>
      </c>
      <c r="J33" s="188" t="s">
        <v>236</v>
      </c>
      <c r="K33" s="188" t="s">
        <v>236</v>
      </c>
      <c r="L33" s="188" t="s">
        <v>237</v>
      </c>
      <c r="M33" s="188" t="s">
        <v>238</v>
      </c>
      <c r="N33" s="188" t="s">
        <v>238</v>
      </c>
      <c r="O33" s="188" t="s">
        <v>239</v>
      </c>
      <c r="P33" s="188" t="s">
        <v>240</v>
      </c>
      <c r="Q33" s="188" t="s">
        <v>280</v>
      </c>
      <c r="R33" s="188" t="s">
        <v>281</v>
      </c>
      <c r="S33" s="188" t="s">
        <v>280</v>
      </c>
      <c r="T33" s="188" t="s">
        <v>282</v>
      </c>
      <c r="U33" s="188" t="s">
        <v>283</v>
      </c>
      <c r="V33" s="188" t="s">
        <v>283</v>
      </c>
      <c r="W33" s="188" t="s">
        <v>284</v>
      </c>
      <c r="X33" s="188" t="s">
        <v>285</v>
      </c>
      <c r="Y33" s="188" t="s">
        <v>286</v>
      </c>
      <c r="Z33" s="188" t="s">
        <v>287</v>
      </c>
      <c r="AA33" s="188" t="s">
        <v>287</v>
      </c>
      <c r="AB33" s="188" t="s">
        <v>288</v>
      </c>
      <c r="AC33" s="188" t="s">
        <v>289</v>
      </c>
      <c r="AD33" s="205"/>
      <c r="AE33" s="206"/>
      <c r="AF33" s="188" t="s">
        <v>181</v>
      </c>
    </row>
    <row r="34" spans="1:32" ht="15.75" thickBot="1">
      <c r="A34" s="139" t="s">
        <v>81</v>
      </c>
      <c r="B34" s="187" t="s">
        <v>587</v>
      </c>
      <c r="C34" s="188" t="s">
        <v>189</v>
      </c>
      <c r="D34" s="188" t="s">
        <v>189</v>
      </c>
      <c r="E34" s="188" t="s">
        <v>189</v>
      </c>
      <c r="F34" s="188" t="s">
        <v>189</v>
      </c>
      <c r="G34" s="188" t="s">
        <v>189</v>
      </c>
      <c r="H34" s="188" t="s">
        <v>189</v>
      </c>
      <c r="I34" s="188" t="s">
        <v>189</v>
      </c>
      <c r="J34" s="188" t="s">
        <v>189</v>
      </c>
      <c r="K34" s="188" t="s">
        <v>189</v>
      </c>
      <c r="L34" s="188" t="s">
        <v>189</v>
      </c>
      <c r="M34" s="188" t="s">
        <v>189</v>
      </c>
      <c r="N34" s="188" t="s">
        <v>189</v>
      </c>
      <c r="O34" s="188" t="s">
        <v>189</v>
      </c>
      <c r="P34" s="188" t="s">
        <v>189</v>
      </c>
      <c r="Q34" s="188" t="s">
        <v>189</v>
      </c>
      <c r="R34" s="188" t="s">
        <v>290</v>
      </c>
      <c r="S34" s="188" t="s">
        <v>290</v>
      </c>
      <c r="T34" s="188" t="s">
        <v>290</v>
      </c>
      <c r="U34" s="188" t="s">
        <v>290</v>
      </c>
      <c r="V34" s="188" t="s">
        <v>290</v>
      </c>
      <c r="W34" s="188" t="s">
        <v>290</v>
      </c>
      <c r="X34" s="188" t="s">
        <v>290</v>
      </c>
      <c r="Y34" s="188" t="s">
        <v>290</v>
      </c>
      <c r="Z34" s="188" t="s">
        <v>290</v>
      </c>
      <c r="AA34" s="188" t="s">
        <v>290</v>
      </c>
      <c r="AB34" s="188" t="s">
        <v>290</v>
      </c>
      <c r="AC34" s="188" t="s">
        <v>290</v>
      </c>
      <c r="AD34" s="205"/>
      <c r="AE34" s="206"/>
      <c r="AF34" s="188" t="s">
        <v>189</v>
      </c>
    </row>
    <row r="35" spans="1:32">
      <c r="AD35" s="210"/>
      <c r="AE35" s="211"/>
    </row>
    <row r="36" spans="1:32">
      <c r="AD36" s="210"/>
      <c r="AE36" s="211"/>
    </row>
  </sheetData>
  <mergeCells count="1">
    <mergeCell ref="A1:A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FD1B-69BF-4AF9-9C4D-1D0B55E8DF33}">
  <dimension ref="A1:AN36"/>
  <sheetViews>
    <sheetView topLeftCell="P10" zoomScale="130" zoomScaleNormal="130" workbookViewId="0">
      <selection activeCell="AG22" sqref="AG22"/>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1" width="8.7109375" style="20"/>
    <col min="32" max="32" width="8.7109375" style="143"/>
    <col min="33" max="33" width="9.42578125" style="143" customWidth="1"/>
    <col min="34" max="34" width="8.7109375" style="144"/>
    <col min="35" max="35" width="10.85546875" style="144" customWidth="1"/>
    <col min="36" max="36" width="11" customWidth="1"/>
    <col min="37" max="37" width="11.42578125" customWidth="1"/>
  </cols>
  <sheetData>
    <row r="1" spans="1:40"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c r="AI1" s="487"/>
    </row>
    <row r="2" spans="1:40" ht="15.75">
      <c r="A2" s="82"/>
      <c r="B2" s="83">
        <v>44256</v>
      </c>
      <c r="C2" s="83">
        <v>44257</v>
      </c>
      <c r="D2" s="83">
        <v>44258</v>
      </c>
      <c r="E2" s="83">
        <v>44259</v>
      </c>
      <c r="F2" s="83">
        <v>44260</v>
      </c>
      <c r="G2" s="83">
        <v>44261</v>
      </c>
      <c r="H2" s="83">
        <v>44262</v>
      </c>
      <c r="I2" s="83">
        <v>44263</v>
      </c>
      <c r="J2" s="83">
        <v>44264</v>
      </c>
      <c r="K2" s="83">
        <v>44265</v>
      </c>
      <c r="L2" s="83">
        <v>44266</v>
      </c>
      <c r="M2" s="83">
        <v>44267</v>
      </c>
      <c r="N2" s="83">
        <v>44268</v>
      </c>
      <c r="O2" s="83">
        <v>44269</v>
      </c>
      <c r="P2" s="83">
        <v>44270</v>
      </c>
      <c r="Q2" s="83">
        <v>44271</v>
      </c>
      <c r="R2" s="83">
        <v>44272</v>
      </c>
      <c r="S2" s="83">
        <v>44273</v>
      </c>
      <c r="T2" s="83">
        <v>44274</v>
      </c>
      <c r="U2" s="83">
        <v>44275</v>
      </c>
      <c r="V2" s="83">
        <v>44276</v>
      </c>
      <c r="W2" s="83">
        <v>44277</v>
      </c>
      <c r="X2" s="83">
        <v>44278</v>
      </c>
      <c r="Y2" s="83">
        <v>44279</v>
      </c>
      <c r="Z2" s="83">
        <v>44280</v>
      </c>
      <c r="AA2" s="83">
        <v>44281</v>
      </c>
      <c r="AB2" s="83">
        <v>44282</v>
      </c>
      <c r="AC2" s="83">
        <v>44283</v>
      </c>
      <c r="AD2" s="83">
        <v>44284</v>
      </c>
      <c r="AE2" s="83">
        <v>44285</v>
      </c>
      <c r="AF2" s="83">
        <v>44286</v>
      </c>
      <c r="AG2" s="83"/>
      <c r="AH2" s="83"/>
      <c r="AI2" s="83">
        <v>44255</v>
      </c>
    </row>
    <row r="3" spans="1:40"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175" t="s">
        <v>52</v>
      </c>
      <c r="AG3" s="192"/>
      <c r="AH3" s="193"/>
      <c r="AI3" s="93" t="s">
        <v>52</v>
      </c>
    </row>
    <row r="4" spans="1:40" ht="20.100000000000001" customHeight="1">
      <c r="A4" s="94" t="s">
        <v>54</v>
      </c>
      <c r="B4" s="213">
        <v>138897</v>
      </c>
      <c r="C4" s="212">
        <v>139106</v>
      </c>
      <c r="D4" s="212">
        <v>139310</v>
      </c>
      <c r="E4" s="212">
        <v>139516</v>
      </c>
      <c r="F4" s="212">
        <v>139715</v>
      </c>
      <c r="G4" s="212">
        <v>139906</v>
      </c>
      <c r="H4" s="212">
        <v>140107</v>
      </c>
      <c r="I4" s="212">
        <v>140311</v>
      </c>
      <c r="J4" s="212">
        <v>140519</v>
      </c>
      <c r="K4" s="212">
        <v>140726</v>
      </c>
      <c r="L4" s="212">
        <v>140937</v>
      </c>
      <c r="M4" s="212">
        <v>141142</v>
      </c>
      <c r="N4" s="212">
        <v>141337</v>
      </c>
      <c r="O4" s="212">
        <v>141541</v>
      </c>
      <c r="P4" s="212">
        <v>141747</v>
      </c>
      <c r="Q4" s="212">
        <v>141954</v>
      </c>
      <c r="R4" s="212">
        <v>142166</v>
      </c>
      <c r="S4" s="212">
        <v>142378</v>
      </c>
      <c r="T4" s="212">
        <v>142584</v>
      </c>
      <c r="U4" s="212">
        <v>142783</v>
      </c>
      <c r="V4" s="212">
        <v>142991</v>
      </c>
      <c r="W4" s="212">
        <v>143199</v>
      </c>
      <c r="X4" s="212">
        <v>143407</v>
      </c>
      <c r="Y4" s="212">
        <v>143616</v>
      </c>
      <c r="Z4" s="212">
        <v>143833</v>
      </c>
      <c r="AA4" s="212">
        <v>144037</v>
      </c>
      <c r="AB4" s="212">
        <v>144241</v>
      </c>
      <c r="AC4" s="212">
        <v>144442</v>
      </c>
      <c r="AD4" s="212">
        <v>144654</v>
      </c>
      <c r="AE4" s="212">
        <v>144864</v>
      </c>
      <c r="AF4" s="212">
        <v>145072</v>
      </c>
      <c r="AG4" s="194"/>
      <c r="AH4" s="195"/>
      <c r="AI4" s="212">
        <v>138692</v>
      </c>
      <c r="AJ4" s="101"/>
      <c r="AK4" s="101"/>
      <c r="AN4" s="102"/>
    </row>
    <row r="5" spans="1:40" ht="20.100000000000001" customHeight="1">
      <c r="A5" s="94" t="s">
        <v>55</v>
      </c>
      <c r="B5" s="212">
        <v>2671349</v>
      </c>
      <c r="C5" s="212">
        <v>2678521</v>
      </c>
      <c r="D5" s="212">
        <v>2685539</v>
      </c>
      <c r="E5" s="212">
        <v>2692671</v>
      </c>
      <c r="F5" s="212">
        <v>2699443</v>
      </c>
      <c r="G5" s="212">
        <v>2705689</v>
      </c>
      <c r="H5" s="212">
        <v>2712440</v>
      </c>
      <c r="I5" s="212">
        <v>2719447</v>
      </c>
      <c r="J5" s="212">
        <v>2726549</v>
      </c>
      <c r="K5" s="212">
        <v>2733749</v>
      </c>
      <c r="L5" s="212">
        <v>2741223</v>
      </c>
      <c r="M5" s="212">
        <v>2748181</v>
      </c>
      <c r="N5" s="212">
        <v>2754402</v>
      </c>
      <c r="O5" s="212">
        <v>2761301</v>
      </c>
      <c r="P5" s="212">
        <v>2768921</v>
      </c>
      <c r="Q5" s="212">
        <v>2776514</v>
      </c>
      <c r="R5" s="212">
        <v>2784303</v>
      </c>
      <c r="S5" s="212">
        <v>2791824</v>
      </c>
      <c r="T5" s="212">
        <v>2798765</v>
      </c>
      <c r="U5" s="212">
        <v>2805241</v>
      </c>
      <c r="V5" s="212">
        <v>2812114</v>
      </c>
      <c r="W5" s="212">
        <v>2818958</v>
      </c>
      <c r="X5" s="212">
        <v>2825919</v>
      </c>
      <c r="Y5" s="212">
        <v>2832912</v>
      </c>
      <c r="Z5" s="212">
        <v>2840409</v>
      </c>
      <c r="AA5" s="212">
        <v>2847502</v>
      </c>
      <c r="AB5" s="212">
        <v>2854241</v>
      </c>
      <c r="AC5" s="212">
        <v>2861188</v>
      </c>
      <c r="AD5" s="212">
        <v>2868469</v>
      </c>
      <c r="AE5" s="212">
        <v>2875482</v>
      </c>
      <c r="AF5" s="212">
        <v>2882369</v>
      </c>
      <c r="AG5" s="194"/>
      <c r="AH5" s="195"/>
      <c r="AI5" s="212">
        <v>2664449</v>
      </c>
      <c r="AJ5" s="101"/>
      <c r="AK5" s="101"/>
      <c r="AN5" s="102"/>
    </row>
    <row r="6" spans="1:40" ht="20.100000000000001" customHeight="1">
      <c r="A6" s="94" t="s">
        <v>56</v>
      </c>
      <c r="B6" s="212">
        <v>1392180</v>
      </c>
      <c r="C6" s="212">
        <v>1395614</v>
      </c>
      <c r="D6" s="212">
        <v>1398802</v>
      </c>
      <c r="E6" s="212">
        <v>1402082</v>
      </c>
      <c r="F6" s="212">
        <v>1405248</v>
      </c>
      <c r="G6" s="212">
        <v>1408223</v>
      </c>
      <c r="H6" s="212">
        <v>1411394</v>
      </c>
      <c r="I6" s="212">
        <v>1414679</v>
      </c>
      <c r="J6" s="212">
        <v>1417953</v>
      </c>
      <c r="K6" s="212">
        <v>1421235</v>
      </c>
      <c r="L6" s="212">
        <v>1424550</v>
      </c>
      <c r="M6" s="212">
        <v>1427796</v>
      </c>
      <c r="N6" s="212">
        <v>1430823</v>
      </c>
      <c r="O6" s="212">
        <v>1434078</v>
      </c>
      <c r="P6" s="212">
        <v>1437388</v>
      </c>
      <c r="Q6" s="212">
        <v>1440731</v>
      </c>
      <c r="R6" s="212">
        <v>1444190</v>
      </c>
      <c r="S6" s="212">
        <v>1447611</v>
      </c>
      <c r="T6" s="212">
        <v>1450851</v>
      </c>
      <c r="U6" s="212">
        <v>1453944</v>
      </c>
      <c r="V6" s="212">
        <v>1457091</v>
      </c>
      <c r="W6" s="212">
        <v>1460331</v>
      </c>
      <c r="X6" s="212">
        <v>1463515</v>
      </c>
      <c r="Y6" s="212">
        <v>1466694</v>
      </c>
      <c r="Z6" s="212">
        <v>1470225</v>
      </c>
      <c r="AA6" s="212">
        <v>1473454</v>
      </c>
      <c r="AB6" s="212">
        <v>1476569</v>
      </c>
      <c r="AC6" s="212">
        <v>1479662</v>
      </c>
      <c r="AD6" s="212">
        <v>1482966</v>
      </c>
      <c r="AE6" s="212">
        <v>1486233</v>
      </c>
      <c r="AF6" s="212">
        <v>1489479</v>
      </c>
      <c r="AG6" s="194"/>
      <c r="AH6" s="195"/>
      <c r="AI6" s="212">
        <v>1388875</v>
      </c>
      <c r="AJ6" s="101"/>
      <c r="AK6" s="101"/>
      <c r="AN6" s="102"/>
    </row>
    <row r="7" spans="1:40" ht="20.100000000000001" customHeight="1">
      <c r="A7" s="94" t="s">
        <v>57</v>
      </c>
      <c r="B7" s="212">
        <v>4421012</v>
      </c>
      <c r="C7" s="212">
        <v>4428062</v>
      </c>
      <c r="D7" s="212">
        <v>4434885</v>
      </c>
      <c r="E7" s="212">
        <v>4441612</v>
      </c>
      <c r="F7" s="212">
        <v>4448506</v>
      </c>
      <c r="G7" s="212">
        <v>4454272</v>
      </c>
      <c r="H7" s="212">
        <v>4454950</v>
      </c>
      <c r="I7" s="212">
        <v>4455031</v>
      </c>
      <c r="J7" s="212">
        <v>4455112</v>
      </c>
      <c r="K7" s="212">
        <v>4455112</v>
      </c>
      <c r="L7" s="212">
        <v>4455273</v>
      </c>
      <c r="M7" s="212">
        <v>4455355</v>
      </c>
      <c r="N7" s="212">
        <v>4455435</v>
      </c>
      <c r="O7" s="212">
        <v>4455517</v>
      </c>
      <c r="P7" s="212">
        <v>4455597</v>
      </c>
      <c r="Q7" s="212">
        <v>4455676</v>
      </c>
      <c r="R7" s="212">
        <v>4455757</v>
      </c>
      <c r="S7" s="212">
        <v>4455838</v>
      </c>
      <c r="T7" s="212">
        <v>4455917</v>
      </c>
      <c r="U7" s="212">
        <v>4455998</v>
      </c>
      <c r="V7" s="212">
        <v>4461905</v>
      </c>
      <c r="W7" s="212">
        <v>4469027</v>
      </c>
      <c r="X7" s="212">
        <v>4476205</v>
      </c>
      <c r="Y7" s="212">
        <v>4483700</v>
      </c>
      <c r="Z7" s="212">
        <v>4492017</v>
      </c>
      <c r="AA7" s="212">
        <v>4500385</v>
      </c>
      <c r="AB7" s="212">
        <v>4508829</v>
      </c>
      <c r="AC7" s="212">
        <v>4516927</v>
      </c>
      <c r="AD7" s="212">
        <v>4524566</v>
      </c>
      <c r="AE7" s="212">
        <v>4532069</v>
      </c>
      <c r="AF7" s="212">
        <v>4538062</v>
      </c>
      <c r="AG7" s="194"/>
      <c r="AH7" s="195"/>
      <c r="AI7" s="212">
        <v>4414454</v>
      </c>
      <c r="AJ7" s="101"/>
      <c r="AK7" s="101"/>
      <c r="AN7" s="102"/>
    </row>
    <row r="8" spans="1:40" ht="20.100000000000001" customHeight="1">
      <c r="A8" s="94" t="s">
        <v>58</v>
      </c>
      <c r="B8" s="212">
        <v>1728419</v>
      </c>
      <c r="C8" s="212">
        <v>1728419</v>
      </c>
      <c r="D8" s="212">
        <v>1728419</v>
      </c>
      <c r="E8" s="212">
        <v>1728419</v>
      </c>
      <c r="F8" s="212">
        <v>1728419</v>
      </c>
      <c r="G8" s="212">
        <v>1728419</v>
      </c>
      <c r="H8" s="212">
        <v>1730347</v>
      </c>
      <c r="I8" s="212">
        <v>1732411</v>
      </c>
      <c r="J8" s="212">
        <v>1734543</v>
      </c>
      <c r="K8" s="212">
        <v>1736717</v>
      </c>
      <c r="L8" s="212">
        <v>1738931</v>
      </c>
      <c r="M8" s="212">
        <v>1741242</v>
      </c>
      <c r="N8" s="212">
        <v>1743560</v>
      </c>
      <c r="O8" s="212">
        <v>1745739</v>
      </c>
      <c r="P8" s="212">
        <v>1747923</v>
      </c>
      <c r="Q8" s="212">
        <v>1750156</v>
      </c>
      <c r="R8" s="212">
        <v>1752627</v>
      </c>
      <c r="S8" s="212">
        <v>1755070</v>
      </c>
      <c r="T8" s="212">
        <v>1757540</v>
      </c>
      <c r="U8" s="212">
        <v>1759961</v>
      </c>
      <c r="V8" s="212">
        <v>1760374</v>
      </c>
      <c r="W8" s="212">
        <v>1760374</v>
      </c>
      <c r="X8" s="212">
        <v>1760374</v>
      </c>
      <c r="Y8" s="212">
        <v>1760374</v>
      </c>
      <c r="Z8" s="212">
        <v>1760374</v>
      </c>
      <c r="AA8" s="212">
        <v>1760374</v>
      </c>
      <c r="AB8" s="212">
        <v>1760374</v>
      </c>
      <c r="AC8" s="212">
        <v>1760374</v>
      </c>
      <c r="AD8" s="212">
        <v>1760374</v>
      </c>
      <c r="AE8" s="212">
        <v>1760374</v>
      </c>
      <c r="AF8" s="212">
        <v>1760886</v>
      </c>
      <c r="AG8" s="194"/>
      <c r="AH8" s="195"/>
      <c r="AI8" s="212">
        <v>1728419</v>
      </c>
      <c r="AJ8" s="101"/>
      <c r="AK8" s="101"/>
      <c r="AN8" s="102"/>
    </row>
    <row r="9" spans="1:40" ht="20.100000000000001" customHeight="1">
      <c r="A9" s="94" t="s">
        <v>59</v>
      </c>
      <c r="B9" s="214">
        <v>10390222</v>
      </c>
      <c r="C9" s="214">
        <v>10398063</v>
      </c>
      <c r="D9" s="214">
        <v>10405777</v>
      </c>
      <c r="E9" s="214">
        <v>10414139</v>
      </c>
      <c r="F9" s="214">
        <v>10422379</v>
      </c>
      <c r="G9" s="214">
        <v>10429916</v>
      </c>
      <c r="H9" s="214">
        <v>10437976</v>
      </c>
      <c r="I9" s="214">
        <v>10445950</v>
      </c>
      <c r="J9" s="214">
        <v>10453960</v>
      </c>
      <c r="K9" s="214">
        <v>10462113</v>
      </c>
      <c r="L9" s="214">
        <v>10470242</v>
      </c>
      <c r="M9" s="214">
        <v>10478396</v>
      </c>
      <c r="N9" s="214">
        <v>10486482</v>
      </c>
      <c r="O9" s="214">
        <v>10494434</v>
      </c>
      <c r="P9" s="214">
        <v>10502364</v>
      </c>
      <c r="Q9" s="214">
        <v>10510235</v>
      </c>
      <c r="R9" s="214">
        <v>10518650</v>
      </c>
      <c r="S9" s="214">
        <v>10527078</v>
      </c>
      <c r="T9" s="214">
        <v>10535436</v>
      </c>
      <c r="U9" s="214">
        <v>10543794</v>
      </c>
      <c r="V9" s="214">
        <v>10551748</v>
      </c>
      <c r="W9" s="214">
        <v>10559864</v>
      </c>
      <c r="X9" s="214">
        <v>10568081</v>
      </c>
      <c r="Y9" s="214">
        <v>10576162</v>
      </c>
      <c r="Z9" s="214">
        <v>10584270</v>
      </c>
      <c r="AA9" s="214">
        <v>10592109</v>
      </c>
      <c r="AB9" s="214">
        <v>10600009</v>
      </c>
      <c r="AC9" s="214">
        <v>10607903</v>
      </c>
      <c r="AD9" s="214">
        <v>10615625</v>
      </c>
      <c r="AE9" s="214">
        <v>10623246</v>
      </c>
      <c r="AF9" s="214">
        <v>10631029</v>
      </c>
      <c r="AG9" s="196"/>
      <c r="AH9" s="197"/>
      <c r="AI9" s="214">
        <v>10382632</v>
      </c>
      <c r="AJ9" s="101"/>
      <c r="AK9" s="101"/>
      <c r="AN9" s="102"/>
    </row>
    <row r="10" spans="1:40" ht="20.100000000000001" customHeight="1">
      <c r="A10" s="94" t="s">
        <v>60</v>
      </c>
      <c r="B10" s="212">
        <v>2183883</v>
      </c>
      <c r="C10" s="212">
        <v>2189089</v>
      </c>
      <c r="D10" s="212">
        <v>2194225</v>
      </c>
      <c r="E10" s="212">
        <v>2199465</v>
      </c>
      <c r="F10" s="212">
        <v>2204527</v>
      </c>
      <c r="G10" s="212">
        <v>2209301</v>
      </c>
      <c r="H10" s="212">
        <v>2214287</v>
      </c>
      <c r="I10" s="212">
        <v>2219432</v>
      </c>
      <c r="J10" s="212">
        <v>2224586</v>
      </c>
      <c r="K10" s="212">
        <v>2229829</v>
      </c>
      <c r="L10" s="212">
        <v>2235014</v>
      </c>
      <c r="M10" s="212">
        <v>2240072</v>
      </c>
      <c r="N10" s="212">
        <v>2244886</v>
      </c>
      <c r="O10" s="212">
        <v>2249888</v>
      </c>
      <c r="P10" s="212">
        <v>2255125</v>
      </c>
      <c r="Q10" s="212">
        <v>2260299</v>
      </c>
      <c r="R10" s="212">
        <v>2265581</v>
      </c>
      <c r="S10" s="212">
        <v>2270964</v>
      </c>
      <c r="T10" s="212">
        <v>2276088</v>
      </c>
      <c r="U10" s="212">
        <v>2281051</v>
      </c>
      <c r="V10" s="212">
        <v>2286166</v>
      </c>
      <c r="W10" s="212">
        <v>2291442</v>
      </c>
      <c r="X10" s="212">
        <v>2296689</v>
      </c>
      <c r="Y10" s="212">
        <v>2302037</v>
      </c>
      <c r="Z10" s="212">
        <v>2307505</v>
      </c>
      <c r="AA10" s="212">
        <v>2312825</v>
      </c>
      <c r="AB10" s="212">
        <v>2318066</v>
      </c>
      <c r="AC10" s="212">
        <v>2323135</v>
      </c>
      <c r="AD10" s="212">
        <v>2328490</v>
      </c>
      <c r="AE10" s="212">
        <v>2333761</v>
      </c>
      <c r="AF10" s="212">
        <v>2339136</v>
      </c>
      <c r="AG10" s="194"/>
      <c r="AH10" s="195"/>
      <c r="AI10" s="212">
        <v>2178752</v>
      </c>
      <c r="AJ10" s="101"/>
      <c r="AK10" s="101"/>
      <c r="AN10" s="102"/>
    </row>
    <row r="11" spans="1:40" ht="22.5" customHeight="1">
      <c r="A11" s="94" t="s">
        <v>61</v>
      </c>
      <c r="B11" s="212">
        <v>108838</v>
      </c>
      <c r="C11" s="212">
        <v>109007</v>
      </c>
      <c r="D11" s="212">
        <v>109170</v>
      </c>
      <c r="E11" s="212">
        <v>109337</v>
      </c>
      <c r="F11" s="212">
        <v>109494</v>
      </c>
      <c r="G11" s="212">
        <v>109633</v>
      </c>
      <c r="H11" s="212">
        <v>109789</v>
      </c>
      <c r="I11" s="212">
        <v>109950</v>
      </c>
      <c r="J11" s="212">
        <v>110116</v>
      </c>
      <c r="K11" s="212">
        <v>110284</v>
      </c>
      <c r="L11" s="212">
        <v>110460</v>
      </c>
      <c r="M11" s="212">
        <v>110629</v>
      </c>
      <c r="N11" s="212">
        <v>110782</v>
      </c>
      <c r="O11" s="212">
        <v>110947</v>
      </c>
      <c r="P11" s="212">
        <v>111129</v>
      </c>
      <c r="Q11" s="212">
        <v>111292</v>
      </c>
      <c r="R11" s="212">
        <v>111471</v>
      </c>
      <c r="S11" s="212">
        <v>111652</v>
      </c>
      <c r="T11" s="212">
        <v>111818</v>
      </c>
      <c r="U11" s="212">
        <v>111974</v>
      </c>
      <c r="V11" s="212">
        <v>112152</v>
      </c>
      <c r="W11" s="212">
        <v>112335</v>
      </c>
      <c r="X11" s="212">
        <v>112514</v>
      </c>
      <c r="Y11" s="212">
        <v>112691</v>
      </c>
      <c r="Z11" s="212">
        <v>112877</v>
      </c>
      <c r="AA11" s="212">
        <v>113041</v>
      </c>
      <c r="AB11" s="212">
        <v>113204</v>
      </c>
      <c r="AC11" s="212">
        <v>113368</v>
      </c>
      <c r="AD11" s="212">
        <v>113543</v>
      </c>
      <c r="AE11" s="212">
        <v>113717</v>
      </c>
      <c r="AF11" s="212">
        <v>113891</v>
      </c>
      <c r="AG11" s="194"/>
      <c r="AH11" s="195"/>
      <c r="AI11" s="212">
        <v>108667</v>
      </c>
      <c r="AJ11" s="101"/>
      <c r="AK11" s="101"/>
      <c r="AN11" s="102"/>
    </row>
    <row r="12" spans="1:40"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98"/>
      <c r="AH12" s="198"/>
      <c r="AI12" s="162"/>
    </row>
    <row r="13" spans="1:40" ht="25.5">
      <c r="A13" s="87"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81" t="s">
        <v>106</v>
      </c>
      <c r="AG13" s="192"/>
      <c r="AH13" s="192"/>
      <c r="AI13" s="181" t="s">
        <v>106</v>
      </c>
    </row>
    <row r="14" spans="1:40">
      <c r="A14" s="87" t="s">
        <v>66</v>
      </c>
      <c r="B14" s="182">
        <v>164033.31</v>
      </c>
      <c r="C14" s="182">
        <v>164033.31</v>
      </c>
      <c r="D14" s="182">
        <v>164033.31</v>
      </c>
      <c r="E14" s="182">
        <v>164033.31</v>
      </c>
      <c r="F14" s="182">
        <v>164033.31</v>
      </c>
      <c r="G14" s="182">
        <v>164880.23000000001</v>
      </c>
      <c r="H14" s="182">
        <v>164880.23000000001</v>
      </c>
      <c r="I14" s="182">
        <v>164880.23000000001</v>
      </c>
      <c r="J14" s="182">
        <v>164880.23000000001</v>
      </c>
      <c r="K14" s="182">
        <v>164880.23000000001</v>
      </c>
      <c r="L14" s="182">
        <v>164880.23000000001</v>
      </c>
      <c r="M14" s="182">
        <v>164880.23000000001</v>
      </c>
      <c r="N14" s="182">
        <v>165537.57</v>
      </c>
      <c r="O14" s="182">
        <v>165537.57</v>
      </c>
      <c r="P14" s="182">
        <v>165537.57</v>
      </c>
      <c r="Q14" s="182">
        <v>165537.57</v>
      </c>
      <c r="R14" s="182">
        <v>165537.57</v>
      </c>
      <c r="S14" s="182">
        <v>165537.57</v>
      </c>
      <c r="T14" s="182">
        <v>165537.57</v>
      </c>
      <c r="U14" s="182">
        <v>166369.91</v>
      </c>
      <c r="V14" s="182">
        <v>166369.91</v>
      </c>
      <c r="W14" s="182">
        <v>166369.91</v>
      </c>
      <c r="X14" s="182">
        <v>166369.91</v>
      </c>
      <c r="Y14" s="182">
        <v>166369.91</v>
      </c>
      <c r="Z14" s="182">
        <v>166369.91</v>
      </c>
      <c r="AA14" s="182">
        <v>166369.91</v>
      </c>
      <c r="AB14" s="182">
        <v>167044.85999999999</v>
      </c>
      <c r="AC14" s="182">
        <v>167044.85999999999</v>
      </c>
      <c r="AD14" s="182">
        <v>167044.85999999999</v>
      </c>
      <c r="AE14" s="182">
        <v>167044.85999999999</v>
      </c>
      <c r="AF14" s="182">
        <v>167044.85999999999</v>
      </c>
      <c r="AG14" s="199"/>
      <c r="AH14" s="200"/>
      <c r="AI14" s="182">
        <v>164033.31</v>
      </c>
    </row>
    <row r="15" spans="1:40" ht="25.5">
      <c r="A15" s="87" t="s">
        <v>67</v>
      </c>
      <c r="B15" s="183">
        <v>852</v>
      </c>
      <c r="C15" s="183">
        <v>852</v>
      </c>
      <c r="D15" s="183">
        <v>852</v>
      </c>
      <c r="E15" s="183">
        <v>852</v>
      </c>
      <c r="F15" s="183">
        <v>852</v>
      </c>
      <c r="G15" s="183">
        <v>854</v>
      </c>
      <c r="H15" s="183">
        <v>856</v>
      </c>
      <c r="I15" s="183">
        <v>856</v>
      </c>
      <c r="J15" s="183">
        <v>857</v>
      </c>
      <c r="K15" s="183">
        <v>857</v>
      </c>
      <c r="L15" s="183">
        <v>857</v>
      </c>
      <c r="M15" s="183">
        <v>858</v>
      </c>
      <c r="N15" s="183">
        <v>861</v>
      </c>
      <c r="O15" s="183">
        <v>868</v>
      </c>
      <c r="P15" s="183">
        <v>869</v>
      </c>
      <c r="Q15" s="183">
        <v>870</v>
      </c>
      <c r="R15" s="183">
        <v>870</v>
      </c>
      <c r="S15" s="183">
        <v>869</v>
      </c>
      <c r="T15" s="183">
        <v>872</v>
      </c>
      <c r="U15" s="183">
        <v>875</v>
      </c>
      <c r="V15" s="183">
        <v>876</v>
      </c>
      <c r="W15" s="183">
        <v>876</v>
      </c>
      <c r="X15" s="183">
        <v>879</v>
      </c>
      <c r="Y15" s="183">
        <v>880</v>
      </c>
      <c r="Z15" s="183">
        <v>882</v>
      </c>
      <c r="AA15" s="183">
        <v>882</v>
      </c>
      <c r="AB15" s="183">
        <v>885</v>
      </c>
      <c r="AC15" s="183">
        <v>889</v>
      </c>
      <c r="AD15" s="183">
        <v>890</v>
      </c>
      <c r="AE15" s="183">
        <v>891</v>
      </c>
      <c r="AF15" s="183">
        <v>891</v>
      </c>
      <c r="AG15" s="201"/>
      <c r="AH15" s="202"/>
      <c r="AI15" s="183">
        <v>852</v>
      </c>
    </row>
    <row r="16" spans="1:40" ht="25.5">
      <c r="A16" s="87" t="s">
        <v>68</v>
      </c>
      <c r="B16" s="183">
        <v>4154</v>
      </c>
      <c r="C16" s="183">
        <v>4154</v>
      </c>
      <c r="D16" s="183">
        <v>4154</v>
      </c>
      <c r="E16" s="183">
        <v>4154</v>
      </c>
      <c r="F16" s="183">
        <v>4154</v>
      </c>
      <c r="G16" s="183">
        <v>4154</v>
      </c>
      <c r="H16" s="183">
        <v>4154</v>
      </c>
      <c r="I16" s="183">
        <v>4154</v>
      </c>
      <c r="J16" s="183">
        <v>4154</v>
      </c>
      <c r="K16" s="183">
        <v>4154</v>
      </c>
      <c r="L16" s="183">
        <v>4154</v>
      </c>
      <c r="M16" s="183">
        <v>4154</v>
      </c>
      <c r="N16" s="183">
        <v>4154</v>
      </c>
      <c r="O16" s="183">
        <v>4154</v>
      </c>
      <c r="P16" s="183">
        <v>4154</v>
      </c>
      <c r="Q16" s="183">
        <v>4154</v>
      </c>
      <c r="R16" s="183">
        <v>4154</v>
      </c>
      <c r="S16" s="183">
        <v>4154</v>
      </c>
      <c r="T16" s="183">
        <v>4154</v>
      </c>
      <c r="U16" s="183">
        <v>4154</v>
      </c>
      <c r="V16" s="183">
        <v>4154</v>
      </c>
      <c r="W16" s="183">
        <v>4154</v>
      </c>
      <c r="X16" s="183">
        <v>4154</v>
      </c>
      <c r="Y16" s="183">
        <v>4154</v>
      </c>
      <c r="Z16" s="183">
        <v>4154</v>
      </c>
      <c r="AA16" s="183">
        <v>4154</v>
      </c>
      <c r="AB16" s="183">
        <v>4154</v>
      </c>
      <c r="AC16" s="183">
        <v>4154</v>
      </c>
      <c r="AD16" s="183">
        <v>4154</v>
      </c>
      <c r="AE16" s="183">
        <v>4154</v>
      </c>
      <c r="AF16" s="183">
        <v>4154</v>
      </c>
      <c r="AG16" s="201"/>
      <c r="AH16" s="202"/>
      <c r="AI16" s="183">
        <v>4154</v>
      </c>
    </row>
    <row r="17" spans="1:35"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203"/>
      <c r="AH17" s="203"/>
      <c r="AI17" s="162"/>
    </row>
    <row r="18" spans="1:35" ht="16.5">
      <c r="A18" s="87"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81" t="s">
        <v>106</v>
      </c>
      <c r="AG18" s="192"/>
      <c r="AH18" s="192"/>
      <c r="AI18" s="181" t="s">
        <v>106</v>
      </c>
    </row>
    <row r="19" spans="1:35" ht="25.5">
      <c r="A19" s="127" t="s">
        <v>70</v>
      </c>
      <c r="B19" s="187">
        <v>40410.199999999997</v>
      </c>
      <c r="C19" s="188">
        <v>40430.800000000003</v>
      </c>
      <c r="D19" s="188">
        <v>40449.1</v>
      </c>
      <c r="E19" s="188">
        <v>40475.599999999999</v>
      </c>
      <c r="F19" s="188">
        <v>40505.199999999997</v>
      </c>
      <c r="G19" s="188">
        <v>40508.699999999997</v>
      </c>
      <c r="H19" s="188">
        <v>40511.1</v>
      </c>
      <c r="I19" s="188">
        <v>40511.1</v>
      </c>
      <c r="J19" s="188">
        <v>40544.1</v>
      </c>
      <c r="K19" s="188">
        <v>40567.4</v>
      </c>
      <c r="L19" s="188">
        <v>40591.199999999997</v>
      </c>
      <c r="M19" s="188">
        <v>40604.699999999997</v>
      </c>
      <c r="N19" s="188">
        <v>40627.1</v>
      </c>
      <c r="O19" s="188">
        <v>40645.800000000003</v>
      </c>
      <c r="P19" s="188">
        <v>40668.6</v>
      </c>
      <c r="Q19" s="188">
        <v>40697.1</v>
      </c>
      <c r="R19" s="188">
        <v>40720.699999999997</v>
      </c>
      <c r="S19" s="188">
        <v>40755.599999999999</v>
      </c>
      <c r="T19" s="188">
        <v>40790.6</v>
      </c>
      <c r="U19" s="188">
        <v>40831.599999999999</v>
      </c>
      <c r="V19" s="188">
        <v>40873.599999999999</v>
      </c>
      <c r="W19" s="188">
        <v>40922.1</v>
      </c>
      <c r="X19" s="188">
        <v>40940.1</v>
      </c>
      <c r="Y19" s="188">
        <v>40962.300000000003</v>
      </c>
      <c r="Z19" s="188">
        <v>41000.5</v>
      </c>
      <c r="AA19" s="188">
        <v>41033.199999999997</v>
      </c>
      <c r="AB19" s="188">
        <v>41033.300000000003</v>
      </c>
      <c r="AC19" s="188">
        <v>41090.9</v>
      </c>
      <c r="AD19" s="188">
        <v>41135.4</v>
      </c>
      <c r="AE19" s="188">
        <v>41195.800000000003</v>
      </c>
      <c r="AF19" s="188">
        <v>41216.800000000003</v>
      </c>
      <c r="AG19" s="204">
        <f>AF19-AI19</f>
        <v>838.90000000000146</v>
      </c>
      <c r="AH19" s="201"/>
      <c r="AI19" s="188">
        <v>40377.9</v>
      </c>
    </row>
    <row r="20" spans="1:35" ht="25.5">
      <c r="A20" s="87" t="s">
        <v>71</v>
      </c>
      <c r="B20" s="188" t="s">
        <v>291</v>
      </c>
      <c r="C20" s="188" t="s">
        <v>292</v>
      </c>
      <c r="D20" s="188" t="s">
        <v>293</v>
      </c>
      <c r="E20" s="188" t="s">
        <v>294</v>
      </c>
      <c r="F20" s="188" t="s">
        <v>295</v>
      </c>
      <c r="G20" s="188" t="s">
        <v>296</v>
      </c>
      <c r="H20" s="188" t="s">
        <v>297</v>
      </c>
      <c r="I20" s="188" t="s">
        <v>298</v>
      </c>
      <c r="J20" s="188" t="s">
        <v>299</v>
      </c>
      <c r="K20" s="188" t="s">
        <v>300</v>
      </c>
      <c r="L20" s="188" t="s">
        <v>301</v>
      </c>
      <c r="M20" s="188" t="s">
        <v>302</v>
      </c>
      <c r="N20" s="188" t="s">
        <v>303</v>
      </c>
      <c r="O20" s="188" t="s">
        <v>304</v>
      </c>
      <c r="P20" s="188" t="s">
        <v>305</v>
      </c>
      <c r="Q20" s="188" t="s">
        <v>306</v>
      </c>
      <c r="R20" s="188" t="s">
        <v>307</v>
      </c>
      <c r="S20" s="188" t="s">
        <v>308</v>
      </c>
      <c r="T20" s="188" t="s">
        <v>309</v>
      </c>
      <c r="U20" s="188" t="s">
        <v>310</v>
      </c>
      <c r="V20" s="188" t="s">
        <v>311</v>
      </c>
      <c r="W20" s="188" t="s">
        <v>312</v>
      </c>
      <c r="X20" s="188" t="s">
        <v>313</v>
      </c>
      <c r="Y20" s="188" t="s">
        <v>314</v>
      </c>
      <c r="Z20" s="188" t="s">
        <v>315</v>
      </c>
      <c r="AA20" s="188" t="s">
        <v>316</v>
      </c>
      <c r="AB20" s="188" t="s">
        <v>317</v>
      </c>
      <c r="AC20" s="188" t="s">
        <v>318</v>
      </c>
      <c r="AD20" s="188" t="s">
        <v>319</v>
      </c>
      <c r="AE20" s="188" t="s">
        <v>320</v>
      </c>
      <c r="AF20" s="188">
        <v>6562358</v>
      </c>
      <c r="AG20" s="205">
        <f>AF20-AI20</f>
        <v>1787202</v>
      </c>
      <c r="AH20" s="206"/>
      <c r="AI20" s="187">
        <v>4775156</v>
      </c>
    </row>
    <row r="21" spans="1:35" ht="25.5">
      <c r="A21" s="87" t="s">
        <v>72</v>
      </c>
      <c r="B21" s="188">
        <v>23219</v>
      </c>
      <c r="C21" s="188">
        <v>23219</v>
      </c>
      <c r="D21" s="188">
        <v>23219</v>
      </c>
      <c r="E21" s="188">
        <v>23219</v>
      </c>
      <c r="F21" s="188">
        <v>23219</v>
      </c>
      <c r="G21" s="188">
        <v>23219</v>
      </c>
      <c r="H21" s="188">
        <v>23219</v>
      </c>
      <c r="I21" s="188">
        <v>23219</v>
      </c>
      <c r="J21" s="188">
        <v>23219</v>
      </c>
      <c r="K21" s="188">
        <v>23219</v>
      </c>
      <c r="L21" s="188">
        <v>23219</v>
      </c>
      <c r="M21" s="188">
        <v>23219</v>
      </c>
      <c r="N21" s="188">
        <v>24436</v>
      </c>
      <c r="O21" s="188">
        <v>24436</v>
      </c>
      <c r="P21" s="188">
        <v>24436</v>
      </c>
      <c r="Q21" s="188">
        <v>24436</v>
      </c>
      <c r="R21" s="188">
        <v>24436</v>
      </c>
      <c r="S21" s="188">
        <v>24436</v>
      </c>
      <c r="T21" s="188">
        <v>24436</v>
      </c>
      <c r="U21" s="188">
        <v>25213</v>
      </c>
      <c r="V21" s="188">
        <v>25213</v>
      </c>
      <c r="W21" s="188">
        <v>25213</v>
      </c>
      <c r="X21" s="188">
        <v>25213</v>
      </c>
      <c r="Y21" s="188">
        <v>25213</v>
      </c>
      <c r="Z21" s="188">
        <v>25213</v>
      </c>
      <c r="AA21" s="188">
        <v>25213</v>
      </c>
      <c r="AB21" s="188">
        <v>25970</v>
      </c>
      <c r="AC21" s="188">
        <v>25970</v>
      </c>
      <c r="AD21" s="188">
        <v>25970</v>
      </c>
      <c r="AE21" s="188">
        <v>25970</v>
      </c>
      <c r="AF21" s="188">
        <v>25970</v>
      </c>
      <c r="AG21" s="201">
        <f>AF21-AI21</f>
        <v>2751</v>
      </c>
      <c r="AH21" s="201"/>
      <c r="AI21" s="188">
        <v>23219</v>
      </c>
    </row>
    <row r="22" spans="1:35">
      <c r="A22" s="87" t="s">
        <v>73</v>
      </c>
      <c r="B22" s="188">
        <v>104996</v>
      </c>
      <c r="C22" s="188">
        <v>105050</v>
      </c>
      <c r="D22" s="188">
        <v>105099</v>
      </c>
      <c r="E22" s="188">
        <v>105156</v>
      </c>
      <c r="F22" s="188">
        <v>105207</v>
      </c>
      <c r="G22" s="188">
        <v>105258</v>
      </c>
      <c r="H22" s="188">
        <v>105301</v>
      </c>
      <c r="I22" s="188">
        <v>105343</v>
      </c>
      <c r="J22" s="188">
        <v>105388</v>
      </c>
      <c r="K22" s="188">
        <v>105437</v>
      </c>
      <c r="L22" s="188">
        <v>105489</v>
      </c>
      <c r="M22" s="188">
        <v>105544</v>
      </c>
      <c r="N22" s="188">
        <v>105611</v>
      </c>
      <c r="O22" s="188">
        <v>105654</v>
      </c>
      <c r="P22" s="188">
        <v>105701</v>
      </c>
      <c r="Q22" s="188">
        <v>105749</v>
      </c>
      <c r="R22" s="188">
        <v>105803</v>
      </c>
      <c r="S22" s="188">
        <v>105862</v>
      </c>
      <c r="T22" s="188">
        <v>105975</v>
      </c>
      <c r="U22" s="188">
        <v>106035</v>
      </c>
      <c r="V22" s="188">
        <v>106093</v>
      </c>
      <c r="W22" s="188">
        <v>106156</v>
      </c>
      <c r="X22" s="188">
        <v>106221</v>
      </c>
      <c r="Y22" s="188">
        <v>106290</v>
      </c>
      <c r="Z22" s="188">
        <v>106364</v>
      </c>
      <c r="AA22" s="188">
        <v>106364</v>
      </c>
      <c r="AB22" s="188">
        <v>106506</v>
      </c>
      <c r="AC22" s="188">
        <v>106579</v>
      </c>
      <c r="AD22" s="188">
        <v>106685</v>
      </c>
      <c r="AE22" s="188">
        <v>106745</v>
      </c>
      <c r="AF22" s="188">
        <v>106812</v>
      </c>
      <c r="AG22" s="201">
        <f>AF22-AI22</f>
        <v>1884</v>
      </c>
      <c r="AH22" s="201"/>
      <c r="AI22" s="188">
        <v>104928</v>
      </c>
    </row>
    <row r="23" spans="1:35">
      <c r="A23" s="189" t="s">
        <v>136</v>
      </c>
      <c r="B23" s="188">
        <v>362</v>
      </c>
      <c r="C23" s="188">
        <v>362</v>
      </c>
      <c r="D23" s="188">
        <v>362</v>
      </c>
      <c r="E23" s="188">
        <v>362</v>
      </c>
      <c r="F23" s="188">
        <v>362</v>
      </c>
      <c r="G23" s="188">
        <v>423</v>
      </c>
      <c r="H23" s="188">
        <v>423</v>
      </c>
      <c r="I23" s="188">
        <v>423</v>
      </c>
      <c r="J23" s="188">
        <v>423</v>
      </c>
      <c r="K23" s="188">
        <v>423</v>
      </c>
      <c r="L23" s="188">
        <v>423</v>
      </c>
      <c r="M23" s="188">
        <v>423</v>
      </c>
      <c r="N23" s="188">
        <v>473</v>
      </c>
      <c r="O23" s="188">
        <v>473</v>
      </c>
      <c r="P23" s="188">
        <v>473</v>
      </c>
      <c r="Q23" s="188">
        <v>473</v>
      </c>
      <c r="R23" s="188">
        <v>473</v>
      </c>
      <c r="S23" s="188">
        <v>473</v>
      </c>
      <c r="T23" s="188">
        <v>473</v>
      </c>
      <c r="U23" s="188">
        <v>526</v>
      </c>
      <c r="V23" s="188">
        <v>526</v>
      </c>
      <c r="W23" s="188">
        <v>526</v>
      </c>
      <c r="X23" s="188">
        <v>526</v>
      </c>
      <c r="Y23" s="188">
        <v>526</v>
      </c>
      <c r="Z23" s="188">
        <v>526</v>
      </c>
      <c r="AA23" s="188">
        <v>526</v>
      </c>
      <c r="AB23" s="188">
        <v>574</v>
      </c>
      <c r="AC23" s="188">
        <v>574</v>
      </c>
      <c r="AD23" s="188">
        <v>574</v>
      </c>
      <c r="AE23" s="188">
        <v>574</v>
      </c>
      <c r="AF23" s="188">
        <v>574</v>
      </c>
      <c r="AG23" s="201"/>
      <c r="AH23" s="205"/>
      <c r="AI23" s="188" t="s">
        <v>268</v>
      </c>
    </row>
    <row r="24" spans="1:35">
      <c r="A24" s="189" t="s">
        <v>139</v>
      </c>
      <c r="B24" s="188">
        <v>376</v>
      </c>
      <c r="C24" s="188">
        <v>376</v>
      </c>
      <c r="D24" s="188">
        <v>376</v>
      </c>
      <c r="E24" s="188">
        <v>376</v>
      </c>
      <c r="F24" s="188">
        <v>376</v>
      </c>
      <c r="G24" s="188">
        <v>426</v>
      </c>
      <c r="H24" s="188">
        <v>426</v>
      </c>
      <c r="I24" s="188">
        <v>426</v>
      </c>
      <c r="J24" s="188">
        <v>426</v>
      </c>
      <c r="K24" s="188">
        <v>426</v>
      </c>
      <c r="L24" s="188">
        <v>426</v>
      </c>
      <c r="M24" s="188">
        <v>426</v>
      </c>
      <c r="N24" s="188">
        <v>466</v>
      </c>
      <c r="O24" s="188">
        <v>466</v>
      </c>
      <c r="P24" s="188">
        <v>466</v>
      </c>
      <c r="Q24" s="188">
        <v>466</v>
      </c>
      <c r="R24" s="188">
        <v>466</v>
      </c>
      <c r="S24" s="188">
        <v>466</v>
      </c>
      <c r="T24" s="188">
        <v>466</v>
      </c>
      <c r="U24" s="188">
        <v>515</v>
      </c>
      <c r="V24" s="188">
        <v>515</v>
      </c>
      <c r="W24" s="188">
        <v>515</v>
      </c>
      <c r="X24" s="188">
        <v>515</v>
      </c>
      <c r="Y24" s="188">
        <v>515</v>
      </c>
      <c r="Z24" s="188">
        <v>515</v>
      </c>
      <c r="AA24" s="188">
        <v>515</v>
      </c>
      <c r="AB24" s="188">
        <v>563</v>
      </c>
      <c r="AC24" s="188">
        <v>563</v>
      </c>
      <c r="AD24" s="188">
        <v>563</v>
      </c>
      <c r="AE24" s="188">
        <v>563</v>
      </c>
      <c r="AF24" s="188">
        <v>563</v>
      </c>
      <c r="AG24" s="201"/>
      <c r="AH24" s="205"/>
      <c r="AI24" s="188" t="s">
        <v>270</v>
      </c>
    </row>
    <row r="25" spans="1:35">
      <c r="A25" s="189" t="s">
        <v>142</v>
      </c>
      <c r="B25" s="188">
        <v>143</v>
      </c>
      <c r="C25" s="188">
        <v>143</v>
      </c>
      <c r="D25" s="188">
        <v>143</v>
      </c>
      <c r="E25" s="188">
        <v>143</v>
      </c>
      <c r="F25" s="188">
        <v>143</v>
      </c>
      <c r="G25" s="188">
        <v>155</v>
      </c>
      <c r="H25" s="188">
        <v>155</v>
      </c>
      <c r="I25" s="188">
        <v>155</v>
      </c>
      <c r="J25" s="188">
        <v>155</v>
      </c>
      <c r="K25" s="188">
        <v>155</v>
      </c>
      <c r="L25" s="188">
        <v>155</v>
      </c>
      <c r="M25" s="188">
        <v>155</v>
      </c>
      <c r="N25" s="188">
        <v>161</v>
      </c>
      <c r="O25" s="188">
        <v>161</v>
      </c>
      <c r="P25" s="188">
        <v>161</v>
      </c>
      <c r="Q25" s="188">
        <v>161</v>
      </c>
      <c r="R25" s="188">
        <v>161</v>
      </c>
      <c r="S25" s="188">
        <v>161</v>
      </c>
      <c r="T25" s="188">
        <v>161</v>
      </c>
      <c r="U25" s="188">
        <v>167</v>
      </c>
      <c r="V25" s="188">
        <v>167</v>
      </c>
      <c r="W25" s="188">
        <v>167</v>
      </c>
      <c r="X25" s="188">
        <v>167</v>
      </c>
      <c r="Y25" s="188">
        <v>167</v>
      </c>
      <c r="Z25" s="188">
        <v>167</v>
      </c>
      <c r="AA25" s="188">
        <v>167</v>
      </c>
      <c r="AB25" s="188">
        <v>175</v>
      </c>
      <c r="AC25" s="188">
        <v>175</v>
      </c>
      <c r="AD25" s="188">
        <v>175</v>
      </c>
      <c r="AE25" s="188">
        <v>175</v>
      </c>
      <c r="AF25" s="188">
        <v>175</v>
      </c>
      <c r="AG25" s="201"/>
      <c r="AH25" s="205"/>
      <c r="AI25" s="188" t="s">
        <v>272</v>
      </c>
    </row>
    <row r="26" spans="1:35">
      <c r="A26" s="189" t="s">
        <v>145</v>
      </c>
      <c r="B26" s="188">
        <v>11</v>
      </c>
      <c r="C26" s="188">
        <v>11</v>
      </c>
      <c r="D26" s="188">
        <v>11</v>
      </c>
      <c r="E26" s="188">
        <v>11</v>
      </c>
      <c r="F26" s="188">
        <v>11</v>
      </c>
      <c r="G26" s="188">
        <v>14</v>
      </c>
      <c r="H26" s="188">
        <v>14</v>
      </c>
      <c r="I26" s="188">
        <v>14</v>
      </c>
      <c r="J26" s="188">
        <v>14</v>
      </c>
      <c r="K26" s="188">
        <v>14</v>
      </c>
      <c r="L26" s="188">
        <v>14</v>
      </c>
      <c r="M26" s="188">
        <v>14</v>
      </c>
      <c r="N26" s="188">
        <v>14</v>
      </c>
      <c r="O26" s="188">
        <v>14</v>
      </c>
      <c r="P26" s="188">
        <v>14</v>
      </c>
      <c r="Q26" s="188">
        <v>14</v>
      </c>
      <c r="R26" s="188">
        <v>14</v>
      </c>
      <c r="S26" s="188">
        <v>14</v>
      </c>
      <c r="T26" s="188">
        <v>14</v>
      </c>
      <c r="U26" s="188">
        <v>34</v>
      </c>
      <c r="V26" s="188">
        <v>34</v>
      </c>
      <c r="W26" s="188">
        <v>34</v>
      </c>
      <c r="X26" s="188">
        <v>34</v>
      </c>
      <c r="Y26" s="188">
        <v>34</v>
      </c>
      <c r="Z26" s="188">
        <v>34</v>
      </c>
      <c r="AA26" s="188">
        <v>34</v>
      </c>
      <c r="AB26" s="188">
        <v>36</v>
      </c>
      <c r="AC26" s="188">
        <v>36</v>
      </c>
      <c r="AD26" s="188">
        <v>36</v>
      </c>
      <c r="AE26" s="188">
        <v>36</v>
      </c>
      <c r="AF26" s="188">
        <v>36</v>
      </c>
      <c r="AG26" s="201"/>
      <c r="AH26" s="205"/>
      <c r="AI26" s="188" t="s">
        <v>273</v>
      </c>
    </row>
    <row r="27" spans="1:35">
      <c r="A27" s="189" t="s">
        <v>148</v>
      </c>
      <c r="B27" s="188">
        <v>554</v>
      </c>
      <c r="C27" s="188">
        <v>554</v>
      </c>
      <c r="D27" s="188">
        <v>554</v>
      </c>
      <c r="E27" s="188">
        <v>554</v>
      </c>
      <c r="F27" s="188">
        <v>554</v>
      </c>
      <c r="G27" s="188">
        <v>612</v>
      </c>
      <c r="H27" s="188">
        <v>612</v>
      </c>
      <c r="I27" s="188">
        <v>612</v>
      </c>
      <c r="J27" s="188">
        <v>612</v>
      </c>
      <c r="K27" s="188">
        <v>612</v>
      </c>
      <c r="L27" s="188">
        <v>612</v>
      </c>
      <c r="M27" s="188">
        <v>612</v>
      </c>
      <c r="N27" s="188">
        <v>682</v>
      </c>
      <c r="O27" s="188">
        <v>682</v>
      </c>
      <c r="P27" s="188">
        <v>682</v>
      </c>
      <c r="Q27" s="188">
        <v>682</v>
      </c>
      <c r="R27" s="188">
        <v>682</v>
      </c>
      <c r="S27" s="188">
        <v>682</v>
      </c>
      <c r="T27" s="188">
        <v>682</v>
      </c>
      <c r="U27" s="188">
        <v>716</v>
      </c>
      <c r="V27" s="188">
        <v>716</v>
      </c>
      <c r="W27" s="188">
        <v>716</v>
      </c>
      <c r="X27" s="188">
        <v>716</v>
      </c>
      <c r="Y27" s="188">
        <v>716</v>
      </c>
      <c r="Z27" s="188">
        <v>716</v>
      </c>
      <c r="AA27" s="188">
        <v>716</v>
      </c>
      <c r="AB27" s="188">
        <v>781</v>
      </c>
      <c r="AC27" s="188">
        <v>781</v>
      </c>
      <c r="AD27" s="188">
        <v>781</v>
      </c>
      <c r="AE27" s="188">
        <v>781</v>
      </c>
      <c r="AF27" s="188">
        <v>781</v>
      </c>
      <c r="AG27" s="201"/>
      <c r="AH27" s="205"/>
      <c r="AI27" s="188" t="s">
        <v>275</v>
      </c>
    </row>
    <row r="28" spans="1:35">
      <c r="A28" s="189" t="s">
        <v>151</v>
      </c>
      <c r="B28" s="188">
        <v>71</v>
      </c>
      <c r="C28" s="188">
        <v>71</v>
      </c>
      <c r="D28" s="188">
        <v>71</v>
      </c>
      <c r="E28" s="188">
        <v>71</v>
      </c>
      <c r="F28" s="188">
        <v>71</v>
      </c>
      <c r="G28" s="188">
        <v>82</v>
      </c>
      <c r="H28" s="188">
        <v>82</v>
      </c>
      <c r="I28" s="188">
        <v>82</v>
      </c>
      <c r="J28" s="188">
        <v>82</v>
      </c>
      <c r="K28" s="188">
        <v>82</v>
      </c>
      <c r="L28" s="188">
        <v>82</v>
      </c>
      <c r="M28" s="188">
        <v>82</v>
      </c>
      <c r="N28" s="188">
        <v>93</v>
      </c>
      <c r="O28" s="188">
        <v>93</v>
      </c>
      <c r="P28" s="188">
        <v>93</v>
      </c>
      <c r="Q28" s="188">
        <v>93</v>
      </c>
      <c r="R28" s="188">
        <v>93</v>
      </c>
      <c r="S28" s="188">
        <v>93</v>
      </c>
      <c r="T28" s="188">
        <v>93</v>
      </c>
      <c r="U28" s="188">
        <v>105</v>
      </c>
      <c r="V28" s="188">
        <v>105</v>
      </c>
      <c r="W28" s="188">
        <v>105</v>
      </c>
      <c r="X28" s="188">
        <v>105</v>
      </c>
      <c r="Y28" s="188">
        <v>105</v>
      </c>
      <c r="Z28" s="188">
        <v>105</v>
      </c>
      <c r="AA28" s="188">
        <v>105</v>
      </c>
      <c r="AB28" s="188">
        <v>116</v>
      </c>
      <c r="AC28" s="188">
        <v>116</v>
      </c>
      <c r="AD28" s="188">
        <v>116</v>
      </c>
      <c r="AE28" s="188">
        <v>116</v>
      </c>
      <c r="AF28" s="188">
        <v>116</v>
      </c>
      <c r="AG28" s="201"/>
      <c r="AH28" s="205"/>
      <c r="AI28" s="188" t="s">
        <v>277</v>
      </c>
    </row>
    <row r="29" spans="1:35">
      <c r="A29" s="189" t="s">
        <v>154</v>
      </c>
      <c r="B29" s="188">
        <v>20</v>
      </c>
      <c r="C29" s="188">
        <v>20</v>
      </c>
      <c r="D29" s="188">
        <v>20</v>
      </c>
      <c r="E29" s="188">
        <v>20</v>
      </c>
      <c r="F29" s="188">
        <v>20</v>
      </c>
      <c r="G29" s="188">
        <v>24</v>
      </c>
      <c r="H29" s="188">
        <v>24</v>
      </c>
      <c r="I29" s="188">
        <v>24</v>
      </c>
      <c r="J29" s="188">
        <v>24</v>
      </c>
      <c r="K29" s="188">
        <v>24</v>
      </c>
      <c r="L29" s="188">
        <v>24</v>
      </c>
      <c r="M29" s="188">
        <v>24</v>
      </c>
      <c r="N29" s="188">
        <v>29</v>
      </c>
      <c r="O29" s="188">
        <v>29</v>
      </c>
      <c r="P29" s="188">
        <v>29</v>
      </c>
      <c r="Q29" s="188">
        <v>29</v>
      </c>
      <c r="R29" s="188">
        <v>29</v>
      </c>
      <c r="S29" s="188">
        <v>29</v>
      </c>
      <c r="T29" s="188">
        <v>29</v>
      </c>
      <c r="U29" s="188">
        <v>32</v>
      </c>
      <c r="V29" s="188">
        <v>32</v>
      </c>
      <c r="W29" s="188">
        <v>32</v>
      </c>
      <c r="X29" s="188">
        <v>32</v>
      </c>
      <c r="Y29" s="188">
        <v>32</v>
      </c>
      <c r="Z29" s="188">
        <v>32</v>
      </c>
      <c r="AA29" s="188">
        <v>32</v>
      </c>
      <c r="AB29" s="188">
        <v>36</v>
      </c>
      <c r="AC29" s="188">
        <v>36</v>
      </c>
      <c r="AD29" s="188">
        <v>36</v>
      </c>
      <c r="AE29" s="188">
        <v>36</v>
      </c>
      <c r="AF29" s="188">
        <v>36</v>
      </c>
      <c r="AG29" s="201"/>
      <c r="AH29" s="205"/>
      <c r="AI29" s="188" t="s">
        <v>279</v>
      </c>
    </row>
    <row r="30" spans="1:35">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207"/>
      <c r="AH30" s="207"/>
      <c r="AI30" s="162"/>
    </row>
    <row r="31" spans="1:35" ht="16.5">
      <c r="A31" s="87"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81" t="s">
        <v>157</v>
      </c>
      <c r="AG31" s="192"/>
      <c r="AH31" s="192"/>
      <c r="AI31" s="181" t="s">
        <v>157</v>
      </c>
    </row>
    <row r="32" spans="1:35" ht="25.5">
      <c r="A32" s="127" t="s">
        <v>77</v>
      </c>
      <c r="B32" s="191" t="s">
        <v>158</v>
      </c>
      <c r="C32" s="191" t="s">
        <v>158</v>
      </c>
      <c r="D32" s="191" t="s">
        <v>158</v>
      </c>
      <c r="E32" s="191" t="s">
        <v>158</v>
      </c>
      <c r="F32" s="191" t="s">
        <v>158</v>
      </c>
      <c r="G32" s="191" t="s">
        <v>158</v>
      </c>
      <c r="H32" s="191" t="s">
        <v>158</v>
      </c>
      <c r="I32" s="191" t="s">
        <v>158</v>
      </c>
      <c r="J32" s="191" t="s">
        <v>158</v>
      </c>
      <c r="K32" s="191" t="s">
        <v>158</v>
      </c>
      <c r="L32" s="191" t="s">
        <v>158</v>
      </c>
      <c r="M32" s="191" t="s">
        <v>158</v>
      </c>
      <c r="N32" s="191" t="s">
        <v>158</v>
      </c>
      <c r="O32" s="191" t="s">
        <v>158</v>
      </c>
      <c r="P32" s="191" t="s">
        <v>158</v>
      </c>
      <c r="Q32" s="191" t="s">
        <v>158</v>
      </c>
      <c r="R32" s="191" t="s">
        <v>158</v>
      </c>
      <c r="S32" s="191" t="s">
        <v>158</v>
      </c>
      <c r="T32" s="191" t="s">
        <v>158</v>
      </c>
      <c r="U32" s="191" t="s">
        <v>158</v>
      </c>
      <c r="V32" s="191" t="s">
        <v>158</v>
      </c>
      <c r="W32" s="191" t="s">
        <v>158</v>
      </c>
      <c r="X32" s="191" t="s">
        <v>158</v>
      </c>
      <c r="Y32" s="191" t="s">
        <v>158</v>
      </c>
      <c r="Z32" s="191" t="s">
        <v>158</v>
      </c>
      <c r="AA32" s="191" t="s">
        <v>158</v>
      </c>
      <c r="AB32" s="191" t="s">
        <v>158</v>
      </c>
      <c r="AC32" s="191" t="s">
        <v>158</v>
      </c>
      <c r="AD32" s="191" t="s">
        <v>158</v>
      </c>
      <c r="AE32" s="191" t="s">
        <v>158</v>
      </c>
      <c r="AF32" s="191" t="s">
        <v>158</v>
      </c>
      <c r="AG32" s="208"/>
      <c r="AH32" s="209"/>
      <c r="AI32" s="191" t="s">
        <v>158</v>
      </c>
    </row>
    <row r="33" spans="1:35" ht="25.5">
      <c r="A33" s="87" t="s">
        <v>80</v>
      </c>
      <c r="B33" s="187" t="s">
        <v>588</v>
      </c>
      <c r="C33" s="188" t="s">
        <v>321</v>
      </c>
      <c r="D33" s="188" t="s">
        <v>322</v>
      </c>
      <c r="E33" s="188" t="s">
        <v>323</v>
      </c>
      <c r="F33" s="188" t="s">
        <v>323</v>
      </c>
      <c r="G33" s="188" t="s">
        <v>324</v>
      </c>
      <c r="H33" s="188" t="s">
        <v>325</v>
      </c>
      <c r="I33" s="188" t="s">
        <v>326</v>
      </c>
      <c r="J33" s="188" t="s">
        <v>326</v>
      </c>
      <c r="K33" s="188" t="s">
        <v>326</v>
      </c>
      <c r="L33" s="188" t="s">
        <v>326</v>
      </c>
      <c r="M33" s="188" t="s">
        <v>326</v>
      </c>
      <c r="N33" s="188" t="s">
        <v>326</v>
      </c>
      <c r="O33" s="188" t="s">
        <v>326</v>
      </c>
      <c r="P33" s="188" t="s">
        <v>326</v>
      </c>
      <c r="Q33" s="188" t="s">
        <v>326</v>
      </c>
      <c r="R33" s="188" t="s">
        <v>326</v>
      </c>
      <c r="S33" s="188" t="s">
        <v>326</v>
      </c>
      <c r="T33" s="188" t="s">
        <v>326</v>
      </c>
      <c r="U33" s="188" t="s">
        <v>326</v>
      </c>
      <c r="V33" s="188" t="s">
        <v>325</v>
      </c>
      <c r="W33" s="188" t="s">
        <v>325</v>
      </c>
      <c r="X33" s="188" t="s">
        <v>326</v>
      </c>
      <c r="Y33" s="188" t="s">
        <v>326</v>
      </c>
      <c r="Z33" s="188" t="s">
        <v>325</v>
      </c>
      <c r="AA33" s="188" t="s">
        <v>327</v>
      </c>
      <c r="AB33" s="188" t="s">
        <v>327</v>
      </c>
      <c r="AC33" s="188" t="s">
        <v>328</v>
      </c>
      <c r="AD33" s="188" t="s">
        <v>329</v>
      </c>
      <c r="AE33" s="188" t="s">
        <v>323</v>
      </c>
      <c r="AF33" s="188" t="s">
        <v>323</v>
      </c>
      <c r="AG33" s="205"/>
      <c r="AH33" s="206"/>
      <c r="AI33" s="188" t="s">
        <v>289</v>
      </c>
    </row>
    <row r="34" spans="1:35" ht="15.75" thickBot="1">
      <c r="A34" s="139" t="s">
        <v>81</v>
      </c>
      <c r="B34" s="187" t="s">
        <v>589</v>
      </c>
      <c r="C34" s="188" t="s">
        <v>290</v>
      </c>
      <c r="D34" s="188" t="s">
        <v>290</v>
      </c>
      <c r="E34" s="188" t="s">
        <v>290</v>
      </c>
      <c r="F34" s="188" t="s">
        <v>290</v>
      </c>
      <c r="G34" s="188" t="s">
        <v>290</v>
      </c>
      <c r="H34" s="188" t="s">
        <v>290</v>
      </c>
      <c r="I34" s="188" t="s">
        <v>290</v>
      </c>
      <c r="J34" s="188" t="s">
        <v>290</v>
      </c>
      <c r="K34" s="188" t="s">
        <v>290</v>
      </c>
      <c r="L34" s="188" t="s">
        <v>290</v>
      </c>
      <c r="M34" s="188" t="s">
        <v>330</v>
      </c>
      <c r="N34" s="188" t="s">
        <v>330</v>
      </c>
      <c r="O34" s="188" t="s">
        <v>330</v>
      </c>
      <c r="P34" s="188" t="s">
        <v>330</v>
      </c>
      <c r="Q34" s="188" t="s">
        <v>330</v>
      </c>
      <c r="R34" s="188" t="s">
        <v>330</v>
      </c>
      <c r="S34" s="188" t="s">
        <v>330</v>
      </c>
      <c r="T34" s="188" t="s">
        <v>330</v>
      </c>
      <c r="U34" s="188" t="s">
        <v>330</v>
      </c>
      <c r="V34" s="188" t="s">
        <v>330</v>
      </c>
      <c r="W34" s="188" t="s">
        <v>330</v>
      </c>
      <c r="X34" s="188" t="s">
        <v>330</v>
      </c>
      <c r="Y34" s="188" t="s">
        <v>330</v>
      </c>
      <c r="Z34" s="188" t="s">
        <v>330</v>
      </c>
      <c r="AA34" s="188" t="s">
        <v>330</v>
      </c>
      <c r="AB34" s="188" t="s">
        <v>330</v>
      </c>
      <c r="AC34" s="188" t="s">
        <v>330</v>
      </c>
      <c r="AD34" s="188" t="s">
        <v>330</v>
      </c>
      <c r="AE34" s="188" t="s">
        <v>330</v>
      </c>
      <c r="AF34" s="188" t="s">
        <v>330</v>
      </c>
      <c r="AG34" s="205"/>
      <c r="AH34" s="206"/>
      <c r="AI34" s="188" t="s">
        <v>290</v>
      </c>
    </row>
    <row r="35" spans="1:35">
      <c r="AG35" s="210"/>
      <c r="AH35" s="211"/>
    </row>
    <row r="36" spans="1:35">
      <c r="AG36" s="210"/>
      <c r="AH36" s="211"/>
    </row>
  </sheetData>
  <mergeCells count="1">
    <mergeCell ref="A1:AI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BD38-5AD5-4400-9085-8BE67A1B25D3}">
  <dimension ref="A1:AM36"/>
  <sheetViews>
    <sheetView topLeftCell="M15" zoomScale="130" zoomScaleNormal="130" workbookViewId="0">
      <selection activeCell="AG24" sqref="AG24"/>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1" width="8.7109375" style="20"/>
    <col min="32" max="32" width="9.42578125" style="143" customWidth="1"/>
    <col min="33" max="33" width="8.7109375" style="144"/>
    <col min="34" max="34" width="10.85546875" style="144" customWidth="1"/>
    <col min="35" max="35" width="11" customWidth="1"/>
    <col min="36" max="36" width="11.42578125" customWidth="1"/>
  </cols>
  <sheetData>
    <row r="1" spans="1:39"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5.75">
      <c r="A2" s="82"/>
      <c r="B2" s="83">
        <v>44287</v>
      </c>
      <c r="C2" s="83">
        <v>44288</v>
      </c>
      <c r="D2" s="83">
        <v>44289</v>
      </c>
      <c r="E2" s="83">
        <v>44290</v>
      </c>
      <c r="F2" s="83">
        <v>44291</v>
      </c>
      <c r="G2" s="83">
        <v>44292</v>
      </c>
      <c r="H2" s="83">
        <v>44293</v>
      </c>
      <c r="I2" s="83">
        <v>44294</v>
      </c>
      <c r="J2" s="83">
        <v>44295</v>
      </c>
      <c r="K2" s="83">
        <v>44296</v>
      </c>
      <c r="L2" s="83">
        <v>44297</v>
      </c>
      <c r="M2" s="83">
        <v>44298</v>
      </c>
      <c r="N2" s="83">
        <v>44299</v>
      </c>
      <c r="O2" s="83">
        <v>44300</v>
      </c>
      <c r="P2" s="83">
        <v>44301</v>
      </c>
      <c r="Q2" s="83">
        <v>44302</v>
      </c>
      <c r="R2" s="83">
        <v>44303</v>
      </c>
      <c r="S2" s="83">
        <v>44304</v>
      </c>
      <c r="T2" s="83">
        <v>44305</v>
      </c>
      <c r="U2" s="83">
        <v>44306</v>
      </c>
      <c r="V2" s="83">
        <v>44307</v>
      </c>
      <c r="W2" s="83">
        <v>44308</v>
      </c>
      <c r="X2" s="83">
        <v>44309</v>
      </c>
      <c r="Y2" s="83">
        <v>44310</v>
      </c>
      <c r="Z2" s="83">
        <v>44311</v>
      </c>
      <c r="AA2" s="83">
        <v>44312</v>
      </c>
      <c r="AB2" s="83">
        <v>44313</v>
      </c>
      <c r="AC2" s="83">
        <v>44314</v>
      </c>
      <c r="AD2" s="83">
        <v>44315</v>
      </c>
      <c r="AE2" s="83">
        <v>44316</v>
      </c>
      <c r="AF2" s="83"/>
      <c r="AG2" s="83"/>
      <c r="AH2" s="83">
        <v>44286</v>
      </c>
    </row>
    <row r="3" spans="1:39" ht="33">
      <c r="A3" s="87" t="s">
        <v>51</v>
      </c>
      <c r="B3" s="88" t="s">
        <v>53</v>
      </c>
      <c r="C3" s="88" t="s">
        <v>53</v>
      </c>
      <c r="D3" s="88" t="s">
        <v>53</v>
      </c>
      <c r="E3" s="88" t="s">
        <v>53</v>
      </c>
      <c r="F3" s="88" t="s">
        <v>53</v>
      </c>
      <c r="G3" s="88" t="s">
        <v>53</v>
      </c>
      <c r="H3" s="88" t="s">
        <v>53</v>
      </c>
      <c r="I3" s="88" t="s">
        <v>53</v>
      </c>
      <c r="J3" s="88" t="s">
        <v>53</v>
      </c>
      <c r="K3" s="88" t="s">
        <v>53</v>
      </c>
      <c r="L3" s="88" t="s">
        <v>53</v>
      </c>
      <c r="M3" s="90" t="s">
        <v>53</v>
      </c>
      <c r="N3" s="88" t="s">
        <v>53</v>
      </c>
      <c r="O3" s="88" t="s">
        <v>53</v>
      </c>
      <c r="P3" s="88" t="s">
        <v>53</v>
      </c>
      <c r="Q3" s="88" t="s">
        <v>53</v>
      </c>
      <c r="R3" s="88" t="s">
        <v>53</v>
      </c>
      <c r="S3" s="88" t="s">
        <v>53</v>
      </c>
      <c r="T3" s="88" t="s">
        <v>53</v>
      </c>
      <c r="U3" s="88" t="s">
        <v>53</v>
      </c>
      <c r="V3" s="88" t="s">
        <v>53</v>
      </c>
      <c r="W3" s="88" t="s">
        <v>53</v>
      </c>
      <c r="X3" s="88" t="s">
        <v>52</v>
      </c>
      <c r="Y3" s="88" t="s">
        <v>52</v>
      </c>
      <c r="Z3" s="88" t="s">
        <v>53</v>
      </c>
      <c r="AA3" s="88" t="s">
        <v>52</v>
      </c>
      <c r="AB3" s="88" t="s">
        <v>53</v>
      </c>
      <c r="AC3" s="88" t="s">
        <v>53</v>
      </c>
      <c r="AD3" s="88" t="s">
        <v>53</v>
      </c>
      <c r="AE3" s="88" t="s">
        <v>53</v>
      </c>
      <c r="AF3" s="278"/>
      <c r="AG3" s="271"/>
      <c r="AH3" s="279" t="s">
        <v>52</v>
      </c>
    </row>
    <row r="4" spans="1:39" ht="20.100000000000001" customHeight="1">
      <c r="A4" s="94" t="s">
        <v>54</v>
      </c>
      <c r="B4" s="212">
        <v>145284</v>
      </c>
      <c r="C4" s="212">
        <v>145488</v>
      </c>
      <c r="D4" s="212">
        <v>145689</v>
      </c>
      <c r="E4" s="212">
        <v>145892</v>
      </c>
      <c r="F4" s="212">
        <v>146098</v>
      </c>
      <c r="G4" s="212">
        <v>146307</v>
      </c>
      <c r="H4" s="212">
        <v>146513</v>
      </c>
      <c r="I4" s="212">
        <v>146727</v>
      </c>
      <c r="J4" s="212">
        <v>146930</v>
      </c>
      <c r="K4" s="212">
        <v>147135</v>
      </c>
      <c r="L4" s="212">
        <v>147362</v>
      </c>
      <c r="M4" s="212">
        <v>147585</v>
      </c>
      <c r="N4" s="212">
        <v>147785</v>
      </c>
      <c r="O4" s="212">
        <v>147997</v>
      </c>
      <c r="P4" s="212">
        <v>148218</v>
      </c>
      <c r="Q4" s="212">
        <v>148424</v>
      </c>
      <c r="R4" s="212">
        <v>148609</v>
      </c>
      <c r="S4" s="212">
        <v>148833</v>
      </c>
      <c r="T4" s="212">
        <v>149042</v>
      </c>
      <c r="U4" s="212">
        <v>149255</v>
      </c>
      <c r="V4" s="212">
        <v>149466</v>
      </c>
      <c r="W4" s="212">
        <v>149683</v>
      </c>
      <c r="X4" s="212">
        <v>149888</v>
      </c>
      <c r="Y4" s="212">
        <v>150086</v>
      </c>
      <c r="Z4" s="212">
        <v>150295</v>
      </c>
      <c r="AA4" s="212">
        <v>150509</v>
      </c>
      <c r="AB4" s="212">
        <v>150729</v>
      </c>
      <c r="AC4" s="212">
        <v>150950</v>
      </c>
      <c r="AD4" s="212">
        <v>151171</v>
      </c>
      <c r="AE4" s="212">
        <v>151380</v>
      </c>
      <c r="AF4" s="194"/>
      <c r="AG4" s="195"/>
      <c r="AH4" s="212">
        <v>145072</v>
      </c>
      <c r="AI4" s="101"/>
      <c r="AJ4" s="101"/>
      <c r="AM4" s="102"/>
    </row>
    <row r="5" spans="1:39" ht="20.100000000000001" customHeight="1">
      <c r="A5" s="94" t="s">
        <v>55</v>
      </c>
      <c r="B5" s="212">
        <v>2889442</v>
      </c>
      <c r="C5" s="212">
        <v>2896192</v>
      </c>
      <c r="D5" s="212">
        <v>2902536</v>
      </c>
      <c r="E5" s="212">
        <v>2909098</v>
      </c>
      <c r="F5" s="212">
        <v>2916063</v>
      </c>
      <c r="G5" s="212">
        <v>2922911</v>
      </c>
      <c r="H5" s="212">
        <v>2929988</v>
      </c>
      <c r="I5" s="212">
        <v>2937071</v>
      </c>
      <c r="J5" s="212">
        <v>2943637</v>
      </c>
      <c r="K5" s="212">
        <v>2949883</v>
      </c>
      <c r="L5" s="212">
        <v>2957520</v>
      </c>
      <c r="M5" s="212">
        <v>2965569</v>
      </c>
      <c r="N5" s="212">
        <v>2972572</v>
      </c>
      <c r="O5" s="212">
        <v>2980110</v>
      </c>
      <c r="P5" s="212">
        <v>2987917</v>
      </c>
      <c r="Q5" s="212">
        <v>2994916</v>
      </c>
      <c r="R5" s="212">
        <v>3000826</v>
      </c>
      <c r="S5" s="212">
        <v>3008359</v>
      </c>
      <c r="T5" s="212">
        <v>3015653</v>
      </c>
      <c r="U5" s="212">
        <v>3023045</v>
      </c>
      <c r="V5" s="212">
        <v>3030217</v>
      </c>
      <c r="W5" s="212">
        <v>3037925</v>
      </c>
      <c r="X5" s="212">
        <v>3045048</v>
      </c>
      <c r="Y5" s="212">
        <v>3051855</v>
      </c>
      <c r="Z5" s="212">
        <v>3059151</v>
      </c>
      <c r="AA5" s="212">
        <v>3066890</v>
      </c>
      <c r="AB5" s="212">
        <v>3074675</v>
      </c>
      <c r="AC5" s="212">
        <v>3082602</v>
      </c>
      <c r="AD5" s="212">
        <v>3090555</v>
      </c>
      <c r="AE5" s="212">
        <v>3097855</v>
      </c>
      <c r="AF5" s="194"/>
      <c r="AG5" s="195"/>
      <c r="AH5" s="212">
        <v>2882369</v>
      </c>
      <c r="AI5" s="101"/>
      <c r="AJ5" s="101"/>
      <c r="AM5" s="102"/>
    </row>
    <row r="6" spans="1:39" ht="20.100000000000001" customHeight="1">
      <c r="A6" s="94" t="s">
        <v>56</v>
      </c>
      <c r="B6" s="212">
        <v>1492730</v>
      </c>
      <c r="C6" s="212">
        <v>1495873</v>
      </c>
      <c r="D6" s="212">
        <v>1498983</v>
      </c>
      <c r="E6" s="212">
        <v>1502115</v>
      </c>
      <c r="F6" s="212">
        <v>1505535</v>
      </c>
      <c r="G6" s="212">
        <v>1508937</v>
      </c>
      <c r="H6" s="212">
        <v>1512380</v>
      </c>
      <c r="I6" s="212">
        <v>1515834</v>
      </c>
      <c r="J6" s="212">
        <v>1518965</v>
      </c>
      <c r="K6" s="212">
        <v>1522338</v>
      </c>
      <c r="L6" s="212">
        <v>1526009</v>
      </c>
      <c r="M6" s="212">
        <v>1529485</v>
      </c>
      <c r="N6" s="212">
        <v>1532578</v>
      </c>
      <c r="O6" s="212">
        <v>1535913</v>
      </c>
      <c r="P6" s="212">
        <v>1539418</v>
      </c>
      <c r="Q6" s="212">
        <v>1542508</v>
      </c>
      <c r="R6" s="212">
        <v>1545143</v>
      </c>
      <c r="S6" s="212">
        <v>1548764</v>
      </c>
      <c r="T6" s="212">
        <v>1551949</v>
      </c>
      <c r="U6" s="212">
        <v>1555182</v>
      </c>
      <c r="V6" s="212">
        <v>1558335</v>
      </c>
      <c r="W6" s="212">
        <v>1561574</v>
      </c>
      <c r="X6" s="212">
        <v>1564651</v>
      </c>
      <c r="Y6" s="212">
        <v>1567604</v>
      </c>
      <c r="Z6" s="212">
        <v>1570640</v>
      </c>
      <c r="AA6" s="212">
        <v>1573853</v>
      </c>
      <c r="AB6" s="212">
        <v>1577014</v>
      </c>
      <c r="AC6" s="212">
        <v>1580280</v>
      </c>
      <c r="AD6" s="212">
        <v>1583481</v>
      </c>
      <c r="AE6" s="212">
        <v>1586506</v>
      </c>
      <c r="AF6" s="194"/>
      <c r="AG6" s="195"/>
      <c r="AH6" s="212">
        <v>1489479</v>
      </c>
      <c r="AI6" s="101"/>
      <c r="AJ6" s="101"/>
      <c r="AM6" s="102"/>
    </row>
    <row r="7" spans="1:39" ht="20.100000000000001" customHeight="1">
      <c r="A7" s="94" t="s">
        <v>57</v>
      </c>
      <c r="B7" s="212">
        <v>4545031</v>
      </c>
      <c r="C7" s="212">
        <v>4552373</v>
      </c>
      <c r="D7" s="212">
        <v>4560044</v>
      </c>
      <c r="E7" s="212">
        <v>4560160</v>
      </c>
      <c r="F7" s="212">
        <v>4560239</v>
      </c>
      <c r="G7" s="212">
        <v>4560320</v>
      </c>
      <c r="H7" s="212">
        <v>4560815</v>
      </c>
      <c r="I7" s="212">
        <v>4568600</v>
      </c>
      <c r="J7" s="212">
        <v>4575910</v>
      </c>
      <c r="K7" s="212">
        <v>4583539</v>
      </c>
      <c r="L7" s="212">
        <v>4590190</v>
      </c>
      <c r="M7" s="212">
        <v>4598470</v>
      </c>
      <c r="N7" s="212">
        <v>4605871</v>
      </c>
      <c r="O7" s="212">
        <v>4613789</v>
      </c>
      <c r="P7" s="212">
        <v>4621951</v>
      </c>
      <c r="Q7" s="212">
        <v>4629403</v>
      </c>
      <c r="R7" s="212">
        <v>4635994</v>
      </c>
      <c r="S7" s="212">
        <v>4643332</v>
      </c>
      <c r="T7" s="212">
        <v>4650519</v>
      </c>
      <c r="U7" s="212">
        <v>4657684</v>
      </c>
      <c r="V7" s="212">
        <v>4665277</v>
      </c>
      <c r="W7" s="212">
        <v>4673479</v>
      </c>
      <c r="X7" s="212">
        <v>4681469</v>
      </c>
      <c r="Y7" s="212">
        <v>4689394</v>
      </c>
      <c r="Z7" s="212">
        <v>4697483</v>
      </c>
      <c r="AA7" s="212">
        <v>4706002</v>
      </c>
      <c r="AB7" s="212">
        <v>4714677</v>
      </c>
      <c r="AC7" s="212">
        <v>4723858</v>
      </c>
      <c r="AD7" s="212">
        <v>4727426</v>
      </c>
      <c r="AE7" s="212">
        <v>4727509</v>
      </c>
      <c r="AF7" s="194"/>
      <c r="AG7" s="195"/>
      <c r="AH7" s="212">
        <v>4538062</v>
      </c>
      <c r="AI7" s="101"/>
      <c r="AJ7" s="101"/>
      <c r="AM7" s="102"/>
    </row>
    <row r="8" spans="1:39" ht="20.100000000000001" customHeight="1">
      <c r="A8" s="94" t="s">
        <v>58</v>
      </c>
      <c r="B8" s="212">
        <v>1760886</v>
      </c>
      <c r="C8" s="212">
        <v>1760886</v>
      </c>
      <c r="D8" s="212">
        <v>1760910</v>
      </c>
      <c r="E8" s="212">
        <v>1763319</v>
      </c>
      <c r="F8" s="212">
        <v>1765697</v>
      </c>
      <c r="G8" s="212">
        <v>1768068</v>
      </c>
      <c r="H8" s="212">
        <v>1770323</v>
      </c>
      <c r="I8" s="212">
        <v>1770323</v>
      </c>
      <c r="J8" s="212">
        <v>1770323</v>
      </c>
      <c r="K8" s="212">
        <v>1770323</v>
      </c>
      <c r="L8" s="212">
        <v>1770371</v>
      </c>
      <c r="M8" s="212">
        <v>1770371</v>
      </c>
      <c r="N8" s="212">
        <v>1770371</v>
      </c>
      <c r="O8" s="212">
        <v>1770371</v>
      </c>
      <c r="P8" s="212">
        <v>1770371</v>
      </c>
      <c r="Q8" s="212">
        <v>1770371</v>
      </c>
      <c r="R8" s="212">
        <v>1770371</v>
      </c>
      <c r="S8" s="212">
        <v>1770371</v>
      </c>
      <c r="T8" s="212">
        <v>1770547</v>
      </c>
      <c r="U8" s="212">
        <v>1770761</v>
      </c>
      <c r="V8" s="212">
        <v>1770761</v>
      </c>
      <c r="W8" s="212">
        <v>1770761</v>
      </c>
      <c r="X8" s="212">
        <v>1770761</v>
      </c>
      <c r="Y8" s="212">
        <v>1770761</v>
      </c>
      <c r="Z8" s="212">
        <v>1770761</v>
      </c>
      <c r="AA8" s="212">
        <v>1770761</v>
      </c>
      <c r="AB8" s="212">
        <v>1770761</v>
      </c>
      <c r="AC8" s="212">
        <v>1770761</v>
      </c>
      <c r="AD8" s="212">
        <v>1772489</v>
      </c>
      <c r="AE8" s="212">
        <v>1775078</v>
      </c>
      <c r="AF8" s="194"/>
      <c r="AG8" s="195"/>
      <c r="AH8" s="212">
        <v>1760886</v>
      </c>
      <c r="AI8" s="101"/>
      <c r="AJ8" s="101"/>
      <c r="AM8" s="102"/>
    </row>
    <row r="9" spans="1:39" ht="20.100000000000001" customHeight="1">
      <c r="A9" s="94" t="s">
        <v>59</v>
      </c>
      <c r="B9" s="214">
        <v>10639592</v>
      </c>
      <c r="C9" s="214">
        <v>10647893</v>
      </c>
      <c r="D9" s="214">
        <v>10656441</v>
      </c>
      <c r="E9" s="214">
        <v>10664722</v>
      </c>
      <c r="F9" s="214">
        <v>10673000</v>
      </c>
      <c r="G9" s="214">
        <v>10681346</v>
      </c>
      <c r="H9" s="214">
        <v>10689378</v>
      </c>
      <c r="I9" s="214">
        <v>10697884</v>
      </c>
      <c r="J9" s="214">
        <v>10706060</v>
      </c>
      <c r="K9" s="214">
        <v>10714362</v>
      </c>
      <c r="L9" s="214">
        <v>10722083</v>
      </c>
      <c r="M9" s="214">
        <v>10731364</v>
      </c>
      <c r="N9" s="214">
        <v>10739273</v>
      </c>
      <c r="O9" s="214">
        <v>10747726</v>
      </c>
      <c r="P9" s="214">
        <v>10756447</v>
      </c>
      <c r="Q9" s="214">
        <v>10764398</v>
      </c>
      <c r="R9" s="214">
        <v>10771522</v>
      </c>
      <c r="S9" s="212">
        <v>10780254</v>
      </c>
      <c r="T9" s="214">
        <v>10788309</v>
      </c>
      <c r="U9" s="214">
        <v>10796601</v>
      </c>
      <c r="V9" s="214">
        <v>10804585</v>
      </c>
      <c r="W9" s="214">
        <v>10812648</v>
      </c>
      <c r="X9" s="214">
        <v>10820402</v>
      </c>
      <c r="Y9" s="214">
        <v>10828224</v>
      </c>
      <c r="Z9" s="214">
        <v>10836190</v>
      </c>
      <c r="AA9" s="214">
        <v>10844195</v>
      </c>
      <c r="AB9" s="214">
        <v>10852162</v>
      </c>
      <c r="AC9" s="214">
        <v>10860523</v>
      </c>
      <c r="AD9" s="214">
        <v>10869324</v>
      </c>
      <c r="AE9" s="214">
        <v>10877697</v>
      </c>
      <c r="AF9" s="196"/>
      <c r="AG9" s="197"/>
      <c r="AH9" s="214">
        <v>10631029</v>
      </c>
      <c r="AI9" s="101"/>
      <c r="AJ9" s="101"/>
      <c r="AM9" s="102"/>
    </row>
    <row r="10" spans="1:39" ht="20.100000000000001" customHeight="1">
      <c r="A10" s="94" t="s">
        <v>60</v>
      </c>
      <c r="B10" s="212">
        <v>2344536</v>
      </c>
      <c r="C10" s="212">
        <v>2349697</v>
      </c>
      <c r="D10" s="212">
        <v>2354655</v>
      </c>
      <c r="E10" s="212">
        <v>2359734</v>
      </c>
      <c r="F10" s="212">
        <v>2365024</v>
      </c>
      <c r="G10" s="212">
        <v>2370336</v>
      </c>
      <c r="H10" s="212">
        <v>2375695</v>
      </c>
      <c r="I10" s="212">
        <v>2381048</v>
      </c>
      <c r="J10" s="212">
        <v>2386134</v>
      </c>
      <c r="K10" s="212">
        <v>2391052</v>
      </c>
      <c r="L10" s="212">
        <v>2396379</v>
      </c>
      <c r="M10" s="212">
        <v>2401956</v>
      </c>
      <c r="N10" s="212">
        <v>2406945</v>
      </c>
      <c r="O10" s="212">
        <v>2412178</v>
      </c>
      <c r="P10" s="212">
        <v>2417541</v>
      </c>
      <c r="Q10" s="212">
        <v>2422546</v>
      </c>
      <c r="R10" s="212">
        <v>2427001</v>
      </c>
      <c r="S10" s="212">
        <v>2432367</v>
      </c>
      <c r="T10" s="212">
        <v>2437551</v>
      </c>
      <c r="U10" s="212">
        <v>2442793</v>
      </c>
      <c r="V10" s="212">
        <v>2448001</v>
      </c>
      <c r="W10" s="212">
        <v>2453368</v>
      </c>
      <c r="X10" s="212">
        <v>2458437</v>
      </c>
      <c r="Y10" s="212">
        <v>2463369</v>
      </c>
      <c r="Z10" s="212">
        <v>2468513</v>
      </c>
      <c r="AA10" s="212">
        <v>2473777</v>
      </c>
      <c r="AB10" s="212">
        <v>2479040</v>
      </c>
      <c r="AC10" s="212">
        <v>2484434</v>
      </c>
      <c r="AD10" s="212">
        <v>2489771</v>
      </c>
      <c r="AE10" s="212">
        <v>2494885</v>
      </c>
      <c r="AF10" s="194"/>
      <c r="AG10" s="195"/>
      <c r="AH10" s="212">
        <v>2339136</v>
      </c>
      <c r="AI10" s="101"/>
      <c r="AJ10" s="101"/>
      <c r="AM10" s="102"/>
    </row>
    <row r="11" spans="1:39" ht="22.5" customHeight="1">
      <c r="A11" s="94" t="s">
        <v>61</v>
      </c>
      <c r="B11" s="212">
        <v>114071</v>
      </c>
      <c r="C11" s="212">
        <v>114239</v>
      </c>
      <c r="D11" s="212">
        <v>114401</v>
      </c>
      <c r="E11" s="212">
        <v>114571</v>
      </c>
      <c r="F11" s="212">
        <v>114743</v>
      </c>
      <c r="G11" s="212">
        <v>114921</v>
      </c>
      <c r="H11" s="212">
        <v>115098</v>
      </c>
      <c r="I11" s="212">
        <v>115276</v>
      </c>
      <c r="J11" s="212">
        <v>115445</v>
      </c>
      <c r="K11" s="212">
        <v>115608</v>
      </c>
      <c r="L11" s="212">
        <v>115797</v>
      </c>
      <c r="M11" s="212">
        <v>115980</v>
      </c>
      <c r="N11" s="212">
        <v>116143</v>
      </c>
      <c r="O11" s="212">
        <v>116314</v>
      </c>
      <c r="P11" s="212">
        <v>116494</v>
      </c>
      <c r="Q11" s="212">
        <v>116658</v>
      </c>
      <c r="R11" s="212">
        <v>116802</v>
      </c>
      <c r="S11" s="212">
        <v>116989</v>
      </c>
      <c r="T11" s="212">
        <v>117159</v>
      </c>
      <c r="U11" s="212">
        <v>117325</v>
      </c>
      <c r="V11" s="212">
        <v>117489</v>
      </c>
      <c r="W11" s="212">
        <v>117664</v>
      </c>
      <c r="X11" s="212">
        <v>117824</v>
      </c>
      <c r="Y11" s="212">
        <v>117973</v>
      </c>
      <c r="Z11" s="212">
        <v>118135</v>
      </c>
      <c r="AA11" s="212">
        <v>118309</v>
      </c>
      <c r="AB11" s="212">
        <v>118479</v>
      </c>
      <c r="AC11" s="212">
        <v>118656</v>
      </c>
      <c r="AD11" s="212">
        <v>118836</v>
      </c>
      <c r="AE11" s="212">
        <v>119005</v>
      </c>
      <c r="AF11" s="194"/>
      <c r="AG11" s="195"/>
      <c r="AH11" s="212">
        <v>113891</v>
      </c>
      <c r="AI11" s="101"/>
      <c r="AJ11" s="101"/>
      <c r="AM11" s="102"/>
    </row>
    <row r="12" spans="1:39"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218"/>
      <c r="AE12" s="218"/>
      <c r="AF12" s="198"/>
      <c r="AG12" s="198"/>
      <c r="AH12" s="162"/>
    </row>
    <row r="13" spans="1:39" ht="21.95" customHeight="1">
      <c r="A13" s="87"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278"/>
      <c r="AG13" s="278"/>
      <c r="AH13" s="181" t="s">
        <v>106</v>
      </c>
    </row>
    <row r="14" spans="1:39" ht="26.1" customHeight="1">
      <c r="A14" s="87" t="s">
        <v>66</v>
      </c>
      <c r="B14" s="182">
        <v>167044.85999999999</v>
      </c>
      <c r="C14" s="182">
        <v>167044.85999999999</v>
      </c>
      <c r="D14" s="182">
        <v>168110.02</v>
      </c>
      <c r="E14" s="182">
        <v>168110.02</v>
      </c>
      <c r="F14" s="182">
        <v>168110.02</v>
      </c>
      <c r="G14" s="182">
        <v>168110.02</v>
      </c>
      <c r="H14" s="182">
        <v>168110.02</v>
      </c>
      <c r="I14" s="182">
        <v>168110.02</v>
      </c>
      <c r="J14" s="182">
        <v>168110.02</v>
      </c>
      <c r="K14" s="182">
        <v>169080.17</v>
      </c>
      <c r="L14" s="182">
        <v>169080.17</v>
      </c>
      <c r="M14" s="182">
        <v>169080.17</v>
      </c>
      <c r="N14" s="182">
        <v>169080.17</v>
      </c>
      <c r="O14" s="182">
        <v>169080.17</v>
      </c>
      <c r="P14" s="182">
        <v>169080.17</v>
      </c>
      <c r="Q14" s="182">
        <v>169080.17</v>
      </c>
      <c r="R14" s="182">
        <v>169906.25</v>
      </c>
      <c r="S14" s="182">
        <v>169906.25</v>
      </c>
      <c r="T14" s="182">
        <v>169906.25</v>
      </c>
      <c r="U14" s="182">
        <v>169906.25</v>
      </c>
      <c r="V14" s="182">
        <v>169906.25</v>
      </c>
      <c r="W14" s="182">
        <v>169906.25</v>
      </c>
      <c r="X14" s="182">
        <v>169906.25</v>
      </c>
      <c r="Y14" s="182">
        <v>170895.35</v>
      </c>
      <c r="Z14" s="182">
        <v>170895.35</v>
      </c>
      <c r="AA14" s="182">
        <v>170895.35</v>
      </c>
      <c r="AB14" s="182">
        <v>170895.35</v>
      </c>
      <c r="AC14" s="182">
        <v>170895.35</v>
      </c>
      <c r="AD14" s="182">
        <v>170895.35</v>
      </c>
      <c r="AE14" s="182">
        <v>170895.35</v>
      </c>
      <c r="AF14" s="199"/>
      <c r="AG14" s="200"/>
      <c r="AH14" s="182">
        <v>167044.85999999999</v>
      </c>
    </row>
    <row r="15" spans="1:39" ht="26.1" customHeight="1">
      <c r="A15" s="87" t="s">
        <v>67</v>
      </c>
      <c r="B15" s="183">
        <v>892</v>
      </c>
      <c r="C15" s="183">
        <v>892</v>
      </c>
      <c r="D15" s="183">
        <v>892</v>
      </c>
      <c r="E15" s="183">
        <v>892</v>
      </c>
      <c r="F15" s="183">
        <v>892</v>
      </c>
      <c r="G15" s="183">
        <v>892</v>
      </c>
      <c r="H15" s="183">
        <v>893</v>
      </c>
      <c r="I15" s="183">
        <v>893</v>
      </c>
      <c r="J15" s="183">
        <v>893</v>
      </c>
      <c r="K15" s="183">
        <v>895</v>
      </c>
      <c r="L15" s="183">
        <v>897</v>
      </c>
      <c r="M15" s="183">
        <v>899</v>
      </c>
      <c r="N15" s="183">
        <v>900</v>
      </c>
      <c r="O15" s="183">
        <v>900</v>
      </c>
      <c r="P15" s="183">
        <v>901</v>
      </c>
      <c r="Q15" s="183">
        <v>910</v>
      </c>
      <c r="R15" s="183">
        <v>910</v>
      </c>
      <c r="S15" s="183">
        <v>1107</v>
      </c>
      <c r="T15" s="183">
        <v>1107</v>
      </c>
      <c r="U15" s="183">
        <v>1107</v>
      </c>
      <c r="V15" s="183">
        <v>1107</v>
      </c>
      <c r="W15" s="183">
        <v>1109</v>
      </c>
      <c r="X15" s="183">
        <v>1109</v>
      </c>
      <c r="Y15" s="183">
        <v>1109</v>
      </c>
      <c r="Z15" s="183">
        <v>1109</v>
      </c>
      <c r="AA15" s="183">
        <v>1109</v>
      </c>
      <c r="AB15" s="183">
        <v>1109</v>
      </c>
      <c r="AC15" s="183">
        <v>1109</v>
      </c>
      <c r="AD15" s="183">
        <v>1109</v>
      </c>
      <c r="AE15" s="183">
        <v>1109</v>
      </c>
      <c r="AF15" s="201"/>
      <c r="AG15" s="202"/>
      <c r="AH15" s="183">
        <v>891</v>
      </c>
    </row>
    <row r="16" spans="1:39" ht="25.5">
      <c r="A16" s="87" t="s">
        <v>68</v>
      </c>
      <c r="B16" s="183">
        <v>4154</v>
      </c>
      <c r="C16" s="183">
        <v>4154</v>
      </c>
      <c r="D16" s="183">
        <v>4154</v>
      </c>
      <c r="E16" s="183">
        <v>4154</v>
      </c>
      <c r="F16" s="183">
        <v>4154</v>
      </c>
      <c r="G16" s="183">
        <v>4154</v>
      </c>
      <c r="H16" s="183">
        <v>4154</v>
      </c>
      <c r="I16" s="183">
        <v>4154</v>
      </c>
      <c r="J16" s="183">
        <v>4154</v>
      </c>
      <c r="K16" s="183">
        <v>4154</v>
      </c>
      <c r="L16" s="183">
        <v>4281</v>
      </c>
      <c r="M16" s="183">
        <v>4281</v>
      </c>
      <c r="N16" s="183">
        <v>4281</v>
      </c>
      <c r="O16" s="183">
        <v>4281</v>
      </c>
      <c r="P16" s="183">
        <v>4281</v>
      </c>
      <c r="Q16" s="183">
        <v>4281</v>
      </c>
      <c r="R16" s="183">
        <v>4281</v>
      </c>
      <c r="S16" s="183">
        <v>4281</v>
      </c>
      <c r="T16" s="183">
        <v>4281</v>
      </c>
      <c r="U16" s="183">
        <v>4281</v>
      </c>
      <c r="V16" s="183">
        <v>4281</v>
      </c>
      <c r="W16" s="183">
        <v>4281</v>
      </c>
      <c r="X16" s="183">
        <v>4281</v>
      </c>
      <c r="Y16" s="183">
        <v>4281</v>
      </c>
      <c r="Z16" s="183">
        <v>4281</v>
      </c>
      <c r="AA16" s="183">
        <v>4281</v>
      </c>
      <c r="AB16" s="183">
        <v>4281</v>
      </c>
      <c r="AC16" s="183">
        <v>4281</v>
      </c>
      <c r="AD16" s="183">
        <v>4281</v>
      </c>
      <c r="AE16" s="183">
        <v>4281</v>
      </c>
      <c r="AF16" s="201"/>
      <c r="AG16" s="202"/>
      <c r="AH16" s="183">
        <v>4154</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218"/>
      <c r="AE17" s="218"/>
      <c r="AF17" s="203"/>
      <c r="AG17" s="203"/>
      <c r="AH17" s="162"/>
    </row>
    <row r="18" spans="1:34" ht="21.6" customHeight="1">
      <c r="A18" s="87"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278"/>
      <c r="AG18" s="278"/>
      <c r="AH18" s="181" t="s">
        <v>106</v>
      </c>
    </row>
    <row r="19" spans="1:34" ht="26.1" customHeight="1">
      <c r="A19" s="127" t="s">
        <v>70</v>
      </c>
      <c r="B19" s="187">
        <v>41239.1</v>
      </c>
      <c r="C19" s="187">
        <v>41250.199999999997</v>
      </c>
      <c r="D19" s="187">
        <v>41251.300000000003</v>
      </c>
      <c r="E19" s="187">
        <v>41320.699999999997</v>
      </c>
      <c r="F19" s="187">
        <v>41384.5</v>
      </c>
      <c r="G19" s="187">
        <v>41426.800000000003</v>
      </c>
      <c r="H19" s="187">
        <v>41456.1</v>
      </c>
      <c r="I19" s="187">
        <v>41504.800000000003</v>
      </c>
      <c r="J19" s="187">
        <v>41513.1</v>
      </c>
      <c r="K19" s="187">
        <v>41514.1</v>
      </c>
      <c r="L19" s="187">
        <v>41545.699999999997</v>
      </c>
      <c r="M19" s="187">
        <v>41620.1</v>
      </c>
      <c r="N19" s="187">
        <v>41662.800000000003</v>
      </c>
      <c r="O19" s="187">
        <v>41696.300000000003</v>
      </c>
      <c r="P19" s="187">
        <v>41738.199999999997</v>
      </c>
      <c r="Q19" s="187">
        <v>41772.9</v>
      </c>
      <c r="R19" s="187">
        <v>41772.9</v>
      </c>
      <c r="S19" s="187">
        <v>41823.599999999999</v>
      </c>
      <c r="T19" s="187">
        <v>41965.5</v>
      </c>
      <c r="U19" s="187">
        <v>41997.4</v>
      </c>
      <c r="V19" s="187">
        <v>42032.6</v>
      </c>
      <c r="W19" s="187">
        <v>42093.2</v>
      </c>
      <c r="X19" s="187">
        <v>42155.7</v>
      </c>
      <c r="Y19" s="187">
        <v>42155.7</v>
      </c>
      <c r="Z19" s="187">
        <v>42236.9</v>
      </c>
      <c r="AA19" s="187">
        <v>42306.1</v>
      </c>
      <c r="AB19" s="187">
        <v>42412.7</v>
      </c>
      <c r="AC19" s="187">
        <v>42412.7</v>
      </c>
      <c r="AD19" s="187">
        <v>42579.199999999997</v>
      </c>
      <c r="AE19" s="187">
        <v>42653.2</v>
      </c>
      <c r="AF19" s="204">
        <f>AE19-AH19</f>
        <v>1436.3999999999942</v>
      </c>
      <c r="AG19" s="201"/>
      <c r="AH19" s="187">
        <v>41216.800000000003</v>
      </c>
    </row>
    <row r="20" spans="1:34" ht="39" customHeight="1">
      <c r="A20" s="87" t="s">
        <v>71</v>
      </c>
      <c r="B20" s="187" t="s">
        <v>652</v>
      </c>
      <c r="C20" s="187" t="s">
        <v>653</v>
      </c>
      <c r="D20" s="187" t="s">
        <v>654</v>
      </c>
      <c r="E20" s="187" t="s">
        <v>655</v>
      </c>
      <c r="F20" s="187" t="s">
        <v>656</v>
      </c>
      <c r="G20" s="187" t="s">
        <v>657</v>
      </c>
      <c r="H20" s="187" t="s">
        <v>658</v>
      </c>
      <c r="I20" s="187" t="s">
        <v>659</v>
      </c>
      <c r="J20" s="187" t="s">
        <v>660</v>
      </c>
      <c r="K20" s="187" t="s">
        <v>661</v>
      </c>
      <c r="L20" s="187" t="s">
        <v>662</v>
      </c>
      <c r="M20" s="187" t="s">
        <v>663</v>
      </c>
      <c r="N20" s="187" t="s">
        <v>664</v>
      </c>
      <c r="O20" s="187" t="s">
        <v>665</v>
      </c>
      <c r="P20" s="187" t="s">
        <v>666</v>
      </c>
      <c r="Q20" s="187" t="s">
        <v>667</v>
      </c>
      <c r="R20" s="187" t="s">
        <v>668</v>
      </c>
      <c r="S20" s="187" t="s">
        <v>669</v>
      </c>
      <c r="T20" s="187" t="s">
        <v>670</v>
      </c>
      <c r="U20" s="187" t="s">
        <v>671</v>
      </c>
      <c r="V20" s="187" t="s">
        <v>672</v>
      </c>
      <c r="W20" s="187" t="s">
        <v>673</v>
      </c>
      <c r="X20" s="187" t="s">
        <v>674</v>
      </c>
      <c r="Y20" s="187" t="s">
        <v>674</v>
      </c>
      <c r="Z20" s="187" t="s">
        <v>675</v>
      </c>
      <c r="AA20" s="187" t="s">
        <v>676</v>
      </c>
      <c r="AB20" s="187" t="s">
        <v>677</v>
      </c>
      <c r="AC20" s="187" t="s">
        <v>678</v>
      </c>
      <c r="AD20" s="187" t="s">
        <v>679</v>
      </c>
      <c r="AE20" s="187">
        <v>7948898</v>
      </c>
      <c r="AF20" s="204">
        <f t="shared" ref="AF20:AF21" si="0">AE20-AH20</f>
        <v>1386540</v>
      </c>
      <c r="AG20" s="206"/>
      <c r="AH20" s="187">
        <v>6562358</v>
      </c>
    </row>
    <row r="21" spans="1:34" ht="25.5">
      <c r="A21" s="87" t="s">
        <v>72</v>
      </c>
      <c r="B21" s="187" t="s">
        <v>680</v>
      </c>
      <c r="C21" s="187" t="s">
        <v>680</v>
      </c>
      <c r="D21" s="187" t="s">
        <v>681</v>
      </c>
      <c r="E21" s="187" t="s">
        <v>681</v>
      </c>
      <c r="F21" s="187" t="s">
        <v>681</v>
      </c>
      <c r="G21" s="187" t="s">
        <v>681</v>
      </c>
      <c r="H21" s="187" t="s">
        <v>681</v>
      </c>
      <c r="I21" s="187" t="s">
        <v>681</v>
      </c>
      <c r="J21" s="187" t="s">
        <v>681</v>
      </c>
      <c r="K21" s="187" t="s">
        <v>682</v>
      </c>
      <c r="L21" s="187" t="s">
        <v>682</v>
      </c>
      <c r="M21" s="187" t="s">
        <v>682</v>
      </c>
      <c r="N21" s="187" t="s">
        <v>682</v>
      </c>
      <c r="O21" s="187" t="s">
        <v>682</v>
      </c>
      <c r="P21" s="187" t="s">
        <v>682</v>
      </c>
      <c r="Q21" s="187" t="s">
        <v>682</v>
      </c>
      <c r="R21" s="187" t="s">
        <v>683</v>
      </c>
      <c r="S21" s="187" t="s">
        <v>683</v>
      </c>
      <c r="T21" s="187" t="s">
        <v>683</v>
      </c>
      <c r="U21" s="187" t="s">
        <v>683</v>
      </c>
      <c r="V21" s="187" t="s">
        <v>683</v>
      </c>
      <c r="W21" s="187" t="s">
        <v>683</v>
      </c>
      <c r="X21" s="187" t="s">
        <v>683</v>
      </c>
      <c r="Y21" s="187" t="s">
        <v>684</v>
      </c>
      <c r="Z21" s="187" t="s">
        <v>684</v>
      </c>
      <c r="AA21" s="187" t="s">
        <v>684</v>
      </c>
      <c r="AB21" s="187" t="s">
        <v>361</v>
      </c>
      <c r="AC21" s="187" t="s">
        <v>361</v>
      </c>
      <c r="AD21" s="187" t="s">
        <v>361</v>
      </c>
      <c r="AE21" s="187">
        <v>29398</v>
      </c>
      <c r="AF21" s="204">
        <f t="shared" si="0"/>
        <v>3428</v>
      </c>
      <c r="AG21" s="201"/>
      <c r="AH21" s="187">
        <v>25970</v>
      </c>
    </row>
    <row r="22" spans="1:34">
      <c r="A22" s="87" t="s">
        <v>73</v>
      </c>
      <c r="B22" s="187" t="s">
        <v>685</v>
      </c>
      <c r="C22" s="187" t="s">
        <v>686</v>
      </c>
      <c r="D22" s="187" t="s">
        <v>687</v>
      </c>
      <c r="E22" s="187" t="s">
        <v>688</v>
      </c>
      <c r="F22" s="187" t="s">
        <v>689</v>
      </c>
      <c r="G22" s="187" t="s">
        <v>690</v>
      </c>
      <c r="H22" s="187" t="s">
        <v>691</v>
      </c>
      <c r="I22" s="187" t="s">
        <v>692</v>
      </c>
      <c r="J22" s="187" t="s">
        <v>693</v>
      </c>
      <c r="K22" s="187" t="s">
        <v>694</v>
      </c>
      <c r="L22" s="187" t="s">
        <v>695</v>
      </c>
      <c r="M22" s="187" t="s">
        <v>696</v>
      </c>
      <c r="N22" s="187" t="s">
        <v>697</v>
      </c>
      <c r="O22" s="187" t="s">
        <v>698</v>
      </c>
      <c r="P22" s="187" t="s">
        <v>699</v>
      </c>
      <c r="Q22" s="187" t="s">
        <v>700</v>
      </c>
      <c r="R22" s="187" t="s">
        <v>701</v>
      </c>
      <c r="S22" s="187" t="s">
        <v>702</v>
      </c>
      <c r="T22" s="187" t="s">
        <v>703</v>
      </c>
      <c r="U22" s="187" t="s">
        <v>704</v>
      </c>
      <c r="V22" s="187" t="s">
        <v>705</v>
      </c>
      <c r="W22" s="187" t="s">
        <v>706</v>
      </c>
      <c r="X22" s="187" t="s">
        <v>707</v>
      </c>
      <c r="Y22" s="187" t="s">
        <v>708</v>
      </c>
      <c r="Z22" s="187" t="s">
        <v>709</v>
      </c>
      <c r="AA22" s="187" t="s">
        <v>710</v>
      </c>
      <c r="AB22" s="187" t="s">
        <v>711</v>
      </c>
      <c r="AC22" s="187" t="s">
        <v>712</v>
      </c>
      <c r="AD22" s="187" t="s">
        <v>713</v>
      </c>
      <c r="AE22" s="187">
        <v>108863</v>
      </c>
      <c r="AF22" s="201">
        <f>AE22-AH22</f>
        <v>2051</v>
      </c>
      <c r="AG22" s="201"/>
      <c r="AH22" s="187">
        <v>106812</v>
      </c>
    </row>
    <row r="23" spans="1:34">
      <c r="A23" s="189" t="s">
        <v>136</v>
      </c>
      <c r="B23" s="187" t="s">
        <v>714</v>
      </c>
      <c r="C23" s="187" t="s">
        <v>714</v>
      </c>
      <c r="D23" s="187" t="s">
        <v>715</v>
      </c>
      <c r="E23" s="187" t="s">
        <v>715</v>
      </c>
      <c r="F23" s="187" t="s">
        <v>715</v>
      </c>
      <c r="G23" s="187" t="s">
        <v>715</v>
      </c>
      <c r="H23" s="187" t="s">
        <v>715</v>
      </c>
      <c r="I23" s="187" t="s">
        <v>715</v>
      </c>
      <c r="J23" s="187" t="s">
        <v>715</v>
      </c>
      <c r="K23" s="187" t="s">
        <v>716</v>
      </c>
      <c r="L23" s="187" t="s">
        <v>716</v>
      </c>
      <c r="M23" s="187" t="s">
        <v>716</v>
      </c>
      <c r="N23" s="187" t="s">
        <v>716</v>
      </c>
      <c r="O23" s="187" t="s">
        <v>716</v>
      </c>
      <c r="P23" s="187" t="s">
        <v>716</v>
      </c>
      <c r="Q23" s="187" t="s">
        <v>716</v>
      </c>
      <c r="R23" s="187" t="s">
        <v>717</v>
      </c>
      <c r="S23" s="187" t="s">
        <v>717</v>
      </c>
      <c r="T23" s="187" t="s">
        <v>717</v>
      </c>
      <c r="U23" s="187" t="s">
        <v>717</v>
      </c>
      <c r="V23" s="187" t="s">
        <v>717</v>
      </c>
      <c r="W23" s="187" t="s">
        <v>717</v>
      </c>
      <c r="X23" s="187" t="s">
        <v>717</v>
      </c>
      <c r="Y23" s="187" t="s">
        <v>718</v>
      </c>
      <c r="Z23" s="187" t="s">
        <v>718</v>
      </c>
      <c r="AA23" s="187" t="s">
        <v>718</v>
      </c>
      <c r="AB23" s="187" t="s">
        <v>363</v>
      </c>
      <c r="AC23" s="187" t="s">
        <v>363</v>
      </c>
      <c r="AD23" s="187" t="s">
        <v>363</v>
      </c>
      <c r="AE23" s="187" t="s">
        <v>363</v>
      </c>
      <c r="AF23" s="201"/>
      <c r="AG23" s="205"/>
      <c r="AH23" s="187" t="s">
        <v>714</v>
      </c>
    </row>
    <row r="24" spans="1:34">
      <c r="A24" s="189" t="s">
        <v>139</v>
      </c>
      <c r="B24" s="187" t="s">
        <v>719</v>
      </c>
      <c r="C24" s="187" t="s">
        <v>719</v>
      </c>
      <c r="D24" s="187" t="s">
        <v>720</v>
      </c>
      <c r="E24" s="187" t="s">
        <v>720</v>
      </c>
      <c r="F24" s="187" t="s">
        <v>720</v>
      </c>
      <c r="G24" s="187" t="s">
        <v>720</v>
      </c>
      <c r="H24" s="187" t="s">
        <v>720</v>
      </c>
      <c r="I24" s="187" t="s">
        <v>720</v>
      </c>
      <c r="J24" s="187" t="s">
        <v>720</v>
      </c>
      <c r="K24" s="187" t="s">
        <v>721</v>
      </c>
      <c r="L24" s="187" t="s">
        <v>721</v>
      </c>
      <c r="M24" s="187" t="s">
        <v>721</v>
      </c>
      <c r="N24" s="187" t="s">
        <v>721</v>
      </c>
      <c r="O24" s="187" t="s">
        <v>721</v>
      </c>
      <c r="P24" s="187" t="s">
        <v>721</v>
      </c>
      <c r="Q24" s="187" t="s">
        <v>721</v>
      </c>
      <c r="R24" s="187" t="s">
        <v>722</v>
      </c>
      <c r="S24" s="187" t="s">
        <v>722</v>
      </c>
      <c r="T24" s="187" t="s">
        <v>722</v>
      </c>
      <c r="U24" s="187" t="s">
        <v>722</v>
      </c>
      <c r="V24" s="187" t="s">
        <v>722</v>
      </c>
      <c r="W24" s="187" t="s">
        <v>722</v>
      </c>
      <c r="X24" s="187" t="s">
        <v>722</v>
      </c>
      <c r="Y24" s="187" t="s">
        <v>723</v>
      </c>
      <c r="Z24" s="187" t="s">
        <v>723</v>
      </c>
      <c r="AA24" s="187" t="s">
        <v>723</v>
      </c>
      <c r="AB24" s="187" t="s">
        <v>365</v>
      </c>
      <c r="AC24" s="187" t="s">
        <v>365</v>
      </c>
      <c r="AD24" s="187" t="s">
        <v>365</v>
      </c>
      <c r="AE24" s="187" t="s">
        <v>365</v>
      </c>
      <c r="AF24" s="201"/>
      <c r="AG24" s="205"/>
      <c r="AH24" s="187" t="s">
        <v>719</v>
      </c>
    </row>
    <row r="25" spans="1:34">
      <c r="A25" s="189" t="s">
        <v>142</v>
      </c>
      <c r="B25" s="187" t="s">
        <v>724</v>
      </c>
      <c r="C25" s="187" t="s">
        <v>724</v>
      </c>
      <c r="D25" s="187" t="s">
        <v>725</v>
      </c>
      <c r="E25" s="187" t="s">
        <v>725</v>
      </c>
      <c r="F25" s="187" t="s">
        <v>725</v>
      </c>
      <c r="G25" s="187" t="s">
        <v>725</v>
      </c>
      <c r="H25" s="187" t="s">
        <v>725</v>
      </c>
      <c r="I25" s="187" t="s">
        <v>725</v>
      </c>
      <c r="J25" s="187" t="s">
        <v>725</v>
      </c>
      <c r="K25" s="187" t="s">
        <v>726</v>
      </c>
      <c r="L25" s="187" t="s">
        <v>726</v>
      </c>
      <c r="M25" s="187" t="s">
        <v>726</v>
      </c>
      <c r="N25" s="187" t="s">
        <v>726</v>
      </c>
      <c r="O25" s="187" t="s">
        <v>726</v>
      </c>
      <c r="P25" s="187" t="s">
        <v>726</v>
      </c>
      <c r="Q25" s="187" t="s">
        <v>726</v>
      </c>
      <c r="R25" s="187" t="s">
        <v>727</v>
      </c>
      <c r="S25" s="187" t="s">
        <v>727</v>
      </c>
      <c r="T25" s="187" t="s">
        <v>727</v>
      </c>
      <c r="U25" s="187" t="s">
        <v>727</v>
      </c>
      <c r="V25" s="187" t="s">
        <v>727</v>
      </c>
      <c r="W25" s="187" t="s">
        <v>727</v>
      </c>
      <c r="X25" s="187" t="s">
        <v>727</v>
      </c>
      <c r="Y25" s="187" t="s">
        <v>366</v>
      </c>
      <c r="Z25" s="187" t="s">
        <v>366</v>
      </c>
      <c r="AA25" s="187" t="s">
        <v>366</v>
      </c>
      <c r="AB25" s="187" t="s">
        <v>366</v>
      </c>
      <c r="AC25" s="187" t="s">
        <v>366</v>
      </c>
      <c r="AD25" s="187" t="s">
        <v>366</v>
      </c>
      <c r="AE25" s="187" t="s">
        <v>366</v>
      </c>
      <c r="AF25" s="201"/>
      <c r="AG25" s="205"/>
      <c r="AH25" s="187" t="s">
        <v>724</v>
      </c>
    </row>
    <row r="26" spans="1:34">
      <c r="A26" s="189" t="s">
        <v>145</v>
      </c>
      <c r="B26" s="187" t="s">
        <v>728</v>
      </c>
      <c r="C26" s="187" t="s">
        <v>728</v>
      </c>
      <c r="D26" s="187" t="s">
        <v>729</v>
      </c>
      <c r="E26" s="187" t="s">
        <v>729</v>
      </c>
      <c r="F26" s="187" t="s">
        <v>729</v>
      </c>
      <c r="G26" s="187" t="s">
        <v>729</v>
      </c>
      <c r="H26" s="187" t="s">
        <v>729</v>
      </c>
      <c r="I26" s="187" t="s">
        <v>729</v>
      </c>
      <c r="J26" s="187" t="s">
        <v>729</v>
      </c>
      <c r="K26" s="187" t="s">
        <v>730</v>
      </c>
      <c r="L26" s="187" t="s">
        <v>730</v>
      </c>
      <c r="M26" s="187" t="s">
        <v>730</v>
      </c>
      <c r="N26" s="187" t="s">
        <v>730</v>
      </c>
      <c r="O26" s="187" t="s">
        <v>730</v>
      </c>
      <c r="P26" s="187" t="s">
        <v>730</v>
      </c>
      <c r="Q26" s="187" t="s">
        <v>730</v>
      </c>
      <c r="R26" s="187" t="s">
        <v>731</v>
      </c>
      <c r="S26" s="187" t="s">
        <v>731</v>
      </c>
      <c r="T26" s="187" t="s">
        <v>731</v>
      </c>
      <c r="U26" s="187" t="s">
        <v>731</v>
      </c>
      <c r="V26" s="187" t="s">
        <v>731</v>
      </c>
      <c r="W26" s="187" t="s">
        <v>731</v>
      </c>
      <c r="X26" s="187" t="s">
        <v>731</v>
      </c>
      <c r="Y26" s="187" t="s">
        <v>731</v>
      </c>
      <c r="Z26" s="187" t="s">
        <v>731</v>
      </c>
      <c r="AA26" s="187" t="s">
        <v>731</v>
      </c>
      <c r="AB26" s="187" t="s">
        <v>368</v>
      </c>
      <c r="AC26" s="187" t="s">
        <v>368</v>
      </c>
      <c r="AD26" s="187" t="s">
        <v>368</v>
      </c>
      <c r="AE26" s="187" t="s">
        <v>368</v>
      </c>
      <c r="AF26" s="201"/>
      <c r="AG26" s="205"/>
      <c r="AH26" s="187" t="s">
        <v>728</v>
      </c>
    </row>
    <row r="27" spans="1:34">
      <c r="A27" s="189" t="s">
        <v>148</v>
      </c>
      <c r="B27" s="187" t="s">
        <v>732</v>
      </c>
      <c r="C27" s="187" t="s">
        <v>732</v>
      </c>
      <c r="D27" s="187" t="s">
        <v>733</v>
      </c>
      <c r="E27" s="187" t="s">
        <v>733</v>
      </c>
      <c r="F27" s="187" t="s">
        <v>733</v>
      </c>
      <c r="G27" s="187" t="s">
        <v>733</v>
      </c>
      <c r="H27" s="187" t="s">
        <v>733</v>
      </c>
      <c r="I27" s="187" t="s">
        <v>733</v>
      </c>
      <c r="J27" s="187" t="s">
        <v>733</v>
      </c>
      <c r="K27" s="187" t="s">
        <v>734</v>
      </c>
      <c r="L27" s="187" t="s">
        <v>734</v>
      </c>
      <c r="M27" s="187" t="s">
        <v>734</v>
      </c>
      <c r="N27" s="187" t="s">
        <v>734</v>
      </c>
      <c r="O27" s="187" t="s">
        <v>734</v>
      </c>
      <c r="P27" s="187" t="s">
        <v>734</v>
      </c>
      <c r="Q27" s="187" t="s">
        <v>734</v>
      </c>
      <c r="R27" s="187" t="s">
        <v>735</v>
      </c>
      <c r="S27" s="187" t="s">
        <v>735</v>
      </c>
      <c r="T27" s="187" t="s">
        <v>735</v>
      </c>
      <c r="U27" s="187" t="s">
        <v>735</v>
      </c>
      <c r="V27" s="187" t="s">
        <v>735</v>
      </c>
      <c r="W27" s="187" t="s">
        <v>735</v>
      </c>
      <c r="X27" s="187" t="s">
        <v>735</v>
      </c>
      <c r="Y27" s="187" t="s">
        <v>736</v>
      </c>
      <c r="Z27" s="187" t="s">
        <v>736</v>
      </c>
      <c r="AA27" s="187" t="s">
        <v>736</v>
      </c>
      <c r="AB27" s="187" t="s">
        <v>370</v>
      </c>
      <c r="AC27" s="187" t="s">
        <v>370</v>
      </c>
      <c r="AD27" s="187" t="s">
        <v>370</v>
      </c>
      <c r="AE27" s="187" t="s">
        <v>370</v>
      </c>
      <c r="AF27" s="201"/>
      <c r="AG27" s="205"/>
      <c r="AH27" s="187" t="s">
        <v>732</v>
      </c>
    </row>
    <row r="28" spans="1:34" ht="15.6" customHeight="1">
      <c r="A28" s="189" t="s">
        <v>151</v>
      </c>
      <c r="B28" s="187" t="s">
        <v>737</v>
      </c>
      <c r="C28" s="187" t="s">
        <v>737</v>
      </c>
      <c r="D28" s="187" t="s">
        <v>738</v>
      </c>
      <c r="E28" s="187" t="s">
        <v>738</v>
      </c>
      <c r="F28" s="187" t="s">
        <v>738</v>
      </c>
      <c r="G28" s="187" t="s">
        <v>738</v>
      </c>
      <c r="H28" s="187" t="s">
        <v>738</v>
      </c>
      <c r="I28" s="187" t="s">
        <v>738</v>
      </c>
      <c r="J28" s="187" t="s">
        <v>738</v>
      </c>
      <c r="K28" s="187" t="s">
        <v>739</v>
      </c>
      <c r="L28" s="187" t="s">
        <v>739</v>
      </c>
      <c r="M28" s="187" t="s">
        <v>739</v>
      </c>
      <c r="N28" s="187" t="s">
        <v>739</v>
      </c>
      <c r="O28" s="187" t="s">
        <v>739</v>
      </c>
      <c r="P28" s="187" t="s">
        <v>739</v>
      </c>
      <c r="Q28" s="187" t="s">
        <v>739</v>
      </c>
      <c r="R28" s="187" t="s">
        <v>740</v>
      </c>
      <c r="S28" s="187" t="s">
        <v>740</v>
      </c>
      <c r="T28" s="187" t="s">
        <v>740</v>
      </c>
      <c r="U28" s="187" t="s">
        <v>740</v>
      </c>
      <c r="V28" s="187" t="s">
        <v>740</v>
      </c>
      <c r="W28" s="187" t="s">
        <v>740</v>
      </c>
      <c r="X28" s="187" t="s">
        <v>740</v>
      </c>
      <c r="Y28" s="187" t="s">
        <v>741</v>
      </c>
      <c r="Z28" s="187" t="s">
        <v>741</v>
      </c>
      <c r="AA28" s="187" t="s">
        <v>741</v>
      </c>
      <c r="AB28" s="187" t="s">
        <v>372</v>
      </c>
      <c r="AC28" s="187" t="s">
        <v>372</v>
      </c>
      <c r="AD28" s="187" t="s">
        <v>372</v>
      </c>
      <c r="AE28" s="187" t="s">
        <v>372</v>
      </c>
      <c r="AF28" s="201"/>
      <c r="AG28" s="205"/>
      <c r="AH28" s="187" t="s">
        <v>737</v>
      </c>
    </row>
    <row r="29" spans="1:34">
      <c r="A29" s="189" t="s">
        <v>154</v>
      </c>
      <c r="B29" s="187" t="s">
        <v>728</v>
      </c>
      <c r="C29" s="187" t="s">
        <v>728</v>
      </c>
      <c r="D29" s="187" t="s">
        <v>742</v>
      </c>
      <c r="E29" s="187" t="s">
        <v>742</v>
      </c>
      <c r="F29" s="187" t="s">
        <v>742</v>
      </c>
      <c r="G29" s="187" t="s">
        <v>742</v>
      </c>
      <c r="H29" s="187" t="s">
        <v>742</v>
      </c>
      <c r="I29" s="187" t="s">
        <v>742</v>
      </c>
      <c r="J29" s="187" t="s">
        <v>742</v>
      </c>
      <c r="K29" s="187" t="s">
        <v>743</v>
      </c>
      <c r="L29" s="187" t="s">
        <v>743</v>
      </c>
      <c r="M29" s="187" t="s">
        <v>743</v>
      </c>
      <c r="N29" s="187" t="s">
        <v>743</v>
      </c>
      <c r="O29" s="187" t="s">
        <v>743</v>
      </c>
      <c r="P29" s="187" t="s">
        <v>743</v>
      </c>
      <c r="Q29" s="187" t="s">
        <v>743</v>
      </c>
      <c r="R29" s="187" t="s">
        <v>228</v>
      </c>
      <c r="S29" s="187" t="s">
        <v>228</v>
      </c>
      <c r="T29" s="187" t="s">
        <v>228</v>
      </c>
      <c r="U29" s="187" t="s">
        <v>228</v>
      </c>
      <c r="V29" s="187" t="s">
        <v>228</v>
      </c>
      <c r="W29" s="187" t="s">
        <v>228</v>
      </c>
      <c r="X29" s="187" t="s">
        <v>228</v>
      </c>
      <c r="Y29" s="187" t="s">
        <v>744</v>
      </c>
      <c r="Z29" s="187" t="s">
        <v>744</v>
      </c>
      <c r="AA29" s="187" t="s">
        <v>744</v>
      </c>
      <c r="AB29" s="187" t="s">
        <v>374</v>
      </c>
      <c r="AC29" s="187" t="s">
        <v>374</v>
      </c>
      <c r="AD29" s="187" t="s">
        <v>374</v>
      </c>
      <c r="AE29" s="187" t="s">
        <v>374</v>
      </c>
      <c r="AF29" s="201"/>
      <c r="AG29" s="205"/>
      <c r="AH29" s="187" t="s">
        <v>728</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218"/>
      <c r="AE30" s="218"/>
      <c r="AF30" s="207"/>
      <c r="AG30" s="207"/>
      <c r="AH30" s="162"/>
    </row>
    <row r="31" spans="1:34" ht="21.95" customHeight="1">
      <c r="A31" s="87"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278"/>
      <c r="AG31" s="278"/>
      <c r="AH31" s="181" t="s">
        <v>157</v>
      </c>
    </row>
    <row r="32" spans="1:34" ht="25.5">
      <c r="A32" s="127" t="s">
        <v>77</v>
      </c>
      <c r="B32" s="190" t="s">
        <v>158</v>
      </c>
      <c r="C32" s="190" t="s">
        <v>158</v>
      </c>
      <c r="D32" s="190" t="s">
        <v>158</v>
      </c>
      <c r="E32" s="190" t="s">
        <v>158</v>
      </c>
      <c r="F32" s="190" t="s">
        <v>158</v>
      </c>
      <c r="G32" s="190" t="s">
        <v>158</v>
      </c>
      <c r="H32" s="190" t="s">
        <v>158</v>
      </c>
      <c r="I32" s="187" t="s">
        <v>158</v>
      </c>
      <c r="J32" s="190" t="s">
        <v>158</v>
      </c>
      <c r="K32" s="190" t="s">
        <v>158</v>
      </c>
      <c r="L32" s="190" t="s">
        <v>158</v>
      </c>
      <c r="M32" s="190" t="s">
        <v>158</v>
      </c>
      <c r="N32" s="190" t="s">
        <v>158</v>
      </c>
      <c r="O32" s="190" t="s">
        <v>158</v>
      </c>
      <c r="P32" s="190" t="s">
        <v>158</v>
      </c>
      <c r="Q32" s="190" t="s">
        <v>158</v>
      </c>
      <c r="R32" s="190" t="s">
        <v>158</v>
      </c>
      <c r="S32" s="190" t="s">
        <v>158</v>
      </c>
      <c r="T32" s="190" t="s">
        <v>158</v>
      </c>
      <c r="U32" s="190" t="s">
        <v>158</v>
      </c>
      <c r="V32" s="190" t="s">
        <v>158</v>
      </c>
      <c r="W32" s="190" t="s">
        <v>158</v>
      </c>
      <c r="X32" s="190" t="s">
        <v>158</v>
      </c>
      <c r="Y32" s="190" t="s">
        <v>158</v>
      </c>
      <c r="Z32" s="190" t="s">
        <v>158</v>
      </c>
      <c r="AA32" s="190" t="s">
        <v>158</v>
      </c>
      <c r="AB32" s="190" t="s">
        <v>158</v>
      </c>
      <c r="AC32" s="190" t="s">
        <v>158</v>
      </c>
      <c r="AD32" s="190" t="s">
        <v>158</v>
      </c>
      <c r="AE32" s="190" t="s">
        <v>158</v>
      </c>
      <c r="AF32" s="208"/>
      <c r="AG32" s="209"/>
      <c r="AH32" s="190" t="s">
        <v>158</v>
      </c>
    </row>
    <row r="33" spans="1:34" ht="25.5">
      <c r="A33" s="87" t="s">
        <v>80</v>
      </c>
      <c r="B33" s="187" t="s">
        <v>375</v>
      </c>
      <c r="C33" s="187" t="s">
        <v>329</v>
      </c>
      <c r="D33" s="187" t="s">
        <v>375</v>
      </c>
      <c r="E33" s="187" t="s">
        <v>376</v>
      </c>
      <c r="F33" s="187" t="s">
        <v>376</v>
      </c>
      <c r="G33" s="187" t="s">
        <v>375</v>
      </c>
      <c r="H33" s="187" t="s">
        <v>378</v>
      </c>
      <c r="I33" s="187" t="s">
        <v>379</v>
      </c>
      <c r="J33" s="187" t="s">
        <v>380</v>
      </c>
      <c r="K33" s="187" t="s">
        <v>381</v>
      </c>
      <c r="L33" s="187" t="s">
        <v>382</v>
      </c>
      <c r="M33" s="187" t="s">
        <v>381</v>
      </c>
      <c r="N33" s="187" t="s">
        <v>382</v>
      </c>
      <c r="O33" s="187" t="s">
        <v>383</v>
      </c>
      <c r="P33" s="187" t="s">
        <v>382</v>
      </c>
      <c r="Q33" s="187" t="s">
        <v>384</v>
      </c>
      <c r="R33" s="187" t="s">
        <v>321</v>
      </c>
      <c r="S33" s="187" t="s">
        <v>385</v>
      </c>
      <c r="T33" s="187" t="s">
        <v>386</v>
      </c>
      <c r="U33" s="187" t="s">
        <v>387</v>
      </c>
      <c r="V33" s="187" t="s">
        <v>387</v>
      </c>
      <c r="W33" s="187" t="s">
        <v>387</v>
      </c>
      <c r="X33" s="187" t="s">
        <v>386</v>
      </c>
      <c r="Y33" s="187" t="s">
        <v>386</v>
      </c>
      <c r="Z33" s="187" t="s">
        <v>386</v>
      </c>
      <c r="AA33" s="187" t="s">
        <v>745</v>
      </c>
      <c r="AB33" s="187" t="s">
        <v>746</v>
      </c>
      <c r="AC33" s="187" t="s">
        <v>747</v>
      </c>
      <c r="AD33" s="187" t="s">
        <v>748</v>
      </c>
      <c r="AE33" s="187" t="s">
        <v>395</v>
      </c>
      <c r="AF33" s="205"/>
      <c r="AG33" s="206"/>
      <c r="AH33" s="187" t="s">
        <v>323</v>
      </c>
    </row>
    <row r="34" spans="1:34" ht="15.75" thickBot="1">
      <c r="A34" s="139" t="s">
        <v>81</v>
      </c>
      <c r="B34" s="187" t="s">
        <v>330</v>
      </c>
      <c r="C34" s="187" t="s">
        <v>330</v>
      </c>
      <c r="D34" s="187" t="s">
        <v>330</v>
      </c>
      <c r="E34" s="187" t="s">
        <v>330</v>
      </c>
      <c r="F34" s="187" t="s">
        <v>330</v>
      </c>
      <c r="G34" s="187" t="s">
        <v>330</v>
      </c>
      <c r="H34" s="187" t="s">
        <v>330</v>
      </c>
      <c r="I34" s="187" t="s">
        <v>330</v>
      </c>
      <c r="J34" s="187" t="s">
        <v>330</v>
      </c>
      <c r="K34" s="187" t="s">
        <v>330</v>
      </c>
      <c r="L34" s="187" t="s">
        <v>330</v>
      </c>
      <c r="M34" s="187" t="s">
        <v>330</v>
      </c>
      <c r="N34" s="187" t="s">
        <v>330</v>
      </c>
      <c r="O34" s="187" t="s">
        <v>330</v>
      </c>
      <c r="P34" s="187" t="s">
        <v>330</v>
      </c>
      <c r="Q34" s="187" t="s">
        <v>330</v>
      </c>
      <c r="R34" s="187" t="s">
        <v>330</v>
      </c>
      <c r="S34" s="187" t="s">
        <v>330</v>
      </c>
      <c r="T34" s="187" t="s">
        <v>330</v>
      </c>
      <c r="U34" s="187" t="s">
        <v>330</v>
      </c>
      <c r="V34" s="187" t="s">
        <v>330</v>
      </c>
      <c r="W34" s="187" t="s">
        <v>330</v>
      </c>
      <c r="X34" s="187" t="s">
        <v>330</v>
      </c>
      <c r="Y34" s="187" t="s">
        <v>330</v>
      </c>
      <c r="Z34" s="187" t="s">
        <v>330</v>
      </c>
      <c r="AA34" s="187" t="s">
        <v>290</v>
      </c>
      <c r="AB34" s="187" t="s">
        <v>290</v>
      </c>
      <c r="AC34" s="187" t="s">
        <v>290</v>
      </c>
      <c r="AD34" s="187" t="s">
        <v>290</v>
      </c>
      <c r="AE34" s="187" t="s">
        <v>290</v>
      </c>
      <c r="AF34" s="205"/>
      <c r="AG34" s="206"/>
      <c r="AH34" s="187" t="s">
        <v>330</v>
      </c>
    </row>
    <row r="35" spans="1:34">
      <c r="AF35" s="210"/>
      <c r="AG35" s="211"/>
    </row>
    <row r="36" spans="1:34">
      <c r="AF36" s="210"/>
      <c r="AG36" s="211"/>
    </row>
  </sheetData>
  <mergeCells count="1">
    <mergeCell ref="A1:A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6494-0571-4577-9A8A-9E5BB5717D4D}">
  <dimension ref="A1:AM36"/>
  <sheetViews>
    <sheetView topLeftCell="K13" workbookViewId="0">
      <selection activeCell="AG22" sqref="AG22"/>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2" width="8.7109375" style="20"/>
    <col min="33" max="33" width="8.7109375" style="144"/>
    <col min="34" max="34" width="10.85546875" style="144" customWidth="1"/>
    <col min="35" max="35" width="11" customWidth="1"/>
    <col min="36" max="36" width="11.42578125" customWidth="1"/>
  </cols>
  <sheetData>
    <row r="1" spans="1:39"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5.75">
      <c r="A2" s="82"/>
      <c r="B2" s="83">
        <v>44317</v>
      </c>
      <c r="C2" s="83">
        <v>44318</v>
      </c>
      <c r="D2" s="83">
        <v>44319</v>
      </c>
      <c r="E2" s="83">
        <v>44320</v>
      </c>
      <c r="F2" s="83">
        <v>44321</v>
      </c>
      <c r="G2" s="83">
        <v>44322</v>
      </c>
      <c r="H2" s="83">
        <v>44323</v>
      </c>
      <c r="I2" s="83">
        <v>44324</v>
      </c>
      <c r="J2" s="83">
        <v>44325</v>
      </c>
      <c r="K2" s="83">
        <v>44326</v>
      </c>
      <c r="L2" s="83">
        <v>44327</v>
      </c>
      <c r="M2" s="83">
        <v>44328</v>
      </c>
      <c r="N2" s="83">
        <v>44329</v>
      </c>
      <c r="O2" s="83">
        <v>44330</v>
      </c>
      <c r="P2" s="83">
        <v>44331</v>
      </c>
      <c r="Q2" s="83">
        <v>44332</v>
      </c>
      <c r="R2" s="83">
        <v>44333</v>
      </c>
      <c r="S2" s="83">
        <v>44334</v>
      </c>
      <c r="T2" s="83">
        <v>44335</v>
      </c>
      <c r="U2" s="83">
        <v>44336</v>
      </c>
      <c r="V2" s="83">
        <v>44337</v>
      </c>
      <c r="W2" s="83">
        <v>44338</v>
      </c>
      <c r="X2" s="83">
        <v>44339</v>
      </c>
      <c r="Y2" s="83">
        <v>44340</v>
      </c>
      <c r="Z2" s="83">
        <v>44341</v>
      </c>
      <c r="AA2" s="83">
        <v>44342</v>
      </c>
      <c r="AB2" s="83">
        <v>44343</v>
      </c>
      <c r="AC2" s="83">
        <v>44344</v>
      </c>
      <c r="AD2" s="83">
        <v>44345</v>
      </c>
      <c r="AE2" s="83">
        <v>44346</v>
      </c>
      <c r="AF2" s="83">
        <v>44347</v>
      </c>
      <c r="AG2" s="83"/>
      <c r="AH2" s="83">
        <v>44316</v>
      </c>
    </row>
    <row r="3" spans="1:39"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91" t="s">
        <v>53</v>
      </c>
      <c r="AG3" s="193"/>
      <c r="AH3" s="93" t="s">
        <v>52</v>
      </c>
    </row>
    <row r="4" spans="1:39" ht="20.100000000000001" customHeight="1">
      <c r="A4" s="94" t="s">
        <v>54</v>
      </c>
      <c r="B4" s="212">
        <v>151583</v>
      </c>
      <c r="C4" s="212">
        <v>151794</v>
      </c>
      <c r="D4" s="212">
        <v>152012</v>
      </c>
      <c r="E4" s="212">
        <v>152232</v>
      </c>
      <c r="F4" s="212">
        <v>152451</v>
      </c>
      <c r="G4" s="212">
        <v>152667</v>
      </c>
      <c r="H4" s="212">
        <v>152885</v>
      </c>
      <c r="I4" s="212">
        <v>153091</v>
      </c>
      <c r="J4" s="212">
        <v>153304</v>
      </c>
      <c r="K4" s="212">
        <v>153524</v>
      </c>
      <c r="L4" s="212">
        <v>153746</v>
      </c>
      <c r="M4" s="212">
        <v>153968</v>
      </c>
      <c r="N4" s="212">
        <v>154186</v>
      </c>
      <c r="O4" s="212">
        <v>154406</v>
      </c>
      <c r="P4" s="212">
        <v>154625</v>
      </c>
      <c r="Q4" s="212">
        <v>154849</v>
      </c>
      <c r="R4" s="212">
        <v>155072</v>
      </c>
      <c r="S4" s="212">
        <v>155294</v>
      </c>
      <c r="T4" s="212">
        <v>155512</v>
      </c>
      <c r="U4" s="212">
        <v>155740</v>
      </c>
      <c r="V4" s="212">
        <v>155968</v>
      </c>
      <c r="W4" s="212">
        <v>156164</v>
      </c>
      <c r="X4" s="212">
        <v>156397</v>
      </c>
      <c r="Y4" s="212">
        <v>156620</v>
      </c>
      <c r="Z4" s="212">
        <v>156841</v>
      </c>
      <c r="AA4" s="216">
        <v>157069</v>
      </c>
      <c r="AB4" s="212">
        <v>157295</v>
      </c>
      <c r="AC4" s="212">
        <v>157514</v>
      </c>
      <c r="AD4" s="212">
        <v>157726</v>
      </c>
      <c r="AE4" s="212">
        <v>157942</v>
      </c>
      <c r="AF4" s="212">
        <v>158164</v>
      </c>
      <c r="AG4" s="195"/>
      <c r="AH4" s="212">
        <v>151380</v>
      </c>
      <c r="AI4" s="101"/>
      <c r="AJ4" s="101"/>
      <c r="AM4" s="102"/>
    </row>
    <row r="5" spans="1:39" ht="20.100000000000001" customHeight="1">
      <c r="A5" s="94" t="s">
        <v>55</v>
      </c>
      <c r="B5" s="212">
        <v>3104833</v>
      </c>
      <c r="C5" s="212">
        <v>3112327</v>
      </c>
      <c r="D5" s="212">
        <v>3120215</v>
      </c>
      <c r="E5" s="212">
        <v>3128044</v>
      </c>
      <c r="F5" s="212">
        <v>3135718</v>
      </c>
      <c r="G5" s="212">
        <v>3143419</v>
      </c>
      <c r="H5" s="212">
        <v>3151252</v>
      </c>
      <c r="I5" s="212">
        <v>3158544</v>
      </c>
      <c r="J5" s="212">
        <v>3166122</v>
      </c>
      <c r="K5" s="212">
        <v>3173744</v>
      </c>
      <c r="L5" s="212">
        <v>3181360</v>
      </c>
      <c r="M5" s="212">
        <v>3189188</v>
      </c>
      <c r="N5" s="212">
        <v>3136834</v>
      </c>
      <c r="O5" s="212">
        <v>3174441</v>
      </c>
      <c r="P5" s="212">
        <v>3212048</v>
      </c>
      <c r="Q5" s="212">
        <v>3219551</v>
      </c>
      <c r="R5" s="212">
        <v>3227229</v>
      </c>
      <c r="S5" s="212">
        <v>3234925</v>
      </c>
      <c r="T5" s="212">
        <v>3242757</v>
      </c>
      <c r="U5" s="212">
        <v>3250829</v>
      </c>
      <c r="V5" s="212">
        <v>3259073</v>
      </c>
      <c r="W5" s="212">
        <v>3266168</v>
      </c>
      <c r="X5" s="212">
        <v>3274464</v>
      </c>
      <c r="Y5" s="212">
        <v>3282862</v>
      </c>
      <c r="Z5" s="212">
        <v>3291148</v>
      </c>
      <c r="AA5" s="216">
        <v>3299786</v>
      </c>
      <c r="AB5" s="212">
        <v>3308093</v>
      </c>
      <c r="AC5" s="212">
        <v>3315944</v>
      </c>
      <c r="AD5" s="212">
        <v>3323365</v>
      </c>
      <c r="AE5" s="212">
        <v>3331107</v>
      </c>
      <c r="AF5" s="212">
        <v>3339455</v>
      </c>
      <c r="AG5" s="195"/>
      <c r="AH5" s="212">
        <v>3097855</v>
      </c>
      <c r="AI5" s="101"/>
      <c r="AJ5" s="101"/>
      <c r="AM5" s="102"/>
    </row>
    <row r="6" spans="1:39" ht="20.100000000000001" customHeight="1">
      <c r="A6" s="94" t="s">
        <v>56</v>
      </c>
      <c r="B6" s="212">
        <v>1589397</v>
      </c>
      <c r="C6" s="212">
        <v>1592394</v>
      </c>
      <c r="D6" s="212">
        <v>1595615</v>
      </c>
      <c r="E6" s="212">
        <v>1598850</v>
      </c>
      <c r="F6" s="212">
        <v>1602007</v>
      </c>
      <c r="G6" s="212">
        <v>1605244</v>
      </c>
      <c r="H6" s="212">
        <v>1608490</v>
      </c>
      <c r="I6" s="212">
        <v>1611488</v>
      </c>
      <c r="J6" s="212">
        <v>1614595</v>
      </c>
      <c r="K6" s="212">
        <v>1617773</v>
      </c>
      <c r="L6" s="212">
        <v>1620878</v>
      </c>
      <c r="M6" s="212">
        <v>1623980</v>
      </c>
      <c r="N6" s="212">
        <v>1627864</v>
      </c>
      <c r="O6" s="212">
        <v>1630491</v>
      </c>
      <c r="P6" s="212">
        <v>1633118</v>
      </c>
      <c r="Q6" s="212">
        <v>1636180</v>
      </c>
      <c r="R6" s="212">
        <v>1639467</v>
      </c>
      <c r="S6" s="212">
        <v>1642735</v>
      </c>
      <c r="T6" s="212">
        <v>1646041</v>
      </c>
      <c r="U6" s="212">
        <v>1649439</v>
      </c>
      <c r="V6" s="212">
        <v>1652839</v>
      </c>
      <c r="W6" s="212">
        <v>1655706</v>
      </c>
      <c r="X6" s="212">
        <v>1659181</v>
      </c>
      <c r="Y6" s="212">
        <v>1662360</v>
      </c>
      <c r="Z6" s="212">
        <v>1665418</v>
      </c>
      <c r="AA6" s="216">
        <v>1668532</v>
      </c>
      <c r="AB6" s="212">
        <v>1671602</v>
      </c>
      <c r="AC6" s="212">
        <v>1674507</v>
      </c>
      <c r="AD6" s="212">
        <v>1677330</v>
      </c>
      <c r="AE6" s="212">
        <v>1680235</v>
      </c>
      <c r="AF6" s="212">
        <v>1683331</v>
      </c>
      <c r="AG6" s="195"/>
      <c r="AH6" s="212">
        <v>1586506</v>
      </c>
      <c r="AI6" s="101"/>
      <c r="AJ6" s="101"/>
      <c r="AM6" s="102"/>
    </row>
    <row r="7" spans="1:39" ht="20.100000000000001" customHeight="1">
      <c r="A7" s="94" t="s">
        <v>57</v>
      </c>
      <c r="B7" s="212">
        <v>4727590</v>
      </c>
      <c r="C7" s="212">
        <v>4727671</v>
      </c>
      <c r="D7" s="212">
        <v>4727753</v>
      </c>
      <c r="E7" s="212">
        <v>4727835</v>
      </c>
      <c r="F7" s="212">
        <v>4733795</v>
      </c>
      <c r="G7" s="212">
        <v>4741888</v>
      </c>
      <c r="H7" s="212">
        <v>4750238</v>
      </c>
      <c r="I7" s="212">
        <v>4758415</v>
      </c>
      <c r="J7" s="212">
        <v>4766845</v>
      </c>
      <c r="K7" s="212">
        <v>4775046</v>
      </c>
      <c r="L7" s="212">
        <v>4783279</v>
      </c>
      <c r="M7" s="212">
        <v>4791752</v>
      </c>
      <c r="N7" s="212">
        <v>4799537</v>
      </c>
      <c r="O7" s="212">
        <v>4807790</v>
      </c>
      <c r="P7" s="212">
        <v>4816043</v>
      </c>
      <c r="Q7" s="212">
        <v>4824489</v>
      </c>
      <c r="R7" s="212">
        <v>4833277</v>
      </c>
      <c r="S7" s="212">
        <v>4841805</v>
      </c>
      <c r="T7" s="212">
        <v>4850113</v>
      </c>
      <c r="U7" s="212">
        <v>4859629</v>
      </c>
      <c r="V7" s="212">
        <v>4869811</v>
      </c>
      <c r="W7" s="212">
        <v>4879121</v>
      </c>
      <c r="X7" s="212">
        <v>4889411</v>
      </c>
      <c r="Y7" s="212">
        <v>4901100</v>
      </c>
      <c r="Z7" s="212">
        <v>4913144</v>
      </c>
      <c r="AA7" s="216">
        <v>4925514</v>
      </c>
      <c r="AB7" s="212">
        <v>4936512</v>
      </c>
      <c r="AC7" s="212">
        <v>4947053</v>
      </c>
      <c r="AD7" s="212">
        <v>4956417</v>
      </c>
      <c r="AE7" s="212">
        <v>4966388</v>
      </c>
      <c r="AF7" s="212">
        <v>4977666</v>
      </c>
      <c r="AG7" s="195"/>
      <c r="AH7" s="212">
        <v>4727509</v>
      </c>
      <c r="AI7" s="101"/>
      <c r="AJ7" s="101"/>
      <c r="AM7" s="102"/>
    </row>
    <row r="8" spans="1:39" ht="20.100000000000001" customHeight="1">
      <c r="A8" s="94" t="s">
        <v>58</v>
      </c>
      <c r="B8" s="212">
        <v>1777690</v>
      </c>
      <c r="C8" s="212">
        <v>1780494</v>
      </c>
      <c r="D8" s="212">
        <v>1783457</v>
      </c>
      <c r="E8" s="212">
        <v>1786231</v>
      </c>
      <c r="F8" s="212">
        <v>1787080</v>
      </c>
      <c r="G8" s="212">
        <v>1787080</v>
      </c>
      <c r="H8" s="212">
        <v>1787080</v>
      </c>
      <c r="I8" s="212">
        <v>1787080</v>
      </c>
      <c r="J8" s="212">
        <v>1787080</v>
      </c>
      <c r="K8" s="212">
        <v>1787080</v>
      </c>
      <c r="L8" s="212">
        <v>1787080</v>
      </c>
      <c r="M8" s="212">
        <v>1787080</v>
      </c>
      <c r="N8" s="212">
        <v>1787244</v>
      </c>
      <c r="O8" s="212">
        <v>1787244</v>
      </c>
      <c r="P8" s="212">
        <v>1787244</v>
      </c>
      <c r="Q8" s="212">
        <v>1787244</v>
      </c>
      <c r="R8" s="212">
        <v>1787244</v>
      </c>
      <c r="S8" s="212">
        <v>1787244</v>
      </c>
      <c r="T8" s="212">
        <v>1787263</v>
      </c>
      <c r="U8" s="212">
        <v>1787359</v>
      </c>
      <c r="V8" s="212">
        <v>1787359</v>
      </c>
      <c r="W8" s="212">
        <v>1787359</v>
      </c>
      <c r="X8" s="212">
        <v>1787359</v>
      </c>
      <c r="Y8" s="212">
        <v>1787359</v>
      </c>
      <c r="Z8" s="212">
        <v>1787359</v>
      </c>
      <c r="AA8" s="216">
        <v>1787359</v>
      </c>
      <c r="AB8" s="212">
        <v>1787359</v>
      </c>
      <c r="AC8" s="212">
        <v>1787359</v>
      </c>
      <c r="AD8" s="212">
        <v>1787359</v>
      </c>
      <c r="AE8" s="212">
        <v>1787359</v>
      </c>
      <c r="AF8" s="212">
        <v>1787359</v>
      </c>
      <c r="AG8" s="195"/>
      <c r="AH8" s="212">
        <v>1775078</v>
      </c>
      <c r="AI8" s="101"/>
      <c r="AJ8" s="101"/>
      <c r="AM8" s="102"/>
    </row>
    <row r="9" spans="1:39" ht="20.100000000000001" customHeight="1">
      <c r="A9" s="94" t="s">
        <v>59</v>
      </c>
      <c r="B9" s="214">
        <v>10886136</v>
      </c>
      <c r="C9" s="214">
        <v>10894426</v>
      </c>
      <c r="D9" s="214">
        <v>10902876</v>
      </c>
      <c r="E9" s="214">
        <v>10911168</v>
      </c>
      <c r="F9" s="214">
        <v>10919419</v>
      </c>
      <c r="G9" s="214">
        <v>10927524</v>
      </c>
      <c r="H9" s="214">
        <v>10935834</v>
      </c>
      <c r="I9" s="214">
        <v>10943821</v>
      </c>
      <c r="J9" s="214">
        <v>10952125</v>
      </c>
      <c r="K9" s="214">
        <v>10960283</v>
      </c>
      <c r="L9" s="214">
        <v>10968672</v>
      </c>
      <c r="M9" s="214">
        <v>10977288</v>
      </c>
      <c r="N9" s="214">
        <v>10985887</v>
      </c>
      <c r="O9" s="214">
        <v>10994515</v>
      </c>
      <c r="P9" s="214">
        <v>11003142</v>
      </c>
      <c r="Q9" s="214">
        <v>11012091</v>
      </c>
      <c r="R9" s="214">
        <v>11021032</v>
      </c>
      <c r="S9" s="214">
        <v>11029791</v>
      </c>
      <c r="T9" s="214">
        <v>11038188</v>
      </c>
      <c r="U9" s="214">
        <v>11046688</v>
      </c>
      <c r="V9" s="214">
        <v>11055328</v>
      </c>
      <c r="W9" s="214">
        <v>11063225</v>
      </c>
      <c r="X9" s="214">
        <v>11072379</v>
      </c>
      <c r="Y9" s="214">
        <v>11082678</v>
      </c>
      <c r="Z9" s="214">
        <v>11093099</v>
      </c>
      <c r="AA9" s="217">
        <v>11104118</v>
      </c>
      <c r="AB9" s="214">
        <v>11114801</v>
      </c>
      <c r="AC9" s="214">
        <v>11124660</v>
      </c>
      <c r="AD9" s="214">
        <v>11133293</v>
      </c>
      <c r="AE9" s="214">
        <v>11142773</v>
      </c>
      <c r="AF9" s="214">
        <v>11153623</v>
      </c>
      <c r="AG9" s="197"/>
      <c r="AH9" s="214">
        <v>10877697</v>
      </c>
      <c r="AI9" s="101"/>
      <c r="AJ9" s="101"/>
      <c r="AM9" s="102"/>
    </row>
    <row r="10" spans="1:39" ht="20.100000000000001" customHeight="1">
      <c r="A10" s="94" t="s">
        <v>60</v>
      </c>
      <c r="B10" s="212">
        <v>2499767</v>
      </c>
      <c r="C10" s="212">
        <v>2504851</v>
      </c>
      <c r="D10" s="212">
        <v>2510130</v>
      </c>
      <c r="E10" s="212">
        <v>2515379</v>
      </c>
      <c r="F10" s="212">
        <v>2520576</v>
      </c>
      <c r="G10" s="212">
        <v>2525700</v>
      </c>
      <c r="H10" s="212">
        <v>2531143</v>
      </c>
      <c r="I10" s="212">
        <v>2536264</v>
      </c>
      <c r="J10" s="212">
        <v>2541621</v>
      </c>
      <c r="K10" s="212">
        <v>2547138</v>
      </c>
      <c r="L10" s="212">
        <v>2554752</v>
      </c>
      <c r="M10" s="212">
        <v>2558423</v>
      </c>
      <c r="N10" s="212">
        <v>2553900</v>
      </c>
      <c r="O10" s="212">
        <v>2564442</v>
      </c>
      <c r="P10" s="212">
        <v>2574983</v>
      </c>
      <c r="Q10" s="212">
        <v>2580430</v>
      </c>
      <c r="R10" s="212">
        <v>2586054</v>
      </c>
      <c r="S10" s="212">
        <v>2591752</v>
      </c>
      <c r="T10" s="212">
        <v>2597349</v>
      </c>
      <c r="U10" s="212">
        <v>2603180</v>
      </c>
      <c r="V10" s="212">
        <v>2608906</v>
      </c>
      <c r="W10" s="212">
        <v>2613885</v>
      </c>
      <c r="X10" s="212">
        <v>2619806</v>
      </c>
      <c r="Y10" s="212">
        <v>2625606</v>
      </c>
      <c r="Z10" s="212">
        <v>2631308</v>
      </c>
      <c r="AA10" s="216">
        <v>2637141</v>
      </c>
      <c r="AB10" s="212">
        <v>2642877</v>
      </c>
      <c r="AC10" s="212">
        <v>2648480</v>
      </c>
      <c r="AD10" s="212">
        <v>2653817</v>
      </c>
      <c r="AE10" s="212">
        <v>2659341</v>
      </c>
      <c r="AF10" s="212">
        <v>2664933</v>
      </c>
      <c r="AG10" s="195"/>
      <c r="AH10" s="212">
        <v>2494885</v>
      </c>
      <c r="AI10" s="101"/>
      <c r="AJ10" s="101"/>
      <c r="AM10" s="102"/>
    </row>
    <row r="11" spans="1:39" ht="22.5" customHeight="1">
      <c r="A11" s="94" t="s">
        <v>61</v>
      </c>
      <c r="B11" s="225">
        <v>119163</v>
      </c>
      <c r="C11" s="225">
        <v>119332</v>
      </c>
      <c r="D11" s="225">
        <v>119511</v>
      </c>
      <c r="E11" s="225">
        <v>119690</v>
      </c>
      <c r="F11" s="225">
        <v>119867</v>
      </c>
      <c r="G11" s="225">
        <v>120043</v>
      </c>
      <c r="H11" s="225">
        <v>120214</v>
      </c>
      <c r="I11" s="225">
        <v>120371</v>
      </c>
      <c r="J11" s="225">
        <v>120537</v>
      </c>
      <c r="K11" s="225">
        <v>120708</v>
      </c>
      <c r="L11" s="225">
        <v>120883</v>
      </c>
      <c r="M11" s="225">
        <v>121057</v>
      </c>
      <c r="N11" s="225">
        <v>121726</v>
      </c>
      <c r="O11" s="225">
        <v>121642</v>
      </c>
      <c r="P11" s="225">
        <v>121558</v>
      </c>
      <c r="Q11" s="225">
        <v>121733</v>
      </c>
      <c r="R11" s="225">
        <v>121910</v>
      </c>
      <c r="S11" s="225">
        <v>122085</v>
      </c>
      <c r="T11" s="225">
        <v>122257</v>
      </c>
      <c r="U11" s="225">
        <v>122449</v>
      </c>
      <c r="V11" s="225">
        <v>122637</v>
      </c>
      <c r="W11" s="225">
        <v>122794</v>
      </c>
      <c r="X11" s="225">
        <v>122983</v>
      </c>
      <c r="Y11" s="225">
        <v>123173</v>
      </c>
      <c r="Z11" s="225">
        <v>123358</v>
      </c>
      <c r="AA11" s="226">
        <v>123550</v>
      </c>
      <c r="AB11" s="225">
        <v>123738</v>
      </c>
      <c r="AC11" s="225">
        <v>123917</v>
      </c>
      <c r="AD11" s="225">
        <v>124083</v>
      </c>
      <c r="AE11" s="225">
        <v>124255</v>
      </c>
      <c r="AF11" s="225">
        <v>124436</v>
      </c>
      <c r="AG11" s="195"/>
      <c r="AH11" s="212">
        <v>119005</v>
      </c>
      <c r="AI11" s="101"/>
      <c r="AJ11" s="101"/>
      <c r="AM11" s="102"/>
    </row>
    <row r="12" spans="1:39" s="109" customFormat="1" ht="18" customHeight="1">
      <c r="A12" s="103" t="s">
        <v>62</v>
      </c>
      <c r="B12" s="230">
        <f>SUM(B4:B11)</f>
        <v>24856159</v>
      </c>
      <c r="C12" s="230">
        <f t="shared" ref="C12:AF12" si="0">SUM(C4:C11)</f>
        <v>24883289</v>
      </c>
      <c r="D12" s="230">
        <f t="shared" si="0"/>
        <v>24911569</v>
      </c>
      <c r="E12" s="230">
        <f t="shared" si="0"/>
        <v>24939429</v>
      </c>
      <c r="F12" s="230">
        <f t="shared" si="0"/>
        <v>24970913</v>
      </c>
      <c r="G12" s="230">
        <f t="shared" si="0"/>
        <v>25003565</v>
      </c>
      <c r="H12" s="230">
        <f t="shared" si="0"/>
        <v>25037136</v>
      </c>
      <c r="I12" s="230">
        <f t="shared" si="0"/>
        <v>25069074</v>
      </c>
      <c r="J12" s="230">
        <f t="shared" si="0"/>
        <v>25102229</v>
      </c>
      <c r="K12" s="230">
        <f t="shared" si="0"/>
        <v>25135296</v>
      </c>
      <c r="L12" s="230">
        <f t="shared" si="0"/>
        <v>25170650</v>
      </c>
      <c r="M12" s="230">
        <f t="shared" si="0"/>
        <v>25202736</v>
      </c>
      <c r="N12" s="230">
        <f t="shared" si="0"/>
        <v>25167178</v>
      </c>
      <c r="O12" s="230">
        <f t="shared" si="0"/>
        <v>25234971</v>
      </c>
      <c r="P12" s="230">
        <f t="shared" si="0"/>
        <v>25302761</v>
      </c>
      <c r="Q12" s="230">
        <f t="shared" si="0"/>
        <v>25336567</v>
      </c>
      <c r="R12" s="230">
        <f t="shared" si="0"/>
        <v>25371285</v>
      </c>
      <c r="S12" s="230">
        <f t="shared" si="0"/>
        <v>25405631</v>
      </c>
      <c r="T12" s="230">
        <f t="shared" si="0"/>
        <v>25439480</v>
      </c>
      <c r="U12" s="230">
        <f t="shared" si="0"/>
        <v>25475313</v>
      </c>
      <c r="V12" s="230">
        <f t="shared" si="0"/>
        <v>25511921</v>
      </c>
      <c r="W12" s="230">
        <f t="shared" si="0"/>
        <v>25544422</v>
      </c>
      <c r="X12" s="230">
        <f t="shared" si="0"/>
        <v>25581980</v>
      </c>
      <c r="Y12" s="230">
        <f t="shared" si="0"/>
        <v>25621758</v>
      </c>
      <c r="Z12" s="230">
        <f t="shared" si="0"/>
        <v>25661675</v>
      </c>
      <c r="AA12" s="230">
        <f t="shared" si="0"/>
        <v>25703069</v>
      </c>
      <c r="AB12" s="230">
        <f t="shared" si="0"/>
        <v>25742277</v>
      </c>
      <c r="AC12" s="230">
        <f t="shared" si="0"/>
        <v>25779434</v>
      </c>
      <c r="AD12" s="230">
        <f t="shared" si="0"/>
        <v>25813390</v>
      </c>
      <c r="AE12" s="230">
        <f t="shared" si="0"/>
        <v>25849400</v>
      </c>
      <c r="AF12" s="230">
        <f t="shared" si="0"/>
        <v>25888967</v>
      </c>
      <c r="AG12" s="198"/>
      <c r="AH12" s="231"/>
    </row>
    <row r="13" spans="1:39" ht="25.5">
      <c r="A13" s="87" t="s">
        <v>63</v>
      </c>
      <c r="B13" s="227" t="s">
        <v>106</v>
      </c>
      <c r="C13" s="227" t="s">
        <v>106</v>
      </c>
      <c r="D13" s="227" t="s">
        <v>106</v>
      </c>
      <c r="E13" s="227" t="s">
        <v>106</v>
      </c>
      <c r="F13" s="227" t="s">
        <v>106</v>
      </c>
      <c r="G13" s="227" t="s">
        <v>106</v>
      </c>
      <c r="H13" s="227" t="s">
        <v>106</v>
      </c>
      <c r="I13" s="227" t="s">
        <v>106</v>
      </c>
      <c r="J13" s="227" t="s">
        <v>106</v>
      </c>
      <c r="K13" s="227" t="s">
        <v>106</v>
      </c>
      <c r="L13" s="227" t="s">
        <v>106</v>
      </c>
      <c r="M13" s="227" t="s">
        <v>106</v>
      </c>
      <c r="N13" s="227" t="s">
        <v>106</v>
      </c>
      <c r="O13" s="227" t="s">
        <v>106</v>
      </c>
      <c r="P13" s="227" t="s">
        <v>106</v>
      </c>
      <c r="Q13" s="227" t="s">
        <v>106</v>
      </c>
      <c r="R13" s="227" t="s">
        <v>106</v>
      </c>
      <c r="S13" s="227" t="s">
        <v>106</v>
      </c>
      <c r="T13" s="227" t="s">
        <v>106</v>
      </c>
      <c r="U13" s="227" t="s">
        <v>106</v>
      </c>
      <c r="V13" s="227" t="s">
        <v>106</v>
      </c>
      <c r="W13" s="227" t="s">
        <v>106</v>
      </c>
      <c r="X13" s="228" t="s">
        <v>106</v>
      </c>
      <c r="Y13" s="228" t="s">
        <v>106</v>
      </c>
      <c r="Z13" s="228" t="s">
        <v>106</v>
      </c>
      <c r="AA13" s="229" t="s">
        <v>106</v>
      </c>
      <c r="AB13" s="228" t="s">
        <v>106</v>
      </c>
      <c r="AC13" s="228" t="s">
        <v>106</v>
      </c>
      <c r="AD13" s="228" t="s">
        <v>106</v>
      </c>
      <c r="AE13" s="228" t="s">
        <v>106</v>
      </c>
      <c r="AF13" s="228" t="s">
        <v>106</v>
      </c>
      <c r="AG13" s="192"/>
      <c r="AH13" s="215" t="s">
        <v>106</v>
      </c>
    </row>
    <row r="14" spans="1:39">
      <c r="A14" s="87" t="s">
        <v>66</v>
      </c>
      <c r="B14" s="182">
        <v>171350.95</v>
      </c>
      <c r="C14" s="182">
        <v>171350.95</v>
      </c>
      <c r="D14" s="182">
        <v>171350.95</v>
      </c>
      <c r="E14" s="182">
        <v>171350.95</v>
      </c>
      <c r="F14" s="182">
        <v>171350.95</v>
      </c>
      <c r="G14" s="182">
        <v>171350.95</v>
      </c>
      <c r="H14" s="182">
        <v>171350.95</v>
      </c>
      <c r="I14" s="182">
        <v>172005.28</v>
      </c>
      <c r="J14" s="182">
        <v>172005.28</v>
      </c>
      <c r="K14" s="182">
        <v>172005.28</v>
      </c>
      <c r="L14" s="182">
        <v>172005.28</v>
      </c>
      <c r="M14" s="182">
        <v>172005.28</v>
      </c>
      <c r="N14" s="182">
        <v>172005.28</v>
      </c>
      <c r="O14" s="182">
        <v>172005.28</v>
      </c>
      <c r="P14" s="182">
        <v>172654.18</v>
      </c>
      <c r="Q14" s="182">
        <v>172654.18</v>
      </c>
      <c r="R14" s="182">
        <v>172654.18</v>
      </c>
      <c r="S14" s="182">
        <v>172654.18</v>
      </c>
      <c r="T14" s="182">
        <v>172654.18</v>
      </c>
      <c r="U14" s="182">
        <v>172654.18</v>
      </c>
      <c r="V14" s="182">
        <v>172654.18</v>
      </c>
      <c r="W14" s="182">
        <v>173406.24</v>
      </c>
      <c r="X14" s="182">
        <v>173406.24</v>
      </c>
      <c r="Y14" s="182">
        <v>173406.24</v>
      </c>
      <c r="Z14" s="182">
        <v>173406.24</v>
      </c>
      <c r="AA14" s="220">
        <v>173406.24</v>
      </c>
      <c r="AB14" s="182">
        <v>173406.24</v>
      </c>
      <c r="AC14" s="182">
        <v>173406.24</v>
      </c>
      <c r="AD14" s="182">
        <v>174011.75</v>
      </c>
      <c r="AE14" s="182">
        <v>174011.75</v>
      </c>
      <c r="AF14" s="182">
        <v>174011.75</v>
      </c>
      <c r="AG14" s="200"/>
      <c r="AH14" s="182">
        <v>170895.35</v>
      </c>
    </row>
    <row r="15" spans="1:39" ht="25.5">
      <c r="A15" s="87" t="s">
        <v>67</v>
      </c>
      <c r="B15" s="183">
        <v>1109</v>
      </c>
      <c r="C15" s="183">
        <v>1109</v>
      </c>
      <c r="D15" s="183">
        <v>1109</v>
      </c>
      <c r="E15" s="183">
        <v>1109</v>
      </c>
      <c r="F15" s="183">
        <v>1109</v>
      </c>
      <c r="G15" s="183">
        <v>1109</v>
      </c>
      <c r="H15" s="183">
        <v>1109</v>
      </c>
      <c r="I15" s="183">
        <v>1109</v>
      </c>
      <c r="J15" s="183">
        <v>1109</v>
      </c>
      <c r="K15" s="183">
        <v>1109</v>
      </c>
      <c r="L15" s="183">
        <v>1109</v>
      </c>
      <c r="M15" s="183">
        <v>1109</v>
      </c>
      <c r="N15" s="183">
        <v>1109</v>
      </c>
      <c r="O15" s="183">
        <v>1109</v>
      </c>
      <c r="P15" s="183">
        <v>1109</v>
      </c>
      <c r="Q15" s="183">
        <v>1109</v>
      </c>
      <c r="R15" s="183">
        <v>1109</v>
      </c>
      <c r="S15" s="183">
        <v>1109</v>
      </c>
      <c r="T15" s="183">
        <v>1109</v>
      </c>
      <c r="U15" s="183">
        <v>1109</v>
      </c>
      <c r="V15" s="183">
        <v>1109</v>
      </c>
      <c r="W15" s="183">
        <v>1109</v>
      </c>
      <c r="X15" s="183">
        <v>1109</v>
      </c>
      <c r="Y15" s="183">
        <v>1109</v>
      </c>
      <c r="Z15" s="183">
        <v>1109</v>
      </c>
      <c r="AA15" s="221">
        <v>1109</v>
      </c>
      <c r="AB15" s="183">
        <v>1109</v>
      </c>
      <c r="AC15" s="183">
        <v>1109</v>
      </c>
      <c r="AD15" s="183">
        <v>1109</v>
      </c>
      <c r="AE15" s="183">
        <v>1109</v>
      </c>
      <c r="AF15" s="183">
        <v>1109</v>
      </c>
      <c r="AG15" s="202"/>
      <c r="AH15" s="183">
        <v>1109</v>
      </c>
    </row>
    <row r="16" spans="1:39" ht="25.5">
      <c r="A16" s="87" t="s">
        <v>68</v>
      </c>
      <c r="B16" s="183">
        <v>4281</v>
      </c>
      <c r="C16" s="183">
        <v>4281</v>
      </c>
      <c r="D16" s="183">
        <v>4281</v>
      </c>
      <c r="E16" s="183">
        <v>4281</v>
      </c>
      <c r="F16" s="183">
        <v>4281</v>
      </c>
      <c r="G16" s="183">
        <v>4281</v>
      </c>
      <c r="H16" s="183">
        <v>4281</v>
      </c>
      <c r="I16" s="183">
        <v>4281</v>
      </c>
      <c r="J16" s="183">
        <v>4281</v>
      </c>
      <c r="K16" s="183">
        <v>4281</v>
      </c>
      <c r="L16" s="183">
        <v>4281</v>
      </c>
      <c r="M16" s="183">
        <v>4281</v>
      </c>
      <c r="N16" s="183">
        <v>4281</v>
      </c>
      <c r="O16" s="183">
        <v>4281</v>
      </c>
      <c r="P16" s="183">
        <v>4281</v>
      </c>
      <c r="Q16" s="183">
        <v>4281</v>
      </c>
      <c r="R16" s="183">
        <v>4281</v>
      </c>
      <c r="S16" s="183">
        <v>4281</v>
      </c>
      <c r="T16" s="183">
        <v>4281</v>
      </c>
      <c r="U16" s="183">
        <v>4281</v>
      </c>
      <c r="V16" s="183">
        <v>4281</v>
      </c>
      <c r="W16" s="183">
        <v>4281</v>
      </c>
      <c r="X16" s="183">
        <v>4281</v>
      </c>
      <c r="Y16" s="183">
        <v>4281</v>
      </c>
      <c r="Z16" s="183">
        <v>4281</v>
      </c>
      <c r="AA16" s="221">
        <v>4281</v>
      </c>
      <c r="AB16" s="183">
        <v>4281</v>
      </c>
      <c r="AC16" s="183">
        <v>4281</v>
      </c>
      <c r="AD16" s="183">
        <v>4281</v>
      </c>
      <c r="AE16" s="183">
        <v>4281</v>
      </c>
      <c r="AF16" s="183">
        <v>4281</v>
      </c>
      <c r="AG16" s="202"/>
      <c r="AH16" s="183">
        <v>4281</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203"/>
      <c r="AH17" s="218"/>
    </row>
    <row r="18" spans="1:34" ht="16.5">
      <c r="A18" s="87" t="s">
        <v>69</v>
      </c>
      <c r="B18" s="215" t="s">
        <v>106</v>
      </c>
      <c r="C18" s="215" t="s">
        <v>106</v>
      </c>
      <c r="D18" s="215" t="s">
        <v>106</v>
      </c>
      <c r="E18" s="215" t="s">
        <v>106</v>
      </c>
      <c r="F18" s="215" t="s">
        <v>106</v>
      </c>
      <c r="G18" s="215" t="s">
        <v>106</v>
      </c>
      <c r="H18" s="215" t="s">
        <v>106</v>
      </c>
      <c r="I18" s="215" t="s">
        <v>106</v>
      </c>
      <c r="J18" s="215" t="s">
        <v>106</v>
      </c>
      <c r="K18" s="215" t="s">
        <v>106</v>
      </c>
      <c r="L18" s="215" t="s">
        <v>106</v>
      </c>
      <c r="M18" s="215" t="s">
        <v>106</v>
      </c>
      <c r="N18" s="215" t="s">
        <v>106</v>
      </c>
      <c r="O18" s="215" t="s">
        <v>106</v>
      </c>
      <c r="P18" s="215" t="s">
        <v>106</v>
      </c>
      <c r="Q18" s="215" t="s">
        <v>106</v>
      </c>
      <c r="R18" s="215" t="s">
        <v>106</v>
      </c>
      <c r="S18" s="215" t="s">
        <v>106</v>
      </c>
      <c r="T18" s="215" t="s">
        <v>106</v>
      </c>
      <c r="U18" s="215" t="s">
        <v>106</v>
      </c>
      <c r="V18" s="215" t="s">
        <v>106</v>
      </c>
      <c r="W18" s="215" t="s">
        <v>106</v>
      </c>
      <c r="X18" s="181" t="s">
        <v>106</v>
      </c>
      <c r="Y18" s="181" t="s">
        <v>106</v>
      </c>
      <c r="Z18" s="181" t="s">
        <v>106</v>
      </c>
      <c r="AA18" s="219" t="s">
        <v>106</v>
      </c>
      <c r="AB18" s="181" t="s">
        <v>106</v>
      </c>
      <c r="AC18" s="181" t="s">
        <v>106</v>
      </c>
      <c r="AD18" s="181" t="s">
        <v>106</v>
      </c>
      <c r="AE18" s="181" t="s">
        <v>106</v>
      </c>
      <c r="AF18" s="181" t="s">
        <v>106</v>
      </c>
      <c r="AG18" s="192"/>
      <c r="AH18" s="215" t="s">
        <v>106</v>
      </c>
    </row>
    <row r="19" spans="1:34" ht="25.5">
      <c r="A19" s="127" t="s">
        <v>70</v>
      </c>
      <c r="B19" s="188">
        <v>42653.2</v>
      </c>
      <c r="C19" s="186">
        <v>42717.1</v>
      </c>
      <c r="D19" s="186">
        <v>42796.2</v>
      </c>
      <c r="E19" s="186">
        <v>42883.8</v>
      </c>
      <c r="F19" s="186">
        <v>42947.199999999997</v>
      </c>
      <c r="G19" s="186">
        <v>43019.9</v>
      </c>
      <c r="H19" s="186">
        <v>43096.3</v>
      </c>
      <c r="I19" s="186">
        <v>43096.3</v>
      </c>
      <c r="J19" s="186">
        <v>43164.1</v>
      </c>
      <c r="K19" s="186">
        <v>43222.8</v>
      </c>
      <c r="L19" s="186">
        <v>43298.5</v>
      </c>
      <c r="M19" s="186">
        <v>43360.5</v>
      </c>
      <c r="N19" s="186">
        <v>43418.9</v>
      </c>
      <c r="O19" s="186">
        <v>43418.9</v>
      </c>
      <c r="P19" s="186">
        <v>43487.9</v>
      </c>
      <c r="Q19" s="186">
        <v>43542.400000000001</v>
      </c>
      <c r="R19" s="186">
        <v>43566.1</v>
      </c>
      <c r="S19" s="186">
        <v>43674.6</v>
      </c>
      <c r="T19" s="186">
        <v>43769.3</v>
      </c>
      <c r="U19" s="186">
        <v>43853.599999999999</v>
      </c>
      <c r="V19" s="186">
        <v>43940.5</v>
      </c>
      <c r="W19" s="186">
        <v>43940.5</v>
      </c>
      <c r="X19" s="186">
        <v>44056.6</v>
      </c>
      <c r="Y19" s="186">
        <v>44176.800000000003</v>
      </c>
      <c r="Z19" s="186">
        <v>44265.7</v>
      </c>
      <c r="AA19" s="222">
        <v>44359.1</v>
      </c>
      <c r="AB19" s="186">
        <v>44450.5</v>
      </c>
      <c r="AC19" s="186">
        <v>44541.3</v>
      </c>
      <c r="AD19" s="186">
        <v>44541.3</v>
      </c>
      <c r="AE19" s="186">
        <v>44541.3</v>
      </c>
      <c r="AF19" s="186">
        <v>44765.4</v>
      </c>
      <c r="AG19" s="201"/>
      <c r="AH19" s="187">
        <v>42653.2</v>
      </c>
    </row>
    <row r="20" spans="1:34" ht="25.5">
      <c r="A20" s="87" t="s">
        <v>71</v>
      </c>
      <c r="B20" s="188" t="s">
        <v>331</v>
      </c>
      <c r="C20" s="188" t="s">
        <v>332</v>
      </c>
      <c r="D20" s="188" t="s">
        <v>333</v>
      </c>
      <c r="E20" s="188" t="s">
        <v>334</v>
      </c>
      <c r="F20" s="187" t="s">
        <v>335</v>
      </c>
      <c r="G20" s="188" t="s">
        <v>336</v>
      </c>
      <c r="H20" s="188" t="s">
        <v>337</v>
      </c>
      <c r="I20" s="188" t="s">
        <v>338</v>
      </c>
      <c r="J20" s="188" t="s">
        <v>339</v>
      </c>
      <c r="K20" s="188" t="s">
        <v>340</v>
      </c>
      <c r="L20" s="188" t="s">
        <v>341</v>
      </c>
      <c r="M20" s="188" t="s">
        <v>342</v>
      </c>
      <c r="N20" s="188" t="s">
        <v>343</v>
      </c>
      <c r="O20" s="188" t="s">
        <v>343</v>
      </c>
      <c r="P20" s="187" t="s">
        <v>344</v>
      </c>
      <c r="Q20" s="187" t="s">
        <v>345</v>
      </c>
      <c r="R20" s="187" t="s">
        <v>346</v>
      </c>
      <c r="S20" s="187" t="s">
        <v>347</v>
      </c>
      <c r="T20" s="187" t="s">
        <v>348</v>
      </c>
      <c r="U20" s="187" t="s">
        <v>349</v>
      </c>
      <c r="V20" s="187" t="s">
        <v>350</v>
      </c>
      <c r="W20" s="187" t="s">
        <v>350</v>
      </c>
      <c r="X20" s="188" t="s">
        <v>351</v>
      </c>
      <c r="Y20" s="188" t="s">
        <v>352</v>
      </c>
      <c r="Z20" s="188" t="s">
        <v>353</v>
      </c>
      <c r="AA20" s="223" t="s">
        <v>354</v>
      </c>
      <c r="AB20" s="188" t="s">
        <v>355</v>
      </c>
      <c r="AC20" s="188" t="s">
        <v>356</v>
      </c>
      <c r="AD20" s="188" t="s">
        <v>357</v>
      </c>
      <c r="AE20" s="188" t="s">
        <v>357</v>
      </c>
      <c r="AF20" s="188" t="s">
        <v>358</v>
      </c>
      <c r="AG20" s="206"/>
      <c r="AH20" s="187" t="s">
        <v>359</v>
      </c>
    </row>
    <row r="21" spans="1:34" ht="25.5">
      <c r="A21" s="87" t="s">
        <v>72</v>
      </c>
      <c r="B21" s="188" t="s">
        <v>360</v>
      </c>
      <c r="C21" s="183">
        <v>30305</v>
      </c>
      <c r="D21" s="183">
        <v>30305</v>
      </c>
      <c r="E21" s="183">
        <v>30305</v>
      </c>
      <c r="F21" s="183">
        <v>30305</v>
      </c>
      <c r="G21" s="183">
        <v>30305</v>
      </c>
      <c r="H21" s="183">
        <v>30305</v>
      </c>
      <c r="I21" s="183">
        <v>31180</v>
      </c>
      <c r="J21" s="183">
        <v>31180</v>
      </c>
      <c r="K21" s="183">
        <v>31180</v>
      </c>
      <c r="L21" s="183">
        <v>31180</v>
      </c>
      <c r="M21" s="183">
        <v>31180</v>
      </c>
      <c r="N21" s="183">
        <v>31180</v>
      </c>
      <c r="O21" s="183">
        <v>31180</v>
      </c>
      <c r="P21" s="183">
        <v>32069</v>
      </c>
      <c r="Q21" s="183">
        <v>32069</v>
      </c>
      <c r="R21" s="183">
        <v>32069</v>
      </c>
      <c r="S21" s="183">
        <v>32069</v>
      </c>
      <c r="T21" s="183">
        <v>32069</v>
      </c>
      <c r="U21" s="183">
        <v>32069</v>
      </c>
      <c r="V21" s="183">
        <v>32069</v>
      </c>
      <c r="W21" s="183">
        <v>33073</v>
      </c>
      <c r="X21" s="183">
        <v>33073</v>
      </c>
      <c r="Y21" s="183">
        <v>33073</v>
      </c>
      <c r="Z21" s="183">
        <v>33073</v>
      </c>
      <c r="AA21" s="221">
        <v>33073</v>
      </c>
      <c r="AB21" s="183">
        <v>33073</v>
      </c>
      <c r="AC21" s="183">
        <v>33073</v>
      </c>
      <c r="AD21" s="183">
        <v>34246</v>
      </c>
      <c r="AE21" s="183">
        <v>34246</v>
      </c>
      <c r="AF21" s="183">
        <v>34246</v>
      </c>
      <c r="AG21" s="201"/>
      <c r="AH21" s="187" t="s">
        <v>361</v>
      </c>
    </row>
    <row r="22" spans="1:34" ht="25.5">
      <c r="A22" s="87" t="s">
        <v>73</v>
      </c>
      <c r="B22" s="188" t="s">
        <v>362</v>
      </c>
      <c r="C22" s="183">
        <v>108985</v>
      </c>
      <c r="D22" s="183">
        <v>109069</v>
      </c>
      <c r="E22" s="183">
        <v>109147</v>
      </c>
      <c r="F22" s="183">
        <v>109227</v>
      </c>
      <c r="G22" s="183">
        <v>109306</v>
      </c>
      <c r="H22" s="183">
        <v>109409</v>
      </c>
      <c r="I22" s="183">
        <v>109461</v>
      </c>
      <c r="J22" s="183">
        <v>109544</v>
      </c>
      <c r="K22" s="183">
        <v>109623</v>
      </c>
      <c r="L22" s="183">
        <v>109705</v>
      </c>
      <c r="M22" s="183">
        <v>109787</v>
      </c>
      <c r="N22" s="183">
        <v>109922</v>
      </c>
      <c r="O22" s="183">
        <v>109922</v>
      </c>
      <c r="P22" s="183">
        <v>110048</v>
      </c>
      <c r="Q22" s="183">
        <v>110132</v>
      </c>
      <c r="R22" s="183">
        <v>110227</v>
      </c>
      <c r="S22" s="183">
        <v>110312</v>
      </c>
      <c r="T22" s="183">
        <v>110404</v>
      </c>
      <c r="U22" s="183">
        <v>110502</v>
      </c>
      <c r="V22" s="183">
        <v>110605</v>
      </c>
      <c r="W22" s="183">
        <v>110709</v>
      </c>
      <c r="X22" s="183">
        <v>110797</v>
      </c>
      <c r="Y22" s="183">
        <v>110909</v>
      </c>
      <c r="Z22" s="183">
        <v>111025</v>
      </c>
      <c r="AA22" s="221">
        <v>111145</v>
      </c>
      <c r="AB22" s="183">
        <v>111255</v>
      </c>
      <c r="AC22" s="183">
        <v>111370</v>
      </c>
      <c r="AD22" s="183">
        <v>111456</v>
      </c>
      <c r="AE22" s="183">
        <v>111456</v>
      </c>
      <c r="AF22" s="183">
        <v>111667</v>
      </c>
      <c r="AG22" s="201">
        <f>AF22-AH22</f>
        <v>2804</v>
      </c>
      <c r="AH22" s="187">
        <v>108863</v>
      </c>
    </row>
    <row r="23" spans="1:34">
      <c r="A23" s="189" t="s">
        <v>136</v>
      </c>
      <c r="B23" s="188" t="s">
        <v>363</v>
      </c>
      <c r="C23" s="183">
        <v>755</v>
      </c>
      <c r="D23" s="183">
        <v>755</v>
      </c>
      <c r="E23" s="183">
        <v>755</v>
      </c>
      <c r="F23" s="183">
        <v>755</v>
      </c>
      <c r="G23" s="183">
        <v>755</v>
      </c>
      <c r="H23" s="183">
        <v>755</v>
      </c>
      <c r="I23" s="183">
        <v>796</v>
      </c>
      <c r="J23" s="183">
        <v>796</v>
      </c>
      <c r="K23" s="183">
        <v>796</v>
      </c>
      <c r="L23" s="183">
        <v>796</v>
      </c>
      <c r="M23" s="183">
        <v>796</v>
      </c>
      <c r="N23" s="183">
        <v>796</v>
      </c>
      <c r="O23" s="183">
        <v>796</v>
      </c>
      <c r="P23" s="183">
        <v>808</v>
      </c>
      <c r="Q23" s="183">
        <v>808</v>
      </c>
      <c r="R23" s="183">
        <v>808</v>
      </c>
      <c r="S23" s="183">
        <v>808</v>
      </c>
      <c r="T23" s="183">
        <v>808</v>
      </c>
      <c r="U23" s="183">
        <v>808</v>
      </c>
      <c r="V23" s="183">
        <v>808</v>
      </c>
      <c r="W23" s="183">
        <v>827</v>
      </c>
      <c r="X23" s="183">
        <v>827</v>
      </c>
      <c r="Y23" s="183">
        <v>827</v>
      </c>
      <c r="Z23" s="183">
        <v>827</v>
      </c>
      <c r="AA23" s="221">
        <v>827</v>
      </c>
      <c r="AB23" s="183">
        <v>827</v>
      </c>
      <c r="AC23" s="183">
        <v>827</v>
      </c>
      <c r="AD23" s="183">
        <v>863</v>
      </c>
      <c r="AE23" s="183">
        <v>863</v>
      </c>
      <c r="AF23" s="183">
        <v>863</v>
      </c>
      <c r="AG23" s="205"/>
      <c r="AH23" s="187" t="s">
        <v>363</v>
      </c>
    </row>
    <row r="24" spans="1:34">
      <c r="A24" s="189" t="s">
        <v>139</v>
      </c>
      <c r="B24" s="188" t="s">
        <v>364</v>
      </c>
      <c r="C24" s="183">
        <v>716</v>
      </c>
      <c r="D24" s="183">
        <v>716</v>
      </c>
      <c r="E24" s="183">
        <v>716</v>
      </c>
      <c r="F24" s="183">
        <v>716</v>
      </c>
      <c r="G24" s="183">
        <v>716</v>
      </c>
      <c r="H24" s="183">
        <v>716</v>
      </c>
      <c r="I24" s="183">
        <v>748</v>
      </c>
      <c r="J24" s="183">
        <v>748</v>
      </c>
      <c r="K24" s="183">
        <v>748</v>
      </c>
      <c r="L24" s="183">
        <v>748</v>
      </c>
      <c r="M24" s="183">
        <v>748</v>
      </c>
      <c r="N24" s="183">
        <v>748</v>
      </c>
      <c r="O24" s="183">
        <v>748</v>
      </c>
      <c r="P24" s="183">
        <v>760</v>
      </c>
      <c r="Q24" s="183">
        <v>760</v>
      </c>
      <c r="R24" s="183">
        <v>760</v>
      </c>
      <c r="S24" s="183">
        <v>760</v>
      </c>
      <c r="T24" s="183">
        <v>760</v>
      </c>
      <c r="U24" s="183">
        <v>760</v>
      </c>
      <c r="V24" s="183">
        <v>760</v>
      </c>
      <c r="W24" s="183">
        <v>794</v>
      </c>
      <c r="X24" s="183">
        <v>794</v>
      </c>
      <c r="Y24" s="183">
        <v>794</v>
      </c>
      <c r="Z24" s="183">
        <v>794</v>
      </c>
      <c r="AA24" s="221">
        <v>794</v>
      </c>
      <c r="AB24" s="183">
        <v>794</v>
      </c>
      <c r="AC24" s="183">
        <v>794</v>
      </c>
      <c r="AD24" s="183">
        <v>815</v>
      </c>
      <c r="AE24" s="183">
        <v>815</v>
      </c>
      <c r="AF24" s="183">
        <v>815</v>
      </c>
      <c r="AG24" s="205"/>
      <c r="AH24" s="187" t="s">
        <v>365</v>
      </c>
    </row>
    <row r="25" spans="1:34">
      <c r="A25" s="189" t="s">
        <v>142</v>
      </c>
      <c r="B25" s="188" t="s">
        <v>366</v>
      </c>
      <c r="C25" s="183">
        <v>324</v>
      </c>
      <c r="D25" s="183">
        <v>324</v>
      </c>
      <c r="E25" s="183">
        <v>324</v>
      </c>
      <c r="F25" s="183">
        <v>324</v>
      </c>
      <c r="G25" s="183">
        <v>324</v>
      </c>
      <c r="H25" s="183">
        <v>324</v>
      </c>
      <c r="I25" s="183">
        <v>324</v>
      </c>
      <c r="J25" s="183">
        <v>324</v>
      </c>
      <c r="K25" s="183">
        <v>324</v>
      </c>
      <c r="L25" s="183">
        <v>324</v>
      </c>
      <c r="M25" s="183">
        <v>324</v>
      </c>
      <c r="N25" s="183">
        <v>324</v>
      </c>
      <c r="O25" s="183">
        <v>324</v>
      </c>
      <c r="P25" s="183">
        <v>325</v>
      </c>
      <c r="Q25" s="183">
        <v>325</v>
      </c>
      <c r="R25" s="183">
        <v>325</v>
      </c>
      <c r="S25" s="183">
        <v>325</v>
      </c>
      <c r="T25" s="183">
        <v>325</v>
      </c>
      <c r="U25" s="183">
        <v>325</v>
      </c>
      <c r="V25" s="183">
        <v>325</v>
      </c>
      <c r="W25" s="183">
        <v>326</v>
      </c>
      <c r="X25" s="183">
        <v>326</v>
      </c>
      <c r="Y25" s="183">
        <v>326</v>
      </c>
      <c r="Z25" s="183">
        <v>326</v>
      </c>
      <c r="AA25" s="221">
        <v>326</v>
      </c>
      <c r="AB25" s="183">
        <v>326</v>
      </c>
      <c r="AC25" s="183">
        <v>326</v>
      </c>
      <c r="AD25" s="183">
        <v>329</v>
      </c>
      <c r="AE25" s="183">
        <v>329</v>
      </c>
      <c r="AF25" s="183">
        <v>329</v>
      </c>
      <c r="AG25" s="205"/>
      <c r="AH25" s="187" t="s">
        <v>366</v>
      </c>
    </row>
    <row r="26" spans="1:34">
      <c r="A26" s="189" t="s">
        <v>145</v>
      </c>
      <c r="B26" s="188" t="s">
        <v>367</v>
      </c>
      <c r="C26" s="183">
        <v>43</v>
      </c>
      <c r="D26" s="183">
        <v>43</v>
      </c>
      <c r="E26" s="183">
        <v>43</v>
      </c>
      <c r="F26" s="183">
        <v>43</v>
      </c>
      <c r="G26" s="183">
        <v>43</v>
      </c>
      <c r="H26" s="183">
        <v>43</v>
      </c>
      <c r="I26" s="183">
        <v>43</v>
      </c>
      <c r="J26" s="183">
        <v>43</v>
      </c>
      <c r="K26" s="183">
        <v>43</v>
      </c>
      <c r="L26" s="183">
        <v>43</v>
      </c>
      <c r="M26" s="183">
        <v>43</v>
      </c>
      <c r="N26" s="183">
        <v>43</v>
      </c>
      <c r="O26" s="183">
        <v>43</v>
      </c>
      <c r="P26" s="183">
        <v>46</v>
      </c>
      <c r="Q26" s="183">
        <v>46</v>
      </c>
      <c r="R26" s="183">
        <v>46</v>
      </c>
      <c r="S26" s="183">
        <v>46</v>
      </c>
      <c r="T26" s="183">
        <v>46</v>
      </c>
      <c r="U26" s="183">
        <v>46</v>
      </c>
      <c r="V26" s="183">
        <v>46</v>
      </c>
      <c r="W26" s="183">
        <v>46</v>
      </c>
      <c r="X26" s="183">
        <v>46</v>
      </c>
      <c r="Y26" s="183">
        <v>46</v>
      </c>
      <c r="Z26" s="183">
        <v>46</v>
      </c>
      <c r="AA26" s="221">
        <v>46</v>
      </c>
      <c r="AB26" s="183">
        <v>46</v>
      </c>
      <c r="AC26" s="183">
        <v>46</v>
      </c>
      <c r="AD26" s="183">
        <v>48</v>
      </c>
      <c r="AE26" s="183">
        <v>48</v>
      </c>
      <c r="AF26" s="183">
        <v>48</v>
      </c>
      <c r="AG26" s="205"/>
      <c r="AH26" s="187" t="s">
        <v>368</v>
      </c>
    </row>
    <row r="27" spans="1:34">
      <c r="A27" s="189" t="s">
        <v>148</v>
      </c>
      <c r="B27" s="188" t="s">
        <v>369</v>
      </c>
      <c r="C27" s="183">
        <v>1005</v>
      </c>
      <c r="D27" s="183">
        <v>1005</v>
      </c>
      <c r="E27" s="183">
        <v>1005</v>
      </c>
      <c r="F27" s="183">
        <v>1005</v>
      </c>
      <c r="G27" s="183">
        <v>1005</v>
      </c>
      <c r="H27" s="183">
        <v>1005</v>
      </c>
      <c r="I27" s="183">
        <v>1013</v>
      </c>
      <c r="J27" s="183">
        <v>1013</v>
      </c>
      <c r="K27" s="183">
        <v>1013</v>
      </c>
      <c r="L27" s="183">
        <v>1013</v>
      </c>
      <c r="M27" s="183">
        <v>1013</v>
      </c>
      <c r="N27" s="183">
        <v>1013</v>
      </c>
      <c r="O27" s="183">
        <v>1013</v>
      </c>
      <c r="P27" s="183">
        <v>1013</v>
      </c>
      <c r="Q27" s="183">
        <v>1013</v>
      </c>
      <c r="R27" s="183">
        <v>1013</v>
      </c>
      <c r="S27" s="183">
        <v>1013</v>
      </c>
      <c r="T27" s="183">
        <v>1013</v>
      </c>
      <c r="U27" s="183">
        <v>1013</v>
      </c>
      <c r="V27" s="183">
        <v>1013</v>
      </c>
      <c r="W27" s="183">
        <v>1026</v>
      </c>
      <c r="X27" s="183">
        <v>1026</v>
      </c>
      <c r="Y27" s="183">
        <v>1026</v>
      </c>
      <c r="Z27" s="183">
        <v>1026</v>
      </c>
      <c r="AA27" s="221">
        <v>1026</v>
      </c>
      <c r="AB27" s="183">
        <v>1026</v>
      </c>
      <c r="AC27" s="183">
        <v>1026</v>
      </c>
      <c r="AD27" s="183">
        <v>1060</v>
      </c>
      <c r="AE27" s="183">
        <v>1060</v>
      </c>
      <c r="AF27" s="183">
        <v>1060</v>
      </c>
      <c r="AG27" s="205"/>
      <c r="AH27" s="187" t="s">
        <v>370</v>
      </c>
    </row>
    <row r="28" spans="1:34">
      <c r="A28" s="189" t="s">
        <v>151</v>
      </c>
      <c r="B28" s="188" t="s">
        <v>371</v>
      </c>
      <c r="C28" s="183">
        <v>164</v>
      </c>
      <c r="D28" s="183">
        <v>164</v>
      </c>
      <c r="E28" s="183">
        <v>164</v>
      </c>
      <c r="F28" s="183">
        <v>164</v>
      </c>
      <c r="G28" s="183">
        <v>164</v>
      </c>
      <c r="H28" s="183">
        <v>164</v>
      </c>
      <c r="I28" s="183">
        <v>172</v>
      </c>
      <c r="J28" s="183">
        <v>172</v>
      </c>
      <c r="K28" s="183">
        <v>172</v>
      </c>
      <c r="L28" s="183">
        <v>172</v>
      </c>
      <c r="M28" s="183">
        <v>172</v>
      </c>
      <c r="N28" s="183">
        <v>172</v>
      </c>
      <c r="O28" s="183">
        <v>172</v>
      </c>
      <c r="P28" s="183">
        <v>180</v>
      </c>
      <c r="Q28" s="183">
        <v>180</v>
      </c>
      <c r="R28" s="183">
        <v>180</v>
      </c>
      <c r="S28" s="183">
        <v>180</v>
      </c>
      <c r="T28" s="183">
        <v>180</v>
      </c>
      <c r="U28" s="183">
        <v>180</v>
      </c>
      <c r="V28" s="183">
        <v>180</v>
      </c>
      <c r="W28" s="183">
        <v>189</v>
      </c>
      <c r="X28" s="183">
        <v>189</v>
      </c>
      <c r="Y28" s="183">
        <v>189</v>
      </c>
      <c r="Z28" s="183">
        <v>189</v>
      </c>
      <c r="AA28" s="221">
        <v>189</v>
      </c>
      <c r="AB28" s="183">
        <v>189</v>
      </c>
      <c r="AC28" s="183">
        <v>189</v>
      </c>
      <c r="AD28" s="183">
        <v>199</v>
      </c>
      <c r="AE28" s="183">
        <v>199</v>
      </c>
      <c r="AF28" s="183">
        <v>199</v>
      </c>
      <c r="AG28" s="205"/>
      <c r="AH28" s="187" t="s">
        <v>372</v>
      </c>
    </row>
    <row r="29" spans="1:34">
      <c r="A29" s="189" t="s">
        <v>154</v>
      </c>
      <c r="B29" s="188" t="s">
        <v>373</v>
      </c>
      <c r="C29" s="183">
        <v>54</v>
      </c>
      <c r="D29" s="183">
        <v>54</v>
      </c>
      <c r="E29" s="183">
        <v>54</v>
      </c>
      <c r="F29" s="183">
        <v>54</v>
      </c>
      <c r="G29" s="183">
        <v>54</v>
      </c>
      <c r="H29" s="183">
        <v>54</v>
      </c>
      <c r="I29" s="183">
        <v>58</v>
      </c>
      <c r="J29" s="183">
        <v>58</v>
      </c>
      <c r="K29" s="183">
        <v>58</v>
      </c>
      <c r="L29" s="183">
        <v>58</v>
      </c>
      <c r="M29" s="183">
        <v>58</v>
      </c>
      <c r="N29" s="183">
        <v>58</v>
      </c>
      <c r="O29" s="183">
        <v>58</v>
      </c>
      <c r="P29" s="183">
        <v>62</v>
      </c>
      <c r="Q29" s="183">
        <v>62</v>
      </c>
      <c r="R29" s="183">
        <v>62</v>
      </c>
      <c r="S29" s="183">
        <v>62</v>
      </c>
      <c r="T29" s="183">
        <v>62</v>
      </c>
      <c r="U29" s="183">
        <v>62</v>
      </c>
      <c r="V29" s="183">
        <v>62</v>
      </c>
      <c r="W29" s="183">
        <v>65</v>
      </c>
      <c r="X29" s="183">
        <v>65</v>
      </c>
      <c r="Y29" s="183">
        <v>65</v>
      </c>
      <c r="Z29" s="183">
        <v>65</v>
      </c>
      <c r="AA29" s="221">
        <v>65</v>
      </c>
      <c r="AB29" s="183">
        <v>65</v>
      </c>
      <c r="AC29" s="183">
        <v>65</v>
      </c>
      <c r="AD29" s="183">
        <v>74</v>
      </c>
      <c r="AE29" s="183">
        <v>74</v>
      </c>
      <c r="AF29" s="183">
        <v>74</v>
      </c>
      <c r="AG29" s="205"/>
      <c r="AH29" s="187" t="s">
        <v>374</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207"/>
      <c r="AH30" s="218"/>
    </row>
    <row r="31" spans="1:34" ht="16.5">
      <c r="A31" s="87" t="s">
        <v>74</v>
      </c>
      <c r="B31" s="215" t="s">
        <v>157</v>
      </c>
      <c r="C31" s="215" t="s">
        <v>157</v>
      </c>
      <c r="D31" s="215" t="s">
        <v>157</v>
      </c>
      <c r="E31" s="215" t="s">
        <v>157</v>
      </c>
      <c r="F31" s="215" t="s">
        <v>157</v>
      </c>
      <c r="G31" s="215" t="s">
        <v>157</v>
      </c>
      <c r="H31" s="215" t="s">
        <v>157</v>
      </c>
      <c r="I31" s="215" t="s">
        <v>157</v>
      </c>
      <c r="J31" s="215" t="s">
        <v>157</v>
      </c>
      <c r="K31" s="215" t="s">
        <v>157</v>
      </c>
      <c r="L31" s="215" t="s">
        <v>157</v>
      </c>
      <c r="M31" s="215" t="s">
        <v>157</v>
      </c>
      <c r="N31" s="215" t="s">
        <v>157</v>
      </c>
      <c r="O31" s="215" t="s">
        <v>157</v>
      </c>
      <c r="P31" s="215" t="s">
        <v>157</v>
      </c>
      <c r="Q31" s="215" t="s">
        <v>157</v>
      </c>
      <c r="R31" s="215" t="s">
        <v>157</v>
      </c>
      <c r="S31" s="215" t="s">
        <v>157</v>
      </c>
      <c r="T31" s="215" t="s">
        <v>157</v>
      </c>
      <c r="U31" s="215" t="s">
        <v>157</v>
      </c>
      <c r="V31" s="215" t="s">
        <v>157</v>
      </c>
      <c r="W31" s="215" t="s">
        <v>157</v>
      </c>
      <c r="X31" s="181" t="s">
        <v>157</v>
      </c>
      <c r="Y31" s="181" t="s">
        <v>157</v>
      </c>
      <c r="Z31" s="181" t="s">
        <v>157</v>
      </c>
      <c r="AA31" s="219" t="s">
        <v>157</v>
      </c>
      <c r="AB31" s="181" t="s">
        <v>157</v>
      </c>
      <c r="AC31" s="181" t="s">
        <v>157</v>
      </c>
      <c r="AD31" s="181" t="s">
        <v>157</v>
      </c>
      <c r="AE31" s="181" t="s">
        <v>157</v>
      </c>
      <c r="AF31" s="181" t="s">
        <v>157</v>
      </c>
      <c r="AG31" s="192"/>
      <c r="AH31" s="215" t="s">
        <v>157</v>
      </c>
    </row>
    <row r="32" spans="1:34" ht="25.5">
      <c r="A32" s="127" t="s">
        <v>77</v>
      </c>
      <c r="B32" s="190" t="s">
        <v>158</v>
      </c>
      <c r="C32" s="190" t="s">
        <v>158</v>
      </c>
      <c r="D32" s="190" t="s">
        <v>158</v>
      </c>
      <c r="E32" s="190" t="s">
        <v>158</v>
      </c>
      <c r="F32" s="190" t="s">
        <v>158</v>
      </c>
      <c r="G32" s="190" t="s">
        <v>158</v>
      </c>
      <c r="H32" s="190" t="s">
        <v>158</v>
      </c>
      <c r="I32" s="187" t="s">
        <v>158</v>
      </c>
      <c r="J32" s="190" t="s">
        <v>158</v>
      </c>
      <c r="K32" s="190" t="s">
        <v>158</v>
      </c>
      <c r="L32" s="190" t="s">
        <v>158</v>
      </c>
      <c r="M32" s="190" t="s">
        <v>158</v>
      </c>
      <c r="N32" s="190" t="s">
        <v>158</v>
      </c>
      <c r="O32" s="190" t="s">
        <v>158</v>
      </c>
      <c r="P32" s="190" t="s">
        <v>158</v>
      </c>
      <c r="Q32" s="190" t="s">
        <v>158</v>
      </c>
      <c r="R32" s="190" t="s">
        <v>158</v>
      </c>
      <c r="S32" s="190" t="s">
        <v>158</v>
      </c>
      <c r="T32" s="190" t="s">
        <v>158</v>
      </c>
      <c r="U32" s="190" t="s">
        <v>158</v>
      </c>
      <c r="V32" s="190" t="s">
        <v>158</v>
      </c>
      <c r="W32" s="190" t="s">
        <v>158</v>
      </c>
      <c r="X32" s="191" t="s">
        <v>158</v>
      </c>
      <c r="Y32" s="191" t="s">
        <v>158</v>
      </c>
      <c r="Z32" s="191" t="s">
        <v>158</v>
      </c>
      <c r="AA32" s="224" t="s">
        <v>158</v>
      </c>
      <c r="AB32" s="191" t="s">
        <v>158</v>
      </c>
      <c r="AC32" s="191" t="s">
        <v>158</v>
      </c>
      <c r="AD32" s="191" t="s">
        <v>158</v>
      </c>
      <c r="AE32" s="191" t="s">
        <v>158</v>
      </c>
      <c r="AF32" s="191" t="s">
        <v>158</v>
      </c>
      <c r="AG32" s="209"/>
      <c r="AH32" s="190" t="s">
        <v>158</v>
      </c>
    </row>
    <row r="33" spans="1:34" ht="25.5">
      <c r="A33" s="87" t="s">
        <v>80</v>
      </c>
      <c r="B33" s="187" t="s">
        <v>590</v>
      </c>
      <c r="C33" s="187" t="s">
        <v>329</v>
      </c>
      <c r="D33" s="187" t="s">
        <v>375</v>
      </c>
      <c r="E33" s="187" t="s">
        <v>376</v>
      </c>
      <c r="F33" s="187" t="s">
        <v>377</v>
      </c>
      <c r="G33" s="187" t="s">
        <v>375</v>
      </c>
      <c r="H33" s="187" t="s">
        <v>378</v>
      </c>
      <c r="I33" s="187" t="s">
        <v>379</v>
      </c>
      <c r="J33" s="187" t="s">
        <v>380</v>
      </c>
      <c r="K33" s="187" t="s">
        <v>381</v>
      </c>
      <c r="L33" s="187" t="s">
        <v>382</v>
      </c>
      <c r="M33" s="187" t="s">
        <v>381</v>
      </c>
      <c r="N33" s="187" t="s">
        <v>382</v>
      </c>
      <c r="O33" s="187" t="s">
        <v>383</v>
      </c>
      <c r="P33" s="187" t="s">
        <v>382</v>
      </c>
      <c r="Q33" s="187" t="s">
        <v>384</v>
      </c>
      <c r="R33" s="187" t="s">
        <v>321</v>
      </c>
      <c r="S33" s="187" t="s">
        <v>385</v>
      </c>
      <c r="T33" s="187" t="s">
        <v>386</v>
      </c>
      <c r="U33" s="187" t="s">
        <v>387</v>
      </c>
      <c r="V33" s="187" t="s">
        <v>387</v>
      </c>
      <c r="W33" s="187" t="s">
        <v>387</v>
      </c>
      <c r="X33" s="188" t="s">
        <v>388</v>
      </c>
      <c r="Y33" s="188" t="s">
        <v>389</v>
      </c>
      <c r="Z33" s="188" t="s">
        <v>389</v>
      </c>
      <c r="AA33" s="223" t="s">
        <v>390</v>
      </c>
      <c r="AB33" s="188" t="s">
        <v>391</v>
      </c>
      <c r="AC33" s="188" t="s">
        <v>392</v>
      </c>
      <c r="AD33" s="188" t="s">
        <v>393</v>
      </c>
      <c r="AE33" s="188" t="s">
        <v>392</v>
      </c>
      <c r="AF33" s="188" t="s">
        <v>394</v>
      </c>
      <c r="AG33" s="206"/>
      <c r="AH33" s="187" t="s">
        <v>395</v>
      </c>
    </row>
    <row r="34" spans="1:34" ht="15.75" thickBot="1">
      <c r="A34" s="139" t="s">
        <v>81</v>
      </c>
      <c r="B34" s="187" t="s">
        <v>591</v>
      </c>
      <c r="C34" s="187" t="s">
        <v>330</v>
      </c>
      <c r="D34" s="187" t="s">
        <v>330</v>
      </c>
      <c r="E34" s="187" t="s">
        <v>330</v>
      </c>
      <c r="F34" s="187" t="s">
        <v>290</v>
      </c>
      <c r="G34" s="187" t="s">
        <v>330</v>
      </c>
      <c r="H34" s="187" t="s">
        <v>330</v>
      </c>
      <c r="I34" s="187" t="s">
        <v>330</v>
      </c>
      <c r="J34" s="187" t="s">
        <v>330</v>
      </c>
      <c r="K34" s="187" t="s">
        <v>330</v>
      </c>
      <c r="L34" s="187" t="s">
        <v>330</v>
      </c>
      <c r="M34" s="187" t="s">
        <v>330</v>
      </c>
      <c r="N34" s="187" t="s">
        <v>330</v>
      </c>
      <c r="O34" s="187" t="s">
        <v>330</v>
      </c>
      <c r="P34" s="187" t="s">
        <v>330</v>
      </c>
      <c r="Q34" s="187" t="s">
        <v>330</v>
      </c>
      <c r="R34" s="187" t="s">
        <v>330</v>
      </c>
      <c r="S34" s="187" t="s">
        <v>330</v>
      </c>
      <c r="T34" s="187" t="s">
        <v>330</v>
      </c>
      <c r="U34" s="187" t="s">
        <v>330</v>
      </c>
      <c r="V34" s="187" t="s">
        <v>330</v>
      </c>
      <c r="W34" s="187" t="s">
        <v>330</v>
      </c>
      <c r="X34" s="188" t="s">
        <v>290</v>
      </c>
      <c r="Y34" s="188" t="s">
        <v>290</v>
      </c>
      <c r="Z34" s="188" t="s">
        <v>290</v>
      </c>
      <c r="AA34" s="223" t="s">
        <v>290</v>
      </c>
      <c r="AB34" s="188" t="s">
        <v>290</v>
      </c>
      <c r="AC34" s="188" t="s">
        <v>396</v>
      </c>
      <c r="AD34" s="188" t="s">
        <v>396</v>
      </c>
      <c r="AE34" s="188" t="s">
        <v>396</v>
      </c>
      <c r="AF34" s="188" t="s">
        <v>397</v>
      </c>
      <c r="AG34" s="206"/>
      <c r="AH34" s="187" t="s">
        <v>290</v>
      </c>
    </row>
    <row r="35" spans="1:34">
      <c r="AG35" s="211"/>
    </row>
    <row r="36" spans="1:34">
      <c r="AG36" s="211"/>
    </row>
  </sheetData>
  <mergeCells count="1">
    <mergeCell ref="A1:AH1"/>
  </mergeCells>
  <pageMargins left="0.7" right="0.7" top="0.75" bottom="0.75" header="0.3" footer="0.3"/>
  <pageSetup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BEB8-8D47-4F14-BBE2-D4E81FF17F8B}">
  <dimension ref="A1:AL36"/>
  <sheetViews>
    <sheetView topLeftCell="I3" workbookViewId="0">
      <selection activeCell="AF23" sqref="AF23"/>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1" width="8.7109375" style="20"/>
    <col min="32" max="32" width="8.7109375" style="144"/>
    <col min="33" max="33" width="10.85546875" style="144" customWidth="1"/>
    <col min="34" max="34" width="11" customWidth="1"/>
    <col min="35" max="35" width="11.42578125" customWidth="1"/>
  </cols>
  <sheetData>
    <row r="1" spans="1:38"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row>
    <row r="2" spans="1:38" ht="15.75">
      <c r="A2" s="82"/>
      <c r="B2" s="83">
        <v>44348</v>
      </c>
      <c r="C2" s="83">
        <v>44349</v>
      </c>
      <c r="D2" s="83">
        <v>44350</v>
      </c>
      <c r="E2" s="83">
        <v>44351</v>
      </c>
      <c r="F2" s="83">
        <v>44352</v>
      </c>
      <c r="G2" s="83">
        <v>44353</v>
      </c>
      <c r="H2" s="83">
        <v>44354</v>
      </c>
      <c r="I2" s="83">
        <v>44355</v>
      </c>
      <c r="J2" s="83">
        <v>44356</v>
      </c>
      <c r="K2" s="83">
        <v>44357</v>
      </c>
      <c r="L2" s="83">
        <v>44358</v>
      </c>
      <c r="M2" s="83">
        <v>44359</v>
      </c>
      <c r="N2" s="83">
        <v>44360</v>
      </c>
      <c r="O2" s="83">
        <v>44361</v>
      </c>
      <c r="P2" s="83">
        <v>44362</v>
      </c>
      <c r="Q2" s="83">
        <v>44363</v>
      </c>
      <c r="R2" s="83">
        <v>44364</v>
      </c>
      <c r="S2" s="83">
        <v>44365</v>
      </c>
      <c r="T2" s="83">
        <v>44366</v>
      </c>
      <c r="U2" s="83">
        <v>44367</v>
      </c>
      <c r="V2" s="83">
        <v>44368</v>
      </c>
      <c r="W2" s="83">
        <v>44369</v>
      </c>
      <c r="X2" s="83">
        <v>44370</v>
      </c>
      <c r="Y2" s="83">
        <v>44371</v>
      </c>
      <c r="Z2" s="83">
        <v>44372</v>
      </c>
      <c r="AA2" s="83">
        <v>44373</v>
      </c>
      <c r="AB2" s="83">
        <v>44374</v>
      </c>
      <c r="AC2" s="83">
        <v>44375</v>
      </c>
      <c r="AD2" s="83">
        <v>44376</v>
      </c>
      <c r="AE2" s="83">
        <v>44377</v>
      </c>
      <c r="AF2" s="83"/>
      <c r="AG2" s="83">
        <v>44347</v>
      </c>
    </row>
    <row r="3" spans="1:38"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193"/>
      <c r="AG3" s="93" t="s">
        <v>52</v>
      </c>
    </row>
    <row r="4" spans="1:38" ht="20.100000000000001" customHeight="1">
      <c r="A4" s="94" t="s">
        <v>54</v>
      </c>
      <c r="B4" s="212">
        <v>158391</v>
      </c>
      <c r="C4" s="212">
        <v>158614</v>
      </c>
      <c r="D4" s="212">
        <v>158840</v>
      </c>
      <c r="E4" s="212">
        <v>159069</v>
      </c>
      <c r="F4" s="212">
        <v>159287</v>
      </c>
      <c r="G4" s="212">
        <v>159513</v>
      </c>
      <c r="H4" s="212">
        <v>159738</v>
      </c>
      <c r="I4" s="212">
        <v>159965</v>
      </c>
      <c r="J4" s="212">
        <v>160185</v>
      </c>
      <c r="K4" s="212">
        <v>160406</v>
      </c>
      <c r="L4" s="212">
        <v>160624</v>
      </c>
      <c r="M4" s="212">
        <v>160829</v>
      </c>
      <c r="N4" s="212">
        <v>161047</v>
      </c>
      <c r="O4" s="212">
        <v>161268</v>
      </c>
      <c r="P4" s="212">
        <v>161492</v>
      </c>
      <c r="Q4" s="212">
        <v>161717</v>
      </c>
      <c r="R4" s="212">
        <v>161940</v>
      </c>
      <c r="S4" s="212">
        <v>162157</v>
      </c>
      <c r="T4" s="212">
        <v>162370</v>
      </c>
      <c r="U4" s="212">
        <v>162591</v>
      </c>
      <c r="V4" s="212">
        <v>162818</v>
      </c>
      <c r="W4" s="212">
        <v>163039</v>
      </c>
      <c r="X4" s="212">
        <v>163259</v>
      </c>
      <c r="Y4" s="212">
        <v>163486</v>
      </c>
      <c r="Z4" s="212">
        <v>163702</v>
      </c>
      <c r="AA4" s="212">
        <v>163904</v>
      </c>
      <c r="AB4" s="212">
        <v>164127</v>
      </c>
      <c r="AC4" s="212">
        <v>164315</v>
      </c>
      <c r="AD4" s="212">
        <v>164488</v>
      </c>
      <c r="AE4" s="212">
        <v>164657</v>
      </c>
      <c r="AF4" s="195"/>
      <c r="AG4" s="212">
        <v>158164</v>
      </c>
      <c r="AH4" s="101"/>
      <c r="AI4" s="101"/>
      <c r="AL4" s="102"/>
    </row>
    <row r="5" spans="1:38" ht="20.100000000000001" customHeight="1">
      <c r="A5" s="94" t="s">
        <v>55</v>
      </c>
      <c r="B5" s="212">
        <v>3347885</v>
      </c>
      <c r="C5" s="212">
        <v>3356076</v>
      </c>
      <c r="D5" s="212">
        <v>3364481</v>
      </c>
      <c r="E5" s="212">
        <v>3372986</v>
      </c>
      <c r="F5" s="212">
        <v>3380830</v>
      </c>
      <c r="G5" s="212">
        <v>3388838</v>
      </c>
      <c r="H5" s="212">
        <v>3397375</v>
      </c>
      <c r="I5" s="212">
        <v>3405694</v>
      </c>
      <c r="J5" s="212">
        <v>3413586</v>
      </c>
      <c r="K5" s="212">
        <v>3421569</v>
      </c>
      <c r="L5" s="212">
        <v>3429456</v>
      </c>
      <c r="M5" s="212">
        <v>3436771</v>
      </c>
      <c r="N5" s="212">
        <v>3444762</v>
      </c>
      <c r="O5" s="212">
        <v>3452824</v>
      </c>
      <c r="P5" s="212">
        <v>3460793</v>
      </c>
      <c r="Q5" s="212">
        <v>3468925</v>
      </c>
      <c r="R5" s="212">
        <v>3477066</v>
      </c>
      <c r="S5" s="212">
        <v>3484804</v>
      </c>
      <c r="T5" s="212">
        <v>3492175</v>
      </c>
      <c r="U5" s="212">
        <v>3499809</v>
      </c>
      <c r="V5" s="212">
        <v>3508007</v>
      </c>
      <c r="W5" s="212">
        <v>3516008</v>
      </c>
      <c r="X5" s="212">
        <v>3523972</v>
      </c>
      <c r="Y5" s="212">
        <v>3532268</v>
      </c>
      <c r="Z5" s="212">
        <v>3540185</v>
      </c>
      <c r="AA5" s="212">
        <v>3547436</v>
      </c>
      <c r="AB5" s="212">
        <v>3555085</v>
      </c>
      <c r="AC5" s="212">
        <v>3563105</v>
      </c>
      <c r="AD5" s="212">
        <v>3571306</v>
      </c>
      <c r="AE5" s="212">
        <v>3579333</v>
      </c>
      <c r="AF5" s="195"/>
      <c r="AG5" s="212">
        <v>3339455</v>
      </c>
      <c r="AH5" s="101"/>
      <c r="AI5" s="101"/>
      <c r="AL5" s="102"/>
    </row>
    <row r="6" spans="1:38" ht="20.100000000000001" customHeight="1">
      <c r="A6" s="94" t="s">
        <v>56</v>
      </c>
      <c r="B6" s="212">
        <v>1686426</v>
      </c>
      <c r="C6" s="212">
        <v>1689560</v>
      </c>
      <c r="D6" s="212">
        <v>1692750</v>
      </c>
      <c r="E6" s="212">
        <v>1696009</v>
      </c>
      <c r="F6" s="212">
        <v>1698997</v>
      </c>
      <c r="G6" s="212">
        <v>1702163</v>
      </c>
      <c r="H6" s="212">
        <v>1705429</v>
      </c>
      <c r="I6" s="212">
        <v>1708710</v>
      </c>
      <c r="J6" s="212">
        <v>1711959</v>
      </c>
      <c r="K6" s="212">
        <v>1715233</v>
      </c>
      <c r="L6" s="212">
        <v>1718424</v>
      </c>
      <c r="M6" s="212">
        <v>1721388</v>
      </c>
      <c r="N6" s="212">
        <v>1724571</v>
      </c>
      <c r="O6" s="212">
        <v>1727814</v>
      </c>
      <c r="P6" s="212">
        <v>1731106</v>
      </c>
      <c r="Q6" s="212">
        <v>1734405</v>
      </c>
      <c r="R6" s="212">
        <v>1737724</v>
      </c>
      <c r="S6" s="212">
        <v>1740837</v>
      </c>
      <c r="T6" s="212">
        <v>1743846</v>
      </c>
      <c r="U6" s="212">
        <v>1747010</v>
      </c>
      <c r="V6" s="212">
        <v>1750372</v>
      </c>
      <c r="W6" s="212">
        <v>1753750</v>
      </c>
      <c r="X6" s="212">
        <v>1757008</v>
      </c>
      <c r="Y6" s="212">
        <v>1760407</v>
      </c>
      <c r="Z6" s="212">
        <v>1763573</v>
      </c>
      <c r="AA6" s="212">
        <v>1766483</v>
      </c>
      <c r="AB6" s="212">
        <v>1769672</v>
      </c>
      <c r="AC6" s="212">
        <v>1774294</v>
      </c>
      <c r="AD6" s="212">
        <v>1779585</v>
      </c>
      <c r="AE6" s="212">
        <v>1784765</v>
      </c>
      <c r="AF6" s="195"/>
      <c r="AG6" s="212">
        <v>1683331</v>
      </c>
      <c r="AH6" s="101"/>
      <c r="AI6" s="101"/>
      <c r="AL6" s="102"/>
    </row>
    <row r="7" spans="1:38" ht="20.100000000000001" customHeight="1">
      <c r="A7" s="94" t="s">
        <v>57</v>
      </c>
      <c r="B7" s="212">
        <v>4988858</v>
      </c>
      <c r="C7" s="212">
        <v>4999815</v>
      </c>
      <c r="D7" s="212">
        <v>5011403</v>
      </c>
      <c r="E7" s="212">
        <v>5023232</v>
      </c>
      <c r="F7" s="212">
        <v>5033583</v>
      </c>
      <c r="G7" s="212">
        <v>5043972</v>
      </c>
      <c r="H7" s="212">
        <v>5060287</v>
      </c>
      <c r="I7" s="212">
        <v>5076159</v>
      </c>
      <c r="J7" s="212">
        <v>5089085</v>
      </c>
      <c r="K7" s="212">
        <v>5102478</v>
      </c>
      <c r="L7" s="212">
        <v>5115662</v>
      </c>
      <c r="M7" s="212">
        <v>5127926</v>
      </c>
      <c r="N7" s="212">
        <v>5135035</v>
      </c>
      <c r="O7" s="212">
        <v>5142174</v>
      </c>
      <c r="P7" s="212">
        <v>5154170</v>
      </c>
      <c r="Q7" s="212">
        <v>5162110</v>
      </c>
      <c r="R7" s="212">
        <v>5173969</v>
      </c>
      <c r="S7" s="212">
        <v>5185298</v>
      </c>
      <c r="T7" s="212">
        <v>5197468</v>
      </c>
      <c r="U7" s="212">
        <v>5204192</v>
      </c>
      <c r="V7" s="212">
        <v>5211734</v>
      </c>
      <c r="W7" s="212">
        <v>5218851</v>
      </c>
      <c r="X7" s="212">
        <v>5226485</v>
      </c>
      <c r="Y7" s="212">
        <v>5233941</v>
      </c>
      <c r="Z7" s="212">
        <v>5241098</v>
      </c>
      <c r="AA7" s="212">
        <v>5251350</v>
      </c>
      <c r="AB7" s="212">
        <v>5257994</v>
      </c>
      <c r="AC7" s="212">
        <v>5266247</v>
      </c>
      <c r="AD7" s="212">
        <v>5273925</v>
      </c>
      <c r="AE7" s="212">
        <v>5282184</v>
      </c>
      <c r="AF7" s="195"/>
      <c r="AG7" s="212">
        <v>4977666</v>
      </c>
      <c r="AH7" s="101"/>
      <c r="AI7" s="101"/>
      <c r="AL7" s="102"/>
    </row>
    <row r="8" spans="1:38" ht="20.100000000000001" customHeight="1">
      <c r="A8" s="94" t="s">
        <v>58</v>
      </c>
      <c r="B8" s="212">
        <v>1787359</v>
      </c>
      <c r="C8" s="212">
        <v>1787359</v>
      </c>
      <c r="D8" s="212">
        <v>1787359</v>
      </c>
      <c r="E8" s="212">
        <v>1787359</v>
      </c>
      <c r="F8" s="212">
        <v>1787359</v>
      </c>
      <c r="G8" s="212">
        <v>1787359</v>
      </c>
      <c r="H8" s="212">
        <v>1787359</v>
      </c>
      <c r="I8" s="212">
        <v>1787359</v>
      </c>
      <c r="J8" s="212">
        <v>1787359</v>
      </c>
      <c r="K8" s="212">
        <v>1787359</v>
      </c>
      <c r="L8" s="212">
        <v>1787359</v>
      </c>
      <c r="M8" s="212">
        <v>1787690</v>
      </c>
      <c r="N8" s="212">
        <v>1789828</v>
      </c>
      <c r="O8" s="212">
        <v>1791697</v>
      </c>
      <c r="P8" s="212">
        <v>1792015</v>
      </c>
      <c r="Q8" s="212">
        <v>1794024</v>
      </c>
      <c r="R8" s="212">
        <v>1794412</v>
      </c>
      <c r="S8" s="212">
        <v>1795018</v>
      </c>
      <c r="T8" s="212">
        <v>1795257</v>
      </c>
      <c r="U8" s="212">
        <v>1797356</v>
      </c>
      <c r="V8" s="212">
        <v>1799703</v>
      </c>
      <c r="W8" s="212">
        <v>1801868</v>
      </c>
      <c r="X8" s="212">
        <v>1804208</v>
      </c>
      <c r="Y8" s="212">
        <v>1806467</v>
      </c>
      <c r="Z8" s="212">
        <v>1808362</v>
      </c>
      <c r="AA8" s="212">
        <v>1809199</v>
      </c>
      <c r="AB8" s="212">
        <v>1811471</v>
      </c>
      <c r="AC8" s="212">
        <v>1814018</v>
      </c>
      <c r="AD8" s="212">
        <v>1816421</v>
      </c>
      <c r="AE8" s="212">
        <v>1818987</v>
      </c>
      <c r="AF8" s="195"/>
      <c r="AG8" s="212">
        <v>1787359</v>
      </c>
      <c r="AH8" s="101"/>
      <c r="AI8" s="101"/>
      <c r="AL8" s="102"/>
    </row>
    <row r="9" spans="1:38" ht="20.100000000000001" customHeight="1">
      <c r="A9" s="94" t="s">
        <v>59</v>
      </c>
      <c r="B9" s="214">
        <v>11164636</v>
      </c>
      <c r="C9" s="214">
        <v>11175340</v>
      </c>
      <c r="D9" s="214">
        <v>11186337</v>
      </c>
      <c r="E9" s="214">
        <v>11197305</v>
      </c>
      <c r="F9" s="214">
        <v>11207073</v>
      </c>
      <c r="G9" s="214">
        <v>11216896</v>
      </c>
      <c r="H9" s="214">
        <v>11230735</v>
      </c>
      <c r="I9" s="214">
        <v>11244154</v>
      </c>
      <c r="J9" s="214">
        <v>11256551</v>
      </c>
      <c r="K9" s="214">
        <v>11268910</v>
      </c>
      <c r="L9" s="214">
        <v>11280888</v>
      </c>
      <c r="M9" s="214">
        <v>11293033</v>
      </c>
      <c r="N9" s="214">
        <v>11305386</v>
      </c>
      <c r="O9" s="214">
        <v>11317068</v>
      </c>
      <c r="P9" s="214">
        <v>11328928</v>
      </c>
      <c r="Q9" s="214">
        <v>11341444</v>
      </c>
      <c r="R9" s="214">
        <v>11353262</v>
      </c>
      <c r="S9" s="214">
        <v>11365449</v>
      </c>
      <c r="T9" s="214">
        <v>11377526</v>
      </c>
      <c r="U9" s="214">
        <v>11389425</v>
      </c>
      <c r="V9" s="214">
        <v>11402331</v>
      </c>
      <c r="W9" s="214">
        <v>11414683</v>
      </c>
      <c r="X9" s="214">
        <v>11427742</v>
      </c>
      <c r="Y9" s="214">
        <v>11441432</v>
      </c>
      <c r="Z9" s="214">
        <v>11454048</v>
      </c>
      <c r="AA9" s="214">
        <v>11466743</v>
      </c>
      <c r="AB9" s="214">
        <v>11479912</v>
      </c>
      <c r="AC9" s="214">
        <v>11493796</v>
      </c>
      <c r="AD9" s="214">
        <v>11507683</v>
      </c>
      <c r="AE9" s="214">
        <v>11521449</v>
      </c>
      <c r="AF9" s="197"/>
      <c r="AG9" s="214">
        <v>11153623</v>
      </c>
      <c r="AH9" s="101"/>
      <c r="AI9" s="101"/>
      <c r="AL9" s="102"/>
    </row>
    <row r="10" spans="1:38" ht="20.100000000000001" customHeight="1">
      <c r="A10" s="94" t="s">
        <v>60</v>
      </c>
      <c r="B10" s="212">
        <v>2670649</v>
      </c>
      <c r="C10" s="212">
        <v>2676320</v>
      </c>
      <c r="D10" s="212">
        <v>2682029</v>
      </c>
      <c r="E10" s="212">
        <v>2687767</v>
      </c>
      <c r="F10" s="212">
        <v>2693100</v>
      </c>
      <c r="G10" s="212">
        <v>2698623</v>
      </c>
      <c r="H10" s="212">
        <v>2704425</v>
      </c>
      <c r="I10" s="212">
        <v>2710241</v>
      </c>
      <c r="J10" s="212">
        <v>2715869</v>
      </c>
      <c r="K10" s="212">
        <v>2721606</v>
      </c>
      <c r="L10" s="212">
        <v>2727087</v>
      </c>
      <c r="M10" s="212">
        <v>2732337</v>
      </c>
      <c r="N10" s="212">
        <v>2737870</v>
      </c>
      <c r="O10" s="212">
        <v>2743529</v>
      </c>
      <c r="P10" s="212">
        <v>2749153</v>
      </c>
      <c r="Q10" s="212">
        <v>2754932</v>
      </c>
      <c r="R10" s="212">
        <v>2760934</v>
      </c>
      <c r="S10" s="212">
        <v>2766945</v>
      </c>
      <c r="T10" s="212">
        <v>2772753</v>
      </c>
      <c r="U10" s="212">
        <v>2778426</v>
      </c>
      <c r="V10" s="212">
        <v>2784884</v>
      </c>
      <c r="W10" s="212">
        <v>2791026</v>
      </c>
      <c r="X10" s="212">
        <v>2797070</v>
      </c>
      <c r="Y10" s="212">
        <v>2803256</v>
      </c>
      <c r="Z10" s="212">
        <v>2809237</v>
      </c>
      <c r="AA10" s="212">
        <v>2814925</v>
      </c>
      <c r="AB10" s="212">
        <v>2820945</v>
      </c>
      <c r="AC10" s="212">
        <v>2827195</v>
      </c>
      <c r="AD10" s="212">
        <v>2833544</v>
      </c>
      <c r="AE10" s="212">
        <v>2839787</v>
      </c>
      <c r="AF10" s="195"/>
      <c r="AG10" s="212">
        <v>2664933</v>
      </c>
      <c r="AH10" s="101"/>
      <c r="AI10" s="101"/>
      <c r="AL10" s="102"/>
    </row>
    <row r="11" spans="1:38" ht="22.5" customHeight="1">
      <c r="A11" s="94" t="s">
        <v>61</v>
      </c>
      <c r="B11" s="212">
        <v>124624</v>
      </c>
      <c r="C11" s="212">
        <v>124806</v>
      </c>
      <c r="D11" s="212">
        <v>124992</v>
      </c>
      <c r="E11" s="212">
        <v>125182</v>
      </c>
      <c r="F11" s="212">
        <v>125354</v>
      </c>
      <c r="G11" s="212">
        <v>125537</v>
      </c>
      <c r="H11" s="212">
        <v>125728</v>
      </c>
      <c r="I11" s="212">
        <v>125916</v>
      </c>
      <c r="J11" s="212">
        <v>126098</v>
      </c>
      <c r="K11" s="212">
        <v>126278</v>
      </c>
      <c r="L11" s="212">
        <v>126456</v>
      </c>
      <c r="M11" s="212">
        <v>126613</v>
      </c>
      <c r="N11" s="212">
        <v>126785</v>
      </c>
      <c r="O11" s="212">
        <v>126957</v>
      </c>
      <c r="P11" s="212">
        <v>127138</v>
      </c>
      <c r="Q11" s="212">
        <v>127320</v>
      </c>
      <c r="R11" s="212">
        <v>127499</v>
      </c>
      <c r="S11" s="212">
        <v>127678</v>
      </c>
      <c r="T11" s="212">
        <v>127844</v>
      </c>
      <c r="U11" s="212">
        <v>128027</v>
      </c>
      <c r="V11" s="212">
        <v>128219</v>
      </c>
      <c r="W11" s="212">
        <v>128405</v>
      </c>
      <c r="X11" s="212">
        <v>128586</v>
      </c>
      <c r="Y11" s="212">
        <v>128776</v>
      </c>
      <c r="Z11" s="212">
        <v>128951</v>
      </c>
      <c r="AA11" s="212">
        <v>129112</v>
      </c>
      <c r="AB11" s="212">
        <v>129286</v>
      </c>
      <c r="AC11" s="212">
        <v>129469</v>
      </c>
      <c r="AD11" s="212">
        <v>129656</v>
      </c>
      <c r="AE11" s="212">
        <v>129840</v>
      </c>
      <c r="AF11" s="195"/>
      <c r="AG11" s="212">
        <v>124436</v>
      </c>
      <c r="AH11" s="101"/>
      <c r="AI11" s="101"/>
      <c r="AL11" s="102"/>
    </row>
    <row r="12" spans="1:38"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98"/>
      <c r="AG12" s="162"/>
    </row>
    <row r="13" spans="1:38" ht="25.5">
      <c r="A13" s="87"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215" t="s">
        <v>106</v>
      </c>
      <c r="AE13" s="181" t="s">
        <v>106</v>
      </c>
      <c r="AF13" s="192"/>
      <c r="AG13" s="181" t="s">
        <v>106</v>
      </c>
    </row>
    <row r="14" spans="1:38">
      <c r="A14" s="87" t="s">
        <v>66</v>
      </c>
      <c r="B14" s="182">
        <v>174011.75</v>
      </c>
      <c r="C14" s="182">
        <v>174011.75</v>
      </c>
      <c r="D14" s="182">
        <v>174011.75</v>
      </c>
      <c r="E14" s="182">
        <v>174011.75</v>
      </c>
      <c r="F14" s="182">
        <v>175076.25</v>
      </c>
      <c r="G14" s="182">
        <v>175076.25</v>
      </c>
      <c r="H14" s="182">
        <v>175076.25</v>
      </c>
      <c r="I14" s="182">
        <v>175076.25</v>
      </c>
      <c r="J14" s="182">
        <v>175076.25</v>
      </c>
      <c r="K14" s="182">
        <v>175076.25</v>
      </c>
      <c r="L14" s="182">
        <v>175076.25</v>
      </c>
      <c r="M14" s="186">
        <v>175765.2</v>
      </c>
      <c r="N14" s="186">
        <v>175765.2</v>
      </c>
      <c r="O14" s="186">
        <v>175765.2</v>
      </c>
      <c r="P14" s="186">
        <v>175765.2</v>
      </c>
      <c r="Q14" s="186">
        <v>175765.2</v>
      </c>
      <c r="R14" s="186">
        <v>175765.2</v>
      </c>
      <c r="S14" s="186">
        <v>175765.2</v>
      </c>
      <c r="T14" s="186">
        <v>1765745.6</v>
      </c>
      <c r="U14" s="186">
        <v>1765745.6</v>
      </c>
      <c r="V14" s="186">
        <v>1765745.6</v>
      </c>
      <c r="W14" s="186">
        <v>1765745.6</v>
      </c>
      <c r="X14" s="186">
        <v>1765745.6</v>
      </c>
      <c r="Y14" s="186">
        <v>1765745.6</v>
      </c>
      <c r="Z14" s="186">
        <v>1765745.6</v>
      </c>
      <c r="AA14" s="186">
        <v>1777190.3</v>
      </c>
      <c r="AB14" s="186">
        <v>1777190.3</v>
      </c>
      <c r="AC14" s="186">
        <v>1777190.3</v>
      </c>
      <c r="AD14" s="186">
        <v>1777190.3</v>
      </c>
      <c r="AE14" s="186">
        <v>1777190.3</v>
      </c>
      <c r="AF14" s="200"/>
      <c r="AG14" s="182">
        <v>174011.75</v>
      </c>
    </row>
    <row r="15" spans="1:38" ht="25.5">
      <c r="A15" s="87" t="s">
        <v>67</v>
      </c>
      <c r="B15" s="183">
        <v>1109</v>
      </c>
      <c r="C15" s="183">
        <v>1109</v>
      </c>
      <c r="D15" s="183">
        <v>1109</v>
      </c>
      <c r="E15" s="183">
        <v>1109</v>
      </c>
      <c r="F15" s="183">
        <v>1109</v>
      </c>
      <c r="G15" s="183">
        <v>1109</v>
      </c>
      <c r="H15" s="183">
        <v>1109</v>
      </c>
      <c r="I15" s="183">
        <v>1109</v>
      </c>
      <c r="J15" s="183">
        <v>1109</v>
      </c>
      <c r="K15" s="183">
        <v>1109</v>
      </c>
      <c r="L15" s="183">
        <v>1109</v>
      </c>
      <c r="M15" s="183">
        <v>1118</v>
      </c>
      <c r="N15" s="183">
        <v>1118</v>
      </c>
      <c r="O15" s="183">
        <v>1118</v>
      </c>
      <c r="P15" s="183">
        <v>1118</v>
      </c>
      <c r="Q15" s="183">
        <v>1118</v>
      </c>
      <c r="R15" s="183">
        <v>1118</v>
      </c>
      <c r="S15" s="183">
        <v>1118</v>
      </c>
      <c r="T15" s="183">
        <v>1118</v>
      </c>
      <c r="U15" s="183">
        <v>1118</v>
      </c>
      <c r="V15" s="183">
        <v>1118</v>
      </c>
      <c r="W15" s="183">
        <v>1118</v>
      </c>
      <c r="X15" s="183">
        <v>1118</v>
      </c>
      <c r="Y15" s="183">
        <v>1118</v>
      </c>
      <c r="Z15" s="183">
        <v>1118</v>
      </c>
      <c r="AA15" s="183">
        <v>1118</v>
      </c>
      <c r="AB15" s="183">
        <v>1118</v>
      </c>
      <c r="AC15" s="183">
        <v>1118</v>
      </c>
      <c r="AD15" s="183">
        <v>1118</v>
      </c>
      <c r="AE15" s="183">
        <v>1118</v>
      </c>
      <c r="AF15" s="202"/>
      <c r="AG15" s="183">
        <v>1109</v>
      </c>
    </row>
    <row r="16" spans="1:38" ht="25.5">
      <c r="A16" s="87" t="s">
        <v>68</v>
      </c>
      <c r="B16" s="183">
        <v>4281</v>
      </c>
      <c r="C16" s="183">
        <v>4281</v>
      </c>
      <c r="D16" s="183">
        <v>4281</v>
      </c>
      <c r="E16" s="183">
        <v>4281</v>
      </c>
      <c r="F16" s="183">
        <v>4281</v>
      </c>
      <c r="G16" s="183">
        <v>4281</v>
      </c>
      <c r="H16" s="183">
        <v>4281</v>
      </c>
      <c r="I16" s="183">
        <v>4281</v>
      </c>
      <c r="J16" s="183">
        <v>4281</v>
      </c>
      <c r="K16" s="183">
        <v>4281</v>
      </c>
      <c r="L16" s="183">
        <v>4281</v>
      </c>
      <c r="M16" s="183">
        <v>4281</v>
      </c>
      <c r="N16" s="183">
        <v>4281</v>
      </c>
      <c r="O16" s="183">
        <v>4281</v>
      </c>
      <c r="P16" s="183">
        <v>4281</v>
      </c>
      <c r="Q16" s="183">
        <v>4281</v>
      </c>
      <c r="R16" s="183">
        <v>4218</v>
      </c>
      <c r="S16" s="183">
        <v>4281</v>
      </c>
      <c r="T16" s="183">
        <v>4281</v>
      </c>
      <c r="U16" s="183">
        <v>4281</v>
      </c>
      <c r="V16" s="183">
        <v>4491</v>
      </c>
      <c r="W16" s="183">
        <v>4587</v>
      </c>
      <c r="X16" s="183">
        <v>4587</v>
      </c>
      <c r="Y16" s="183">
        <v>4587</v>
      </c>
      <c r="Z16" s="183">
        <v>4587</v>
      </c>
      <c r="AA16" s="183">
        <v>4587</v>
      </c>
      <c r="AB16" s="183">
        <v>4587</v>
      </c>
      <c r="AC16" s="183">
        <v>4587</v>
      </c>
      <c r="AD16" s="183">
        <v>4587</v>
      </c>
      <c r="AE16" s="183">
        <v>4587</v>
      </c>
      <c r="AF16" s="202"/>
      <c r="AG16" s="183">
        <v>4281</v>
      </c>
    </row>
    <row r="17" spans="1:33"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203"/>
      <c r="AG17" s="162"/>
    </row>
    <row r="18" spans="1:33" ht="16.5">
      <c r="A18" s="87"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215" t="s">
        <v>106</v>
      </c>
      <c r="AE18" s="181" t="s">
        <v>106</v>
      </c>
      <c r="AF18" s="192"/>
      <c r="AG18" s="181" t="s">
        <v>106</v>
      </c>
    </row>
    <row r="19" spans="1:33" ht="25.5">
      <c r="A19" s="127" t="s">
        <v>70</v>
      </c>
      <c r="B19" s="186">
        <v>44862.1</v>
      </c>
      <c r="C19" s="186">
        <v>44945.9</v>
      </c>
      <c r="D19" s="186">
        <v>45052.7</v>
      </c>
      <c r="E19" s="186">
        <v>45124.7</v>
      </c>
      <c r="F19" s="186">
        <v>45124.7</v>
      </c>
      <c r="G19" s="186">
        <v>45205.1</v>
      </c>
      <c r="H19" s="186">
        <v>45289.599999999999</v>
      </c>
      <c r="I19" s="186">
        <v>45362.9</v>
      </c>
      <c r="J19" s="186">
        <v>45460.1</v>
      </c>
      <c r="K19" s="186">
        <v>45555.8</v>
      </c>
      <c r="L19" s="186">
        <v>45654.2</v>
      </c>
      <c r="M19" s="186">
        <v>45720.2</v>
      </c>
      <c r="N19" s="186">
        <v>45816.7</v>
      </c>
      <c r="O19" s="186">
        <v>45949.3</v>
      </c>
      <c r="P19" s="186">
        <v>46048.1</v>
      </c>
      <c r="Q19" s="186">
        <v>46174.9</v>
      </c>
      <c r="R19" s="186">
        <v>46276.800000000003</v>
      </c>
      <c r="S19" s="186">
        <v>46346.9</v>
      </c>
      <c r="T19" s="186">
        <v>46373.599999999999</v>
      </c>
      <c r="U19" s="186">
        <v>46373.599999999999</v>
      </c>
      <c r="V19" s="186">
        <v>46500.2</v>
      </c>
      <c r="W19" s="186">
        <v>46502.6</v>
      </c>
      <c r="X19" s="186">
        <v>46634.2</v>
      </c>
      <c r="Y19" s="186">
        <v>46729.5</v>
      </c>
      <c r="Z19" s="186">
        <v>46811.4</v>
      </c>
      <c r="AA19" s="186">
        <v>46811.4</v>
      </c>
      <c r="AB19" s="186">
        <v>46894.8</v>
      </c>
      <c r="AC19" s="186">
        <v>47017.7</v>
      </c>
      <c r="AD19" s="186">
        <v>47078.9</v>
      </c>
      <c r="AE19" s="186">
        <v>47169.599999999999</v>
      </c>
      <c r="AF19" s="201"/>
      <c r="AG19" s="186">
        <v>44765.4</v>
      </c>
    </row>
    <row r="20" spans="1:33" ht="25.5">
      <c r="A20" s="87" t="s">
        <v>71</v>
      </c>
      <c r="B20" s="188" t="s">
        <v>398</v>
      </c>
      <c r="C20" s="188" t="s">
        <v>399</v>
      </c>
      <c r="D20" s="188" t="s">
        <v>400</v>
      </c>
      <c r="E20" s="188" t="s">
        <v>401</v>
      </c>
      <c r="F20" s="188" t="s">
        <v>402</v>
      </c>
      <c r="G20" s="188" t="s">
        <v>402</v>
      </c>
      <c r="H20" s="188" t="s">
        <v>403</v>
      </c>
      <c r="I20" s="188" t="s">
        <v>404</v>
      </c>
      <c r="J20" s="188" t="s">
        <v>405</v>
      </c>
      <c r="K20" s="188" t="s">
        <v>406</v>
      </c>
      <c r="L20" s="188" t="s">
        <v>407</v>
      </c>
      <c r="M20" s="188" t="s">
        <v>408</v>
      </c>
      <c r="N20" s="188" t="s">
        <v>409</v>
      </c>
      <c r="O20" s="188" t="s">
        <v>410</v>
      </c>
      <c r="P20" s="188" t="s">
        <v>411</v>
      </c>
      <c r="Q20" s="188" t="s">
        <v>412</v>
      </c>
      <c r="R20" s="188" t="s">
        <v>413</v>
      </c>
      <c r="S20" s="188" t="s">
        <v>414</v>
      </c>
      <c r="T20" s="188" t="s">
        <v>415</v>
      </c>
      <c r="U20" s="188" t="s">
        <v>415</v>
      </c>
      <c r="V20" s="188" t="s">
        <v>415</v>
      </c>
      <c r="W20" s="188" t="s">
        <v>416</v>
      </c>
      <c r="X20" s="188" t="s">
        <v>417</v>
      </c>
      <c r="Y20" s="188" t="s">
        <v>418</v>
      </c>
      <c r="Z20" s="188" t="s">
        <v>419</v>
      </c>
      <c r="AA20" s="188" t="s">
        <v>420</v>
      </c>
      <c r="AB20" s="188" t="s">
        <v>421</v>
      </c>
      <c r="AC20" s="188" t="s">
        <v>422</v>
      </c>
      <c r="AD20" s="187" t="s">
        <v>422</v>
      </c>
      <c r="AE20" s="188" t="s">
        <v>422</v>
      </c>
      <c r="AF20" s="206"/>
      <c r="AG20" s="188" t="s">
        <v>358</v>
      </c>
    </row>
    <row r="21" spans="1:33" ht="25.5">
      <c r="A21" s="87" t="s">
        <v>72</v>
      </c>
      <c r="B21" s="183">
        <v>34246</v>
      </c>
      <c r="C21" s="183">
        <v>34246</v>
      </c>
      <c r="D21" s="183">
        <v>34246</v>
      </c>
      <c r="E21" s="183">
        <v>34246</v>
      </c>
      <c r="F21" s="183">
        <v>35422</v>
      </c>
      <c r="G21" s="183">
        <v>35422</v>
      </c>
      <c r="H21" s="183">
        <v>35422</v>
      </c>
      <c r="I21" s="183">
        <v>35422</v>
      </c>
      <c r="J21" s="183">
        <v>35422</v>
      </c>
      <c r="K21" s="183">
        <v>35422</v>
      </c>
      <c r="L21" s="183">
        <v>35422</v>
      </c>
      <c r="M21" s="183">
        <v>36920</v>
      </c>
      <c r="N21" s="183">
        <v>36920</v>
      </c>
      <c r="O21" s="183">
        <v>36920</v>
      </c>
      <c r="P21" s="183">
        <v>36920</v>
      </c>
      <c r="Q21" s="183">
        <v>36920</v>
      </c>
      <c r="R21" s="183">
        <v>36920</v>
      </c>
      <c r="S21" s="183">
        <v>36920</v>
      </c>
      <c r="T21" s="183">
        <v>38199</v>
      </c>
      <c r="U21" s="183">
        <v>38199</v>
      </c>
      <c r="V21" s="183">
        <v>38199</v>
      </c>
      <c r="W21" s="183">
        <v>38199</v>
      </c>
      <c r="X21" s="183">
        <v>38199</v>
      </c>
      <c r="Y21" s="183">
        <v>38199</v>
      </c>
      <c r="Z21" s="183">
        <v>38199</v>
      </c>
      <c r="AA21" s="183">
        <v>39250</v>
      </c>
      <c r="AB21" s="183">
        <v>39250</v>
      </c>
      <c r="AC21" s="183">
        <v>39250</v>
      </c>
      <c r="AD21" s="183">
        <v>39250</v>
      </c>
      <c r="AE21" s="183">
        <v>39250</v>
      </c>
      <c r="AF21" s="201"/>
      <c r="AG21" s="183">
        <v>34246</v>
      </c>
    </row>
    <row r="22" spans="1:33" ht="25.5">
      <c r="A22" s="87" t="s">
        <v>73</v>
      </c>
      <c r="B22" s="183">
        <v>111782</v>
      </c>
      <c r="C22" s="183">
        <v>111900</v>
      </c>
      <c r="D22" s="183">
        <v>112020</v>
      </c>
      <c r="E22" s="183">
        <v>112130</v>
      </c>
      <c r="F22" s="183">
        <v>112247</v>
      </c>
      <c r="G22" s="183">
        <v>112369</v>
      </c>
      <c r="H22" s="183">
        <v>112520</v>
      </c>
      <c r="I22" s="183">
        <v>112664</v>
      </c>
      <c r="J22" s="183">
        <v>112797</v>
      </c>
      <c r="K22" s="183">
        <v>112931</v>
      </c>
      <c r="L22" s="183">
        <v>112931</v>
      </c>
      <c r="M22" s="183">
        <v>113193</v>
      </c>
      <c r="N22" s="183">
        <v>113305</v>
      </c>
      <c r="O22" s="183">
        <v>113431</v>
      </c>
      <c r="P22" s="183">
        <v>113585</v>
      </c>
      <c r="Q22" s="183">
        <v>113715</v>
      </c>
      <c r="R22" s="183">
        <v>113835</v>
      </c>
      <c r="S22" s="183">
        <v>113962</v>
      </c>
      <c r="T22" s="183">
        <v>114072</v>
      </c>
      <c r="U22" s="183">
        <v>114192</v>
      </c>
      <c r="V22" s="183">
        <v>114318</v>
      </c>
      <c r="W22" s="183">
        <v>114445</v>
      </c>
      <c r="X22" s="183">
        <v>114572</v>
      </c>
      <c r="Y22" s="183">
        <v>114700</v>
      </c>
      <c r="Z22" s="183">
        <v>114910</v>
      </c>
      <c r="AA22" s="183">
        <v>114949</v>
      </c>
      <c r="AB22" s="183">
        <v>115072</v>
      </c>
      <c r="AC22" s="183">
        <v>115209</v>
      </c>
      <c r="AD22" s="183">
        <v>115353</v>
      </c>
      <c r="AE22" s="183">
        <v>115493</v>
      </c>
      <c r="AF22" s="201">
        <f>AE22-AG22</f>
        <v>3826</v>
      </c>
      <c r="AG22" s="183">
        <v>111667</v>
      </c>
    </row>
    <row r="23" spans="1:33">
      <c r="A23" s="189" t="s">
        <v>136</v>
      </c>
      <c r="B23" s="183">
        <v>863</v>
      </c>
      <c r="C23" s="183">
        <v>863</v>
      </c>
      <c r="D23" s="183">
        <v>863</v>
      </c>
      <c r="E23" s="183">
        <v>863</v>
      </c>
      <c r="F23" s="183">
        <v>900</v>
      </c>
      <c r="G23" s="183">
        <v>900</v>
      </c>
      <c r="H23" s="183">
        <v>900</v>
      </c>
      <c r="I23" s="183">
        <v>900</v>
      </c>
      <c r="J23" s="183">
        <v>900</v>
      </c>
      <c r="K23" s="183">
        <v>900</v>
      </c>
      <c r="L23" s="183">
        <v>900</v>
      </c>
      <c r="M23" s="183">
        <v>946</v>
      </c>
      <c r="N23" s="183">
        <v>946</v>
      </c>
      <c r="O23" s="183">
        <v>946</v>
      </c>
      <c r="P23" s="183">
        <v>946</v>
      </c>
      <c r="Q23" s="183">
        <v>946</v>
      </c>
      <c r="R23" s="183">
        <v>946</v>
      </c>
      <c r="S23" s="183">
        <v>946</v>
      </c>
      <c r="T23" s="183">
        <v>988</v>
      </c>
      <c r="U23" s="183">
        <v>988</v>
      </c>
      <c r="V23" s="183">
        <v>988</v>
      </c>
      <c r="W23" s="183">
        <v>988</v>
      </c>
      <c r="X23" s="183">
        <v>988</v>
      </c>
      <c r="Y23" s="183">
        <v>988</v>
      </c>
      <c r="Z23" s="183">
        <v>988</v>
      </c>
      <c r="AA23" s="183">
        <v>1042</v>
      </c>
      <c r="AB23" s="183">
        <v>1042</v>
      </c>
      <c r="AC23" s="183">
        <v>1042</v>
      </c>
      <c r="AD23" s="183">
        <v>1042</v>
      </c>
      <c r="AE23" s="183">
        <v>1042</v>
      </c>
      <c r="AF23" s="205"/>
      <c r="AG23" s="183">
        <v>863</v>
      </c>
    </row>
    <row r="24" spans="1:33">
      <c r="A24" s="189" t="s">
        <v>139</v>
      </c>
      <c r="B24" s="183">
        <v>815</v>
      </c>
      <c r="C24" s="183">
        <v>815</v>
      </c>
      <c r="D24" s="183">
        <v>815</v>
      </c>
      <c r="E24" s="183">
        <v>815</v>
      </c>
      <c r="F24" s="183">
        <v>858</v>
      </c>
      <c r="G24" s="183">
        <v>858</v>
      </c>
      <c r="H24" s="183">
        <v>858</v>
      </c>
      <c r="I24" s="183">
        <v>858</v>
      </c>
      <c r="J24" s="183">
        <v>858</v>
      </c>
      <c r="K24" s="183">
        <v>858</v>
      </c>
      <c r="L24" s="183">
        <v>858</v>
      </c>
      <c r="M24" s="183">
        <v>893</v>
      </c>
      <c r="N24" s="183">
        <v>893</v>
      </c>
      <c r="O24" s="183">
        <v>893</v>
      </c>
      <c r="P24" s="183">
        <v>893</v>
      </c>
      <c r="Q24" s="183">
        <v>893</v>
      </c>
      <c r="R24" s="183">
        <v>893</v>
      </c>
      <c r="S24" s="183">
        <v>893</v>
      </c>
      <c r="T24" s="183">
        <v>930</v>
      </c>
      <c r="U24" s="183">
        <v>930</v>
      </c>
      <c r="V24" s="183">
        <v>930</v>
      </c>
      <c r="W24" s="183">
        <v>930</v>
      </c>
      <c r="X24" s="183">
        <v>930</v>
      </c>
      <c r="Y24" s="183">
        <v>930</v>
      </c>
      <c r="Z24" s="183">
        <v>930</v>
      </c>
      <c r="AA24" s="183">
        <v>989</v>
      </c>
      <c r="AB24" s="183">
        <v>989</v>
      </c>
      <c r="AC24" s="183">
        <v>989</v>
      </c>
      <c r="AD24" s="183">
        <v>989</v>
      </c>
      <c r="AE24" s="183">
        <v>989</v>
      </c>
      <c r="AF24" s="205"/>
      <c r="AG24" s="183">
        <v>815</v>
      </c>
    </row>
    <row r="25" spans="1:33">
      <c r="A25" s="189" t="s">
        <v>142</v>
      </c>
      <c r="B25" s="183">
        <v>329</v>
      </c>
      <c r="C25" s="183">
        <v>329</v>
      </c>
      <c r="D25" s="183">
        <v>329</v>
      </c>
      <c r="E25" s="183">
        <v>329</v>
      </c>
      <c r="F25" s="183">
        <v>336</v>
      </c>
      <c r="G25" s="183">
        <v>336</v>
      </c>
      <c r="H25" s="183">
        <v>336</v>
      </c>
      <c r="I25" s="183">
        <v>336</v>
      </c>
      <c r="J25" s="183">
        <v>336</v>
      </c>
      <c r="K25" s="183">
        <v>336</v>
      </c>
      <c r="L25" s="183">
        <v>336</v>
      </c>
      <c r="M25" s="183">
        <v>345</v>
      </c>
      <c r="N25" s="183">
        <v>345</v>
      </c>
      <c r="O25" s="183">
        <v>345</v>
      </c>
      <c r="P25" s="183">
        <v>345</v>
      </c>
      <c r="Q25" s="183">
        <v>345</v>
      </c>
      <c r="R25" s="183">
        <v>345</v>
      </c>
      <c r="S25" s="183">
        <v>345</v>
      </c>
      <c r="T25" s="183">
        <v>351</v>
      </c>
      <c r="U25" s="183">
        <v>351</v>
      </c>
      <c r="V25" s="183">
        <v>351</v>
      </c>
      <c r="W25" s="183">
        <v>351</v>
      </c>
      <c r="X25" s="183">
        <v>351</v>
      </c>
      <c r="Y25" s="183">
        <v>351</v>
      </c>
      <c r="Z25" s="183">
        <v>351</v>
      </c>
      <c r="AA25" s="183">
        <v>362</v>
      </c>
      <c r="AB25" s="183">
        <v>362</v>
      </c>
      <c r="AC25" s="183">
        <v>362</v>
      </c>
      <c r="AD25" s="183">
        <v>362</v>
      </c>
      <c r="AE25" s="183">
        <v>362</v>
      </c>
      <c r="AF25" s="205"/>
      <c r="AG25" s="183">
        <v>329</v>
      </c>
    </row>
    <row r="26" spans="1:33">
      <c r="A26" s="189" t="s">
        <v>145</v>
      </c>
      <c r="B26" s="183">
        <v>48</v>
      </c>
      <c r="C26" s="183">
        <v>48</v>
      </c>
      <c r="D26" s="183">
        <v>48</v>
      </c>
      <c r="E26" s="183">
        <v>48</v>
      </c>
      <c r="F26" s="183">
        <v>48</v>
      </c>
      <c r="G26" s="183">
        <v>48</v>
      </c>
      <c r="H26" s="183">
        <v>48</v>
      </c>
      <c r="I26" s="183">
        <v>48</v>
      </c>
      <c r="J26" s="183">
        <v>48</v>
      </c>
      <c r="K26" s="183">
        <v>48</v>
      </c>
      <c r="L26" s="183">
        <v>48</v>
      </c>
      <c r="M26" s="183">
        <v>50</v>
      </c>
      <c r="N26" s="183">
        <v>50</v>
      </c>
      <c r="O26" s="183">
        <v>50</v>
      </c>
      <c r="P26" s="183">
        <v>50</v>
      </c>
      <c r="Q26" s="183">
        <v>50</v>
      </c>
      <c r="R26" s="183">
        <v>50</v>
      </c>
      <c r="S26" s="183">
        <v>50</v>
      </c>
      <c r="T26" s="183">
        <v>51</v>
      </c>
      <c r="U26" s="183">
        <v>51</v>
      </c>
      <c r="V26" s="183">
        <v>51</v>
      </c>
      <c r="W26" s="183">
        <v>51</v>
      </c>
      <c r="X26" s="183">
        <v>51</v>
      </c>
      <c r="Y26" s="183">
        <v>51</v>
      </c>
      <c r="Z26" s="183">
        <v>51</v>
      </c>
      <c r="AA26" s="183">
        <v>51</v>
      </c>
      <c r="AB26" s="183">
        <v>51</v>
      </c>
      <c r="AC26" s="183">
        <v>51</v>
      </c>
      <c r="AD26" s="183">
        <v>51</v>
      </c>
      <c r="AE26" s="183">
        <v>51</v>
      </c>
      <c r="AF26" s="205"/>
      <c r="AG26" s="183">
        <v>48</v>
      </c>
    </row>
    <row r="27" spans="1:33">
      <c r="A27" s="189" t="s">
        <v>148</v>
      </c>
      <c r="B27" s="183">
        <v>1060</v>
      </c>
      <c r="C27" s="183">
        <v>1060</v>
      </c>
      <c r="D27" s="183">
        <v>1060</v>
      </c>
      <c r="E27" s="183">
        <v>1060</v>
      </c>
      <c r="F27" s="183">
        <v>1091</v>
      </c>
      <c r="G27" s="183">
        <v>1091</v>
      </c>
      <c r="H27" s="183">
        <v>1091</v>
      </c>
      <c r="I27" s="183">
        <v>1091</v>
      </c>
      <c r="J27" s="183">
        <v>1091</v>
      </c>
      <c r="K27" s="183">
        <v>1091</v>
      </c>
      <c r="L27" s="183">
        <v>1091</v>
      </c>
      <c r="M27" s="183">
        <v>1126</v>
      </c>
      <c r="N27" s="183">
        <v>1126</v>
      </c>
      <c r="O27" s="183">
        <v>1126</v>
      </c>
      <c r="P27" s="183">
        <v>1126</v>
      </c>
      <c r="Q27" s="183">
        <v>1126</v>
      </c>
      <c r="R27" s="183">
        <v>1126</v>
      </c>
      <c r="S27" s="183">
        <v>1126</v>
      </c>
      <c r="T27" s="183">
        <v>1176</v>
      </c>
      <c r="U27" s="183">
        <v>1176</v>
      </c>
      <c r="V27" s="183">
        <v>1176</v>
      </c>
      <c r="W27" s="183">
        <v>1176</v>
      </c>
      <c r="X27" s="183">
        <v>1176</v>
      </c>
      <c r="Y27" s="183">
        <v>1176</v>
      </c>
      <c r="Z27" s="183">
        <v>1176</v>
      </c>
      <c r="AA27" s="183">
        <v>1250</v>
      </c>
      <c r="AB27" s="183">
        <v>1250</v>
      </c>
      <c r="AC27" s="183">
        <v>1250</v>
      </c>
      <c r="AD27" s="183">
        <v>1250</v>
      </c>
      <c r="AE27" s="183">
        <v>1250</v>
      </c>
      <c r="AF27" s="205"/>
      <c r="AG27" s="183">
        <v>1060</v>
      </c>
    </row>
    <row r="28" spans="1:33">
      <c r="A28" s="189" t="s">
        <v>151</v>
      </c>
      <c r="B28" s="183">
        <v>199</v>
      </c>
      <c r="C28" s="183">
        <v>199</v>
      </c>
      <c r="D28" s="183">
        <v>199</v>
      </c>
      <c r="E28" s="183">
        <v>199</v>
      </c>
      <c r="F28" s="183">
        <v>209</v>
      </c>
      <c r="G28" s="183">
        <v>209</v>
      </c>
      <c r="H28" s="183">
        <v>209</v>
      </c>
      <c r="I28" s="183">
        <v>209</v>
      </c>
      <c r="J28" s="183">
        <v>209</v>
      </c>
      <c r="K28" s="183">
        <v>209</v>
      </c>
      <c r="L28" s="183">
        <v>209</v>
      </c>
      <c r="M28" s="183">
        <v>219</v>
      </c>
      <c r="N28" s="183">
        <v>219</v>
      </c>
      <c r="O28" s="183">
        <v>219</v>
      </c>
      <c r="P28" s="183">
        <v>219</v>
      </c>
      <c r="Q28" s="183">
        <v>219</v>
      </c>
      <c r="R28" s="183">
        <v>219</v>
      </c>
      <c r="S28" s="183">
        <v>219</v>
      </c>
      <c r="T28" s="183">
        <v>230</v>
      </c>
      <c r="U28" s="183">
        <v>230</v>
      </c>
      <c r="V28" s="183">
        <v>230</v>
      </c>
      <c r="W28" s="183">
        <v>230</v>
      </c>
      <c r="X28" s="183">
        <v>230</v>
      </c>
      <c r="Y28" s="183">
        <v>230</v>
      </c>
      <c r="Z28" s="183">
        <v>230</v>
      </c>
      <c r="AA28" s="183">
        <v>241</v>
      </c>
      <c r="AB28" s="183">
        <v>241</v>
      </c>
      <c r="AC28" s="183">
        <v>241</v>
      </c>
      <c r="AD28" s="183">
        <v>241</v>
      </c>
      <c r="AE28" s="183">
        <v>241</v>
      </c>
      <c r="AF28" s="205"/>
      <c r="AG28" s="183">
        <v>199</v>
      </c>
    </row>
    <row r="29" spans="1:33">
      <c r="A29" s="189" t="s">
        <v>154</v>
      </c>
      <c r="B29" s="183">
        <v>74</v>
      </c>
      <c r="C29" s="183">
        <v>74</v>
      </c>
      <c r="D29" s="183">
        <v>74</v>
      </c>
      <c r="E29" s="183">
        <v>74</v>
      </c>
      <c r="F29" s="183">
        <v>76</v>
      </c>
      <c r="G29" s="183">
        <v>76</v>
      </c>
      <c r="H29" s="183">
        <v>76</v>
      </c>
      <c r="I29" s="183">
        <v>76</v>
      </c>
      <c r="J29" s="183">
        <v>76</v>
      </c>
      <c r="K29" s="183">
        <v>76</v>
      </c>
      <c r="L29" s="183">
        <v>76</v>
      </c>
      <c r="M29" s="183">
        <v>78</v>
      </c>
      <c r="N29" s="183">
        <v>78</v>
      </c>
      <c r="O29" s="183">
        <v>78</v>
      </c>
      <c r="P29" s="183">
        <v>78</v>
      </c>
      <c r="Q29" s="183">
        <v>78</v>
      </c>
      <c r="R29" s="183">
        <v>78</v>
      </c>
      <c r="S29" s="183">
        <v>78</v>
      </c>
      <c r="T29" s="183">
        <v>80</v>
      </c>
      <c r="U29" s="183">
        <v>80</v>
      </c>
      <c r="V29" s="183">
        <v>80</v>
      </c>
      <c r="W29" s="183">
        <v>80</v>
      </c>
      <c r="X29" s="183">
        <v>80</v>
      </c>
      <c r="Y29" s="183">
        <v>80</v>
      </c>
      <c r="Z29" s="183">
        <v>80</v>
      </c>
      <c r="AA29" s="183">
        <v>82</v>
      </c>
      <c r="AB29" s="183">
        <v>82</v>
      </c>
      <c r="AC29" s="183">
        <v>82</v>
      </c>
      <c r="AD29" s="183">
        <v>82</v>
      </c>
      <c r="AE29" s="183">
        <v>82</v>
      </c>
      <c r="AF29" s="205"/>
      <c r="AG29" s="183">
        <v>74</v>
      </c>
    </row>
    <row r="30" spans="1:33">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207"/>
      <c r="AG30" s="162"/>
    </row>
    <row r="31" spans="1:33" ht="16.5">
      <c r="A31" s="87"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215" t="s">
        <v>157</v>
      </c>
      <c r="AE31" s="181" t="s">
        <v>157</v>
      </c>
      <c r="AF31" s="192"/>
      <c r="AG31" s="181" t="s">
        <v>157</v>
      </c>
    </row>
    <row r="32" spans="1:33" ht="25.5">
      <c r="A32" s="127" t="s">
        <v>77</v>
      </c>
      <c r="B32" s="191" t="s">
        <v>158</v>
      </c>
      <c r="C32" s="191" t="s">
        <v>158</v>
      </c>
      <c r="D32" s="191" t="s">
        <v>158</v>
      </c>
      <c r="E32" s="191" t="s">
        <v>158</v>
      </c>
      <c r="F32" s="191" t="s">
        <v>158</v>
      </c>
      <c r="G32" s="191" t="s">
        <v>158</v>
      </c>
      <c r="H32" s="191" t="s">
        <v>158</v>
      </c>
      <c r="I32" s="191" t="s">
        <v>158</v>
      </c>
      <c r="J32" s="191" t="s">
        <v>158</v>
      </c>
      <c r="K32" s="191" t="s">
        <v>158</v>
      </c>
      <c r="L32" s="191" t="s">
        <v>158</v>
      </c>
      <c r="M32" s="191" t="s">
        <v>158</v>
      </c>
      <c r="N32" s="191" t="s">
        <v>158</v>
      </c>
      <c r="O32" s="191" t="s">
        <v>158</v>
      </c>
      <c r="P32" s="191" t="s">
        <v>158</v>
      </c>
      <c r="Q32" s="191" t="s">
        <v>158</v>
      </c>
      <c r="R32" s="191" t="s">
        <v>158</v>
      </c>
      <c r="S32" s="191" t="s">
        <v>158</v>
      </c>
      <c r="T32" s="191" t="s">
        <v>158</v>
      </c>
      <c r="U32" s="191" t="s">
        <v>158</v>
      </c>
      <c r="V32" s="191" t="s">
        <v>158</v>
      </c>
      <c r="W32" s="191" t="s">
        <v>158</v>
      </c>
      <c r="X32" s="191" t="s">
        <v>158</v>
      </c>
      <c r="Y32" s="191" t="s">
        <v>158</v>
      </c>
      <c r="Z32" s="191" t="s">
        <v>158</v>
      </c>
      <c r="AA32" s="191" t="s">
        <v>158</v>
      </c>
      <c r="AB32" s="191" t="s">
        <v>158</v>
      </c>
      <c r="AC32" s="191" t="s">
        <v>158</v>
      </c>
      <c r="AD32" s="190" t="s">
        <v>158</v>
      </c>
      <c r="AE32" s="191" t="s">
        <v>158</v>
      </c>
      <c r="AF32" s="209"/>
      <c r="AG32" s="191" t="s">
        <v>158</v>
      </c>
    </row>
    <row r="33" spans="1:33" ht="25.5">
      <c r="A33" s="87" t="s">
        <v>80</v>
      </c>
      <c r="B33" s="187" t="s">
        <v>592</v>
      </c>
      <c r="C33" s="188" t="s">
        <v>423</v>
      </c>
      <c r="D33" s="188" t="s">
        <v>424</v>
      </c>
      <c r="E33" s="188" t="s">
        <v>425</v>
      </c>
      <c r="F33" s="188" t="s">
        <v>426</v>
      </c>
      <c r="G33" s="188" t="s">
        <v>427</v>
      </c>
      <c r="H33" s="188" t="s">
        <v>428</v>
      </c>
      <c r="I33" s="188" t="s">
        <v>285</v>
      </c>
      <c r="J33" s="188" t="s">
        <v>429</v>
      </c>
      <c r="K33" s="188" t="s">
        <v>430</v>
      </c>
      <c r="L33" s="188" t="s">
        <v>431</v>
      </c>
      <c r="M33" s="188" t="s">
        <v>432</v>
      </c>
      <c r="N33" s="188" t="s">
        <v>432</v>
      </c>
      <c r="O33" s="188" t="s">
        <v>283</v>
      </c>
      <c r="P33" s="188" t="s">
        <v>433</v>
      </c>
      <c r="Q33" s="188" t="s">
        <v>280</v>
      </c>
      <c r="R33" s="188" t="s">
        <v>280</v>
      </c>
      <c r="S33" s="188" t="s">
        <v>434</v>
      </c>
      <c r="T33" s="188" t="s">
        <v>280</v>
      </c>
      <c r="U33" s="188" t="s">
        <v>434</v>
      </c>
      <c r="V33" s="188" t="s">
        <v>435</v>
      </c>
      <c r="W33" s="188" t="s">
        <v>436</v>
      </c>
      <c r="X33" s="188" t="s">
        <v>437</v>
      </c>
      <c r="Y33" s="188" t="s">
        <v>438</v>
      </c>
      <c r="Z33" s="188" t="s">
        <v>439</v>
      </c>
      <c r="AA33" s="188" t="s">
        <v>440</v>
      </c>
      <c r="AB33" s="188" t="s">
        <v>441</v>
      </c>
      <c r="AC33" s="188" t="s">
        <v>386</v>
      </c>
      <c r="AD33" s="187" t="s">
        <v>327</v>
      </c>
      <c r="AE33" s="188" t="s">
        <v>442</v>
      </c>
      <c r="AF33" s="206"/>
      <c r="AG33" s="188" t="s">
        <v>394</v>
      </c>
    </row>
    <row r="34" spans="1:33" ht="15.75" thickBot="1">
      <c r="A34" s="139" t="s">
        <v>81</v>
      </c>
      <c r="B34" s="187" t="s">
        <v>593</v>
      </c>
      <c r="C34" s="188" t="s">
        <v>397</v>
      </c>
      <c r="D34" s="188" t="s">
        <v>397</v>
      </c>
      <c r="E34" s="188" t="s">
        <v>443</v>
      </c>
      <c r="F34" s="188" t="s">
        <v>397</v>
      </c>
      <c r="G34" s="188" t="s">
        <v>397</v>
      </c>
      <c r="H34" s="188" t="s">
        <v>397</v>
      </c>
      <c r="I34" s="188" t="s">
        <v>397</v>
      </c>
      <c r="J34" s="188" t="s">
        <v>397</v>
      </c>
      <c r="K34" s="188" t="s">
        <v>397</v>
      </c>
      <c r="L34" s="188" t="s">
        <v>443</v>
      </c>
      <c r="M34" s="188" t="s">
        <v>444</v>
      </c>
      <c r="N34" s="188" t="s">
        <v>444</v>
      </c>
      <c r="O34" s="188" t="s">
        <v>444</v>
      </c>
      <c r="P34" s="188" t="s">
        <v>445</v>
      </c>
      <c r="Q34" s="188" t="s">
        <v>444</v>
      </c>
      <c r="R34" s="188" t="s">
        <v>444</v>
      </c>
      <c r="S34" s="188" t="s">
        <v>445</v>
      </c>
      <c r="T34" s="188" t="s">
        <v>444</v>
      </c>
      <c r="U34" s="188" t="s">
        <v>444</v>
      </c>
      <c r="V34" s="188" t="s">
        <v>445</v>
      </c>
      <c r="W34" s="188" t="s">
        <v>446</v>
      </c>
      <c r="X34" s="188" t="s">
        <v>446</v>
      </c>
      <c r="Y34" s="188" t="s">
        <v>447</v>
      </c>
      <c r="Z34" s="188" t="s">
        <v>446</v>
      </c>
      <c r="AA34" s="188" t="s">
        <v>448</v>
      </c>
      <c r="AB34" s="188" t="s">
        <v>448</v>
      </c>
      <c r="AC34" s="188" t="s">
        <v>449</v>
      </c>
      <c r="AD34" s="187" t="s">
        <v>449</v>
      </c>
      <c r="AE34" s="188" t="s">
        <v>450</v>
      </c>
      <c r="AF34" s="206"/>
      <c r="AG34" s="188" t="s">
        <v>397</v>
      </c>
    </row>
    <row r="35" spans="1:33">
      <c r="AF35" s="211"/>
    </row>
    <row r="36" spans="1:33">
      <c r="AF36" s="211"/>
    </row>
  </sheetData>
  <mergeCells count="1">
    <mergeCell ref="A1:A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3C9D-2F83-4ED2-A51D-01C97938EBD2}">
  <dimension ref="A1:AM36"/>
  <sheetViews>
    <sheetView topLeftCell="K3" workbookViewId="0">
      <selection activeCell="AG23" sqref="AG23"/>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2" width="8.7109375" style="20"/>
    <col min="33" max="33" width="8.7109375" style="144"/>
    <col min="34" max="34" width="10.85546875" style="144" customWidth="1"/>
    <col min="35" max="35" width="11" customWidth="1"/>
    <col min="36" max="36" width="11.42578125" customWidth="1"/>
  </cols>
  <sheetData>
    <row r="1" spans="1:39"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5.75">
      <c r="A2" s="82"/>
      <c r="B2" s="83">
        <v>44378</v>
      </c>
      <c r="C2" s="83">
        <v>44379</v>
      </c>
      <c r="D2" s="83">
        <v>44380</v>
      </c>
      <c r="E2" s="83">
        <v>44381</v>
      </c>
      <c r="F2" s="83">
        <v>44382</v>
      </c>
      <c r="G2" s="83">
        <v>44383</v>
      </c>
      <c r="H2" s="83">
        <v>44384</v>
      </c>
      <c r="I2" s="83">
        <v>44385</v>
      </c>
      <c r="J2" s="83">
        <v>44386</v>
      </c>
      <c r="K2" s="83">
        <v>44387</v>
      </c>
      <c r="L2" s="83">
        <v>44388</v>
      </c>
      <c r="M2" s="83">
        <v>44389</v>
      </c>
      <c r="N2" s="83">
        <v>44390</v>
      </c>
      <c r="O2" s="83">
        <v>44391</v>
      </c>
      <c r="P2" s="83">
        <v>44392</v>
      </c>
      <c r="Q2" s="83">
        <v>44393</v>
      </c>
      <c r="R2" s="83">
        <v>44394</v>
      </c>
      <c r="S2" s="83">
        <v>44395</v>
      </c>
      <c r="T2" s="83">
        <v>44396</v>
      </c>
      <c r="U2" s="83">
        <v>44397</v>
      </c>
      <c r="V2" s="83">
        <v>44398</v>
      </c>
      <c r="W2" s="83">
        <v>44399</v>
      </c>
      <c r="X2" s="83">
        <v>44400</v>
      </c>
      <c r="Y2" s="83">
        <v>44401</v>
      </c>
      <c r="Z2" s="83">
        <v>44402</v>
      </c>
      <c r="AA2" s="83">
        <v>44403</v>
      </c>
      <c r="AB2" s="83">
        <v>44404</v>
      </c>
      <c r="AC2" s="83">
        <v>44405</v>
      </c>
      <c r="AD2" s="83">
        <v>44406</v>
      </c>
      <c r="AE2" s="83">
        <v>44407</v>
      </c>
      <c r="AF2" s="83">
        <v>44408</v>
      </c>
      <c r="AG2" s="83"/>
      <c r="AH2" s="83">
        <v>44377</v>
      </c>
    </row>
    <row r="3" spans="1:39"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91" t="s">
        <v>53</v>
      </c>
      <c r="AG3" s="193"/>
      <c r="AH3" s="93" t="s">
        <v>52</v>
      </c>
    </row>
    <row r="4" spans="1:39" ht="20.100000000000001" customHeight="1">
      <c r="A4" s="94" t="s">
        <v>54</v>
      </c>
      <c r="B4" s="212">
        <v>164827</v>
      </c>
      <c r="C4" s="212">
        <v>165000</v>
      </c>
      <c r="D4" s="212">
        <v>165163</v>
      </c>
      <c r="E4" s="212">
        <v>165339</v>
      </c>
      <c r="F4" s="212">
        <v>165513</v>
      </c>
      <c r="G4" s="212">
        <v>165686</v>
      </c>
      <c r="H4" s="212">
        <v>165861</v>
      </c>
      <c r="I4" s="212">
        <v>166036</v>
      </c>
      <c r="J4" s="212">
        <v>166201</v>
      </c>
      <c r="K4" s="212">
        <v>166364</v>
      </c>
      <c r="L4" s="212">
        <v>166533</v>
      </c>
      <c r="M4" s="212">
        <v>166712</v>
      </c>
      <c r="N4" s="212">
        <v>166886</v>
      </c>
      <c r="O4" s="212">
        <v>167064</v>
      </c>
      <c r="P4" s="212">
        <v>167241</v>
      </c>
      <c r="Q4" s="212">
        <v>167419</v>
      </c>
      <c r="R4" s="212">
        <v>167590</v>
      </c>
      <c r="S4" s="212">
        <v>167760</v>
      </c>
      <c r="T4" s="212">
        <v>167928</v>
      </c>
      <c r="U4" s="212">
        <v>168097</v>
      </c>
      <c r="V4" s="212">
        <v>168261</v>
      </c>
      <c r="W4" s="212">
        <v>168427</v>
      </c>
      <c r="X4" s="212">
        <v>168593</v>
      </c>
      <c r="Y4" s="212">
        <v>168758</v>
      </c>
      <c r="Z4" s="212">
        <v>168925</v>
      </c>
      <c r="AA4" s="212">
        <v>169097</v>
      </c>
      <c r="AB4" s="212">
        <v>169276</v>
      </c>
      <c r="AC4" s="212">
        <v>169486</v>
      </c>
      <c r="AD4" s="212">
        <v>169722</v>
      </c>
      <c r="AE4" s="212">
        <v>169952</v>
      </c>
      <c r="AF4" s="212">
        <v>170170</v>
      </c>
      <c r="AG4" s="195"/>
      <c r="AH4" s="212">
        <v>164657</v>
      </c>
      <c r="AI4" s="101"/>
      <c r="AJ4" s="101"/>
      <c r="AM4" s="102"/>
    </row>
    <row r="5" spans="1:39" ht="20.100000000000001" customHeight="1">
      <c r="A5" s="94" t="s">
        <v>55</v>
      </c>
      <c r="B5" s="212">
        <v>3587245</v>
      </c>
      <c r="C5" s="212">
        <v>3595116</v>
      </c>
      <c r="D5" s="212">
        <v>3602294</v>
      </c>
      <c r="E5" s="212">
        <v>3610059</v>
      </c>
      <c r="F5" s="212">
        <v>3618003</v>
      </c>
      <c r="G5" s="212">
        <v>3625867</v>
      </c>
      <c r="H5" s="212">
        <v>3633994</v>
      </c>
      <c r="I5" s="212">
        <v>3642116</v>
      </c>
      <c r="J5" s="212">
        <v>3649881</v>
      </c>
      <c r="K5" s="212">
        <v>3657244</v>
      </c>
      <c r="L5" s="212">
        <v>3665021</v>
      </c>
      <c r="M5" s="212">
        <v>3673105</v>
      </c>
      <c r="N5" s="212">
        <v>3681130</v>
      </c>
      <c r="O5" s="212">
        <v>3689289</v>
      </c>
      <c r="P5" s="212">
        <v>3697379</v>
      </c>
      <c r="Q5" s="212">
        <v>3705361</v>
      </c>
      <c r="R5" s="212">
        <v>3712898</v>
      </c>
      <c r="S5" s="212">
        <v>3720728</v>
      </c>
      <c r="T5" s="212">
        <v>3728172</v>
      </c>
      <c r="U5" s="212">
        <v>3735466</v>
      </c>
      <c r="V5" s="212">
        <v>3742443</v>
      </c>
      <c r="W5" s="212">
        <v>3749591</v>
      </c>
      <c r="X5" s="212">
        <v>3756991</v>
      </c>
      <c r="Y5" s="212">
        <v>3764178</v>
      </c>
      <c r="Z5" s="212">
        <v>3771268</v>
      </c>
      <c r="AA5" s="212">
        <v>3778315</v>
      </c>
      <c r="AB5" s="212">
        <v>3786404</v>
      </c>
      <c r="AC5" s="212">
        <v>3794447</v>
      </c>
      <c r="AD5" s="212">
        <v>3802304</v>
      </c>
      <c r="AE5" s="212">
        <v>3809756</v>
      </c>
      <c r="AF5" s="212">
        <v>3816632</v>
      </c>
      <c r="AG5" s="195"/>
      <c r="AH5" s="212">
        <v>3579333</v>
      </c>
      <c r="AI5" s="101"/>
      <c r="AJ5" s="101"/>
      <c r="AM5" s="102"/>
    </row>
    <row r="6" spans="1:39" ht="20.100000000000001" customHeight="1">
      <c r="A6" s="94" t="s">
        <v>56</v>
      </c>
      <c r="B6" s="212">
        <v>1789934</v>
      </c>
      <c r="C6" s="212">
        <v>1794967</v>
      </c>
      <c r="D6" s="212">
        <v>1799925</v>
      </c>
      <c r="E6" s="212">
        <v>1805059</v>
      </c>
      <c r="F6" s="212">
        <v>1810515</v>
      </c>
      <c r="G6" s="212">
        <v>1815874</v>
      </c>
      <c r="H6" s="212">
        <v>1821301</v>
      </c>
      <c r="I6" s="212">
        <v>1826654</v>
      </c>
      <c r="J6" s="212">
        <v>1831857</v>
      </c>
      <c r="K6" s="212">
        <v>1836977</v>
      </c>
      <c r="L6" s="212">
        <v>1842303</v>
      </c>
      <c r="M6" s="212">
        <v>1847604</v>
      </c>
      <c r="N6" s="212">
        <v>1852885</v>
      </c>
      <c r="O6" s="212">
        <v>1858177</v>
      </c>
      <c r="P6" s="212">
        <v>1863478</v>
      </c>
      <c r="Q6" s="212">
        <v>1868576</v>
      </c>
      <c r="R6" s="212">
        <v>1873556</v>
      </c>
      <c r="S6" s="212">
        <v>1878587</v>
      </c>
      <c r="T6" s="212">
        <v>1883600</v>
      </c>
      <c r="U6" s="212">
        <v>1888441</v>
      </c>
      <c r="V6" s="212">
        <v>1893090</v>
      </c>
      <c r="W6" s="212">
        <v>1897766</v>
      </c>
      <c r="X6" s="212">
        <v>1902395</v>
      </c>
      <c r="Y6" s="212">
        <v>1907068</v>
      </c>
      <c r="Z6" s="212">
        <v>1911738</v>
      </c>
      <c r="AA6" s="212">
        <v>1916745</v>
      </c>
      <c r="AB6" s="212">
        <v>1922057</v>
      </c>
      <c r="AC6" s="212">
        <v>1926280</v>
      </c>
      <c r="AD6" s="212">
        <v>1929801</v>
      </c>
      <c r="AE6" s="212">
        <v>1933170</v>
      </c>
      <c r="AF6" s="212">
        <v>1936316</v>
      </c>
      <c r="AG6" s="195"/>
      <c r="AH6" s="212">
        <v>1784765</v>
      </c>
      <c r="AI6" s="101"/>
      <c r="AJ6" s="101"/>
      <c r="AM6" s="102"/>
    </row>
    <row r="7" spans="1:39" ht="20.100000000000001" customHeight="1">
      <c r="A7" s="94" t="s">
        <v>57</v>
      </c>
      <c r="B7" s="212">
        <v>5289872</v>
      </c>
      <c r="C7" s="212">
        <v>5297021</v>
      </c>
      <c r="D7" s="212">
        <v>5304718</v>
      </c>
      <c r="E7" s="212">
        <v>5311598</v>
      </c>
      <c r="F7" s="212">
        <v>5320137</v>
      </c>
      <c r="G7" s="212">
        <v>5329015</v>
      </c>
      <c r="H7" s="212">
        <v>5338499</v>
      </c>
      <c r="I7" s="212">
        <v>5348488</v>
      </c>
      <c r="J7" s="212">
        <v>5362623</v>
      </c>
      <c r="K7" s="212">
        <v>5376516</v>
      </c>
      <c r="L7" s="212">
        <v>5386116</v>
      </c>
      <c r="M7" s="212">
        <v>5394442</v>
      </c>
      <c r="N7" s="212">
        <v>5401921</v>
      </c>
      <c r="O7" s="212">
        <v>5411507</v>
      </c>
      <c r="P7" s="212">
        <v>5421224</v>
      </c>
      <c r="Q7" s="212">
        <v>5430736</v>
      </c>
      <c r="R7" s="212">
        <v>5439474</v>
      </c>
      <c r="S7" s="212">
        <v>5448262</v>
      </c>
      <c r="T7" s="212">
        <v>5455840</v>
      </c>
      <c r="U7" s="212">
        <v>5463173</v>
      </c>
      <c r="V7" s="212">
        <v>5471602</v>
      </c>
      <c r="W7" s="212">
        <v>5485686</v>
      </c>
      <c r="X7" s="212">
        <v>5500983</v>
      </c>
      <c r="Y7" s="212">
        <v>5517161</v>
      </c>
      <c r="Z7" s="212">
        <v>5533106</v>
      </c>
      <c r="AA7" s="212">
        <v>5544113</v>
      </c>
      <c r="AB7" s="212">
        <v>5546025</v>
      </c>
      <c r="AC7" s="212">
        <v>5546105</v>
      </c>
      <c r="AD7" s="212">
        <v>5546185</v>
      </c>
      <c r="AE7" s="212">
        <v>5546266</v>
      </c>
      <c r="AF7" s="212">
        <v>5547171</v>
      </c>
      <c r="AG7" s="195"/>
      <c r="AH7" s="212">
        <v>5282184</v>
      </c>
      <c r="AI7" s="101"/>
      <c r="AJ7" s="101"/>
      <c r="AM7" s="102"/>
    </row>
    <row r="8" spans="1:39" ht="20.100000000000001" customHeight="1">
      <c r="A8" s="94" t="s">
        <v>58</v>
      </c>
      <c r="B8" s="212">
        <v>1821381</v>
      </c>
      <c r="C8" s="212">
        <v>1823719</v>
      </c>
      <c r="D8" s="212">
        <v>1826164</v>
      </c>
      <c r="E8" s="212">
        <v>1828188</v>
      </c>
      <c r="F8" s="212">
        <v>1830914</v>
      </c>
      <c r="G8" s="212">
        <v>1833739</v>
      </c>
      <c r="H8" s="212">
        <v>1836773</v>
      </c>
      <c r="I8" s="212">
        <v>1838959</v>
      </c>
      <c r="J8" s="212">
        <v>1838959</v>
      </c>
      <c r="K8" s="212">
        <v>1838959</v>
      </c>
      <c r="L8" s="212">
        <v>1841582</v>
      </c>
      <c r="M8" s="212">
        <v>1844260</v>
      </c>
      <c r="N8" s="212">
        <v>1846698</v>
      </c>
      <c r="O8" s="212">
        <v>1849764</v>
      </c>
      <c r="P8" s="212">
        <v>1852860</v>
      </c>
      <c r="Q8" s="212">
        <v>1855880</v>
      </c>
      <c r="R8" s="212">
        <v>1858653</v>
      </c>
      <c r="S8" s="212">
        <v>1861457</v>
      </c>
      <c r="T8" s="212">
        <v>1863804</v>
      </c>
      <c r="U8" s="212">
        <v>1865774</v>
      </c>
      <c r="V8" s="212">
        <v>1867977</v>
      </c>
      <c r="W8" s="212">
        <v>1867977</v>
      </c>
      <c r="X8" s="212">
        <v>1867977</v>
      </c>
      <c r="Y8" s="212">
        <v>1867977</v>
      </c>
      <c r="Z8" s="212">
        <v>1867977</v>
      </c>
      <c r="AA8" s="212">
        <v>1870136</v>
      </c>
      <c r="AB8" s="212">
        <v>1875890</v>
      </c>
      <c r="AC8" s="212">
        <v>1882084</v>
      </c>
      <c r="AD8" s="212">
        <v>1887678</v>
      </c>
      <c r="AE8" s="212">
        <v>1892525</v>
      </c>
      <c r="AF8" s="212">
        <v>1896871</v>
      </c>
      <c r="AG8" s="195"/>
      <c r="AH8" s="212">
        <v>1818987</v>
      </c>
      <c r="AI8" s="101"/>
      <c r="AJ8" s="101"/>
      <c r="AM8" s="102"/>
    </row>
    <row r="9" spans="1:39" ht="20.100000000000001" customHeight="1">
      <c r="A9" s="94" t="s">
        <v>59</v>
      </c>
      <c r="B9" s="214">
        <v>11535155</v>
      </c>
      <c r="C9" s="214">
        <v>11548681</v>
      </c>
      <c r="D9" s="214">
        <v>11562402</v>
      </c>
      <c r="E9" s="214">
        <v>11575231</v>
      </c>
      <c r="F9" s="214">
        <v>11589392</v>
      </c>
      <c r="G9" s="214">
        <v>11603395</v>
      </c>
      <c r="H9" s="214">
        <v>11617655</v>
      </c>
      <c r="I9" s="214">
        <v>11631266</v>
      </c>
      <c r="J9" s="214">
        <v>11644266</v>
      </c>
      <c r="K9" s="214">
        <v>11657138</v>
      </c>
      <c r="L9" s="214">
        <v>11670917</v>
      </c>
      <c r="M9" s="214">
        <v>11684747</v>
      </c>
      <c r="N9" s="214">
        <v>11698066</v>
      </c>
      <c r="O9" s="214">
        <v>11711950</v>
      </c>
      <c r="P9" s="214">
        <v>11725895</v>
      </c>
      <c r="Q9" s="214">
        <v>11739654</v>
      </c>
      <c r="R9" s="214">
        <v>11753400</v>
      </c>
      <c r="S9" s="214">
        <v>11767146</v>
      </c>
      <c r="T9" s="214">
        <v>11780847</v>
      </c>
      <c r="U9" s="214">
        <v>11793847</v>
      </c>
      <c r="V9" s="214">
        <v>11807632</v>
      </c>
      <c r="W9" s="214">
        <v>11821084</v>
      </c>
      <c r="X9" s="214">
        <v>11834757</v>
      </c>
      <c r="Y9" s="214">
        <v>11849247</v>
      </c>
      <c r="Z9" s="214">
        <v>11863839</v>
      </c>
      <c r="AA9" s="214">
        <v>11878415</v>
      </c>
      <c r="AB9" s="214">
        <v>11893183</v>
      </c>
      <c r="AC9" s="214">
        <v>11907889</v>
      </c>
      <c r="AD9" s="214">
        <v>11922164</v>
      </c>
      <c r="AE9" s="214">
        <v>11935505</v>
      </c>
      <c r="AF9" s="214">
        <v>11948478</v>
      </c>
      <c r="AG9" s="197"/>
      <c r="AH9" s="214">
        <v>11521449</v>
      </c>
      <c r="AI9" s="101"/>
      <c r="AJ9" s="101"/>
      <c r="AM9" s="102"/>
    </row>
    <row r="10" spans="1:39" ht="20.100000000000001" customHeight="1">
      <c r="A10" s="94" t="s">
        <v>60</v>
      </c>
      <c r="B10" s="212">
        <v>2846121</v>
      </c>
      <c r="C10" s="212">
        <v>2852288</v>
      </c>
      <c r="D10" s="212">
        <v>2858154</v>
      </c>
      <c r="E10" s="212">
        <v>2864671</v>
      </c>
      <c r="F10" s="212">
        <v>2871210</v>
      </c>
      <c r="G10" s="212">
        <v>2877624</v>
      </c>
      <c r="H10" s="212">
        <v>2884087</v>
      </c>
      <c r="I10" s="212">
        <v>2890461</v>
      </c>
      <c r="J10" s="212">
        <v>2896713</v>
      </c>
      <c r="K10" s="212">
        <v>2902781</v>
      </c>
      <c r="L10" s="212">
        <v>2909115</v>
      </c>
      <c r="M10" s="212">
        <v>2915572</v>
      </c>
      <c r="N10" s="212">
        <v>2922015</v>
      </c>
      <c r="O10" s="212">
        <v>2928513</v>
      </c>
      <c r="P10" s="212">
        <v>2935005</v>
      </c>
      <c r="Q10" s="212">
        <v>2941287</v>
      </c>
      <c r="R10" s="212">
        <v>2947302</v>
      </c>
      <c r="S10" s="212">
        <v>2952725</v>
      </c>
      <c r="T10" s="212">
        <v>2957199</v>
      </c>
      <c r="U10" s="212">
        <v>2960772</v>
      </c>
      <c r="V10" s="212">
        <v>2964292</v>
      </c>
      <c r="W10" s="212">
        <v>2967515</v>
      </c>
      <c r="X10" s="212">
        <v>2970795</v>
      </c>
      <c r="Y10" s="212">
        <v>2974098</v>
      </c>
      <c r="Z10" s="212">
        <v>2977673</v>
      </c>
      <c r="AA10" s="212">
        <v>2982577</v>
      </c>
      <c r="AB10" s="212">
        <v>2988742</v>
      </c>
      <c r="AC10" s="212">
        <v>2995086</v>
      </c>
      <c r="AD10" s="212">
        <v>3001435</v>
      </c>
      <c r="AE10" s="212">
        <v>3007636</v>
      </c>
      <c r="AF10" s="212">
        <v>3013501</v>
      </c>
      <c r="AG10" s="195"/>
      <c r="AH10" s="212">
        <v>2839787</v>
      </c>
      <c r="AI10" s="101"/>
      <c r="AJ10" s="101"/>
      <c r="AM10" s="102"/>
    </row>
    <row r="11" spans="1:39" ht="22.5" customHeight="1">
      <c r="A11" s="94" t="s">
        <v>61</v>
      </c>
      <c r="B11" s="212">
        <v>130025</v>
      </c>
      <c r="C11" s="212">
        <v>130212</v>
      </c>
      <c r="D11" s="212">
        <v>130389</v>
      </c>
      <c r="E11" s="212">
        <v>130573</v>
      </c>
      <c r="F11" s="212">
        <v>130763</v>
      </c>
      <c r="G11" s="212">
        <v>130945</v>
      </c>
      <c r="H11" s="212">
        <v>131127</v>
      </c>
      <c r="I11" s="212">
        <v>131311</v>
      </c>
      <c r="J11" s="212">
        <v>131489</v>
      </c>
      <c r="K11" s="212">
        <v>131654</v>
      </c>
      <c r="L11" s="212">
        <v>131830</v>
      </c>
      <c r="M11" s="212">
        <v>132020</v>
      </c>
      <c r="N11" s="212">
        <v>132202</v>
      </c>
      <c r="O11" s="212">
        <v>132387</v>
      </c>
      <c r="P11" s="212">
        <v>132571</v>
      </c>
      <c r="Q11" s="212">
        <v>132760</v>
      </c>
      <c r="R11" s="212">
        <v>132941</v>
      </c>
      <c r="S11" s="212">
        <v>133118</v>
      </c>
      <c r="T11" s="212">
        <v>133291</v>
      </c>
      <c r="U11" s="212">
        <v>133465</v>
      </c>
      <c r="V11" s="212">
        <v>133628</v>
      </c>
      <c r="W11" s="212">
        <v>133791</v>
      </c>
      <c r="X11" s="212">
        <v>133953</v>
      </c>
      <c r="Y11" s="212">
        <v>134107</v>
      </c>
      <c r="Z11" s="212">
        <v>134286</v>
      </c>
      <c r="AA11" s="212">
        <v>134426</v>
      </c>
      <c r="AB11" s="212">
        <v>134593</v>
      </c>
      <c r="AC11" s="212">
        <v>134763</v>
      </c>
      <c r="AD11" s="212">
        <v>134932</v>
      </c>
      <c r="AE11" s="212">
        <v>135100</v>
      </c>
      <c r="AF11" s="212">
        <v>135252</v>
      </c>
      <c r="AG11" s="195"/>
      <c r="AH11" s="212">
        <v>129840</v>
      </c>
      <c r="AI11" s="101"/>
      <c r="AJ11" s="101"/>
      <c r="AM11" s="102"/>
    </row>
    <row r="12" spans="1:39" s="109" customFormat="1" ht="18" customHeight="1">
      <c r="A12" s="103" t="s">
        <v>62</v>
      </c>
      <c r="B12" s="184"/>
      <c r="C12" s="162"/>
      <c r="D12" s="162"/>
      <c r="E12" s="162"/>
      <c r="F12" s="162"/>
      <c r="G12" s="162"/>
      <c r="H12" s="162"/>
      <c r="I12" s="162"/>
      <c r="J12" s="162"/>
      <c r="K12" s="162"/>
      <c r="L12" s="162"/>
      <c r="M12" s="162"/>
      <c r="N12" s="162"/>
      <c r="O12" s="162"/>
      <c r="P12" s="162"/>
      <c r="Q12" s="162"/>
      <c r="R12" s="162"/>
      <c r="S12" s="162"/>
      <c r="T12" s="232"/>
      <c r="U12" s="162"/>
      <c r="V12" s="162"/>
      <c r="W12" s="162"/>
      <c r="X12" s="162"/>
      <c r="Y12" s="162"/>
      <c r="Z12" s="162"/>
      <c r="AA12" s="162"/>
      <c r="AB12" s="162"/>
      <c r="AC12" s="162"/>
      <c r="AD12" s="162"/>
      <c r="AE12" s="162"/>
      <c r="AF12" s="162"/>
      <c r="AG12" s="198"/>
      <c r="AH12" s="162"/>
    </row>
    <row r="13" spans="1:39" ht="25.5">
      <c r="A13" s="87" t="s">
        <v>63</v>
      </c>
      <c r="B13" s="215" t="s">
        <v>106</v>
      </c>
      <c r="C13" s="215" t="s">
        <v>106</v>
      </c>
      <c r="D13" s="215" t="s">
        <v>106</v>
      </c>
      <c r="E13" s="215" t="s">
        <v>106</v>
      </c>
      <c r="F13" s="215" t="s">
        <v>106</v>
      </c>
      <c r="G13" s="215" t="s">
        <v>106</v>
      </c>
      <c r="H13" s="215" t="s">
        <v>106</v>
      </c>
      <c r="I13" s="215" t="s">
        <v>106</v>
      </c>
      <c r="J13" s="215" t="s">
        <v>106</v>
      </c>
      <c r="K13" s="215" t="s">
        <v>106</v>
      </c>
      <c r="L13" s="215" t="s">
        <v>106</v>
      </c>
      <c r="M13" s="215" t="s">
        <v>106</v>
      </c>
      <c r="N13" s="215" t="s">
        <v>106</v>
      </c>
      <c r="O13" s="215" t="s">
        <v>106</v>
      </c>
      <c r="P13" s="215" t="s">
        <v>106</v>
      </c>
      <c r="Q13" s="215" t="s">
        <v>106</v>
      </c>
      <c r="R13" s="215" t="s">
        <v>106</v>
      </c>
      <c r="S13" s="215" t="s">
        <v>106</v>
      </c>
      <c r="T13" s="215" t="s">
        <v>106</v>
      </c>
      <c r="U13" s="215" t="s">
        <v>106</v>
      </c>
      <c r="V13" s="215" t="s">
        <v>106</v>
      </c>
      <c r="W13" s="215" t="s">
        <v>106</v>
      </c>
      <c r="X13" s="215" t="s">
        <v>106</v>
      </c>
      <c r="Y13" s="215" t="s">
        <v>106</v>
      </c>
      <c r="Z13" s="215" t="s">
        <v>106</v>
      </c>
      <c r="AA13" s="215" t="s">
        <v>106</v>
      </c>
      <c r="AB13" s="215" t="s">
        <v>106</v>
      </c>
      <c r="AC13" s="215" t="s">
        <v>106</v>
      </c>
      <c r="AD13" s="215" t="s">
        <v>106</v>
      </c>
      <c r="AE13" s="215" t="s">
        <v>106</v>
      </c>
      <c r="AF13" s="215" t="s">
        <v>106</v>
      </c>
      <c r="AG13" s="192"/>
      <c r="AH13" s="215" t="s">
        <v>106</v>
      </c>
    </row>
    <row r="14" spans="1:39">
      <c r="A14" s="87" t="s">
        <v>66</v>
      </c>
      <c r="B14" s="186">
        <v>177190.3</v>
      </c>
      <c r="C14" s="186">
        <v>177190.3</v>
      </c>
      <c r="D14" s="182">
        <v>178998.82</v>
      </c>
      <c r="E14" s="182">
        <v>178998.82</v>
      </c>
      <c r="F14" s="182">
        <v>178998.82</v>
      </c>
      <c r="G14" s="182">
        <v>178998.82</v>
      </c>
      <c r="H14" s="182">
        <v>178998.82</v>
      </c>
      <c r="I14" s="182">
        <v>178998.82</v>
      </c>
      <c r="J14" s="182">
        <v>178998.82</v>
      </c>
      <c r="K14" s="182">
        <v>180012.62</v>
      </c>
      <c r="L14" s="182">
        <v>180012.62</v>
      </c>
      <c r="M14" s="182">
        <v>180012.62</v>
      </c>
      <c r="N14" s="182">
        <v>180012.62</v>
      </c>
      <c r="O14" s="182">
        <v>180012.62</v>
      </c>
      <c r="P14" s="182">
        <v>180012.62</v>
      </c>
      <c r="Q14" s="182">
        <v>180012.62</v>
      </c>
      <c r="R14" s="182">
        <v>180642.86</v>
      </c>
      <c r="S14" s="182">
        <v>180642.86</v>
      </c>
      <c r="T14" s="182">
        <v>180642.86</v>
      </c>
      <c r="U14" s="182">
        <v>180642.86</v>
      </c>
      <c r="V14" s="182">
        <v>180642.86</v>
      </c>
      <c r="W14" s="182">
        <v>180642.86</v>
      </c>
      <c r="X14" s="182">
        <v>180642.86</v>
      </c>
      <c r="Y14" s="182">
        <v>181223.46</v>
      </c>
      <c r="Z14" s="182">
        <v>181223.46</v>
      </c>
      <c r="AA14" s="182">
        <v>181223.46</v>
      </c>
      <c r="AB14" s="182">
        <v>181223.46</v>
      </c>
      <c r="AC14" s="182">
        <v>181223.46</v>
      </c>
      <c r="AD14" s="182">
        <v>181223.46</v>
      </c>
      <c r="AE14" s="182">
        <v>181223.46</v>
      </c>
      <c r="AF14" s="182">
        <v>182037.85</v>
      </c>
      <c r="AG14" s="200"/>
      <c r="AH14" s="186">
        <v>1777190.3</v>
      </c>
    </row>
    <row r="15" spans="1:39" ht="25.5">
      <c r="A15" s="87" t="s">
        <v>67</v>
      </c>
      <c r="B15" s="183">
        <v>1118</v>
      </c>
      <c r="C15" s="183">
        <v>1118</v>
      </c>
      <c r="D15" s="183">
        <v>1118</v>
      </c>
      <c r="E15" s="183">
        <v>1118</v>
      </c>
      <c r="F15" s="183">
        <v>1118</v>
      </c>
      <c r="G15" s="183">
        <v>1118</v>
      </c>
      <c r="H15" s="183">
        <v>1118</v>
      </c>
      <c r="I15" s="183">
        <v>1118</v>
      </c>
      <c r="J15" s="183">
        <v>1118</v>
      </c>
      <c r="K15" s="183">
        <v>1118</v>
      </c>
      <c r="L15" s="183">
        <v>1118</v>
      </c>
      <c r="M15" s="183">
        <v>1118</v>
      </c>
      <c r="N15" s="183">
        <v>1118</v>
      </c>
      <c r="O15" s="183">
        <v>1118</v>
      </c>
      <c r="P15" s="183">
        <v>1118</v>
      </c>
      <c r="Q15" s="183">
        <v>1118</v>
      </c>
      <c r="R15" s="183">
        <v>1125</v>
      </c>
      <c r="S15" s="183">
        <v>1125</v>
      </c>
      <c r="T15" s="183">
        <v>1125</v>
      </c>
      <c r="U15" s="183">
        <v>1125</v>
      </c>
      <c r="V15" s="183">
        <v>1125</v>
      </c>
      <c r="W15" s="183">
        <v>1125</v>
      </c>
      <c r="X15" s="183">
        <v>1125</v>
      </c>
      <c r="Y15" s="183">
        <v>1125</v>
      </c>
      <c r="Z15" s="183">
        <v>1125</v>
      </c>
      <c r="AA15" s="183">
        <v>1125</v>
      </c>
      <c r="AB15" s="183">
        <v>1125</v>
      </c>
      <c r="AC15" s="183">
        <v>1125</v>
      </c>
      <c r="AD15" s="183">
        <v>1125</v>
      </c>
      <c r="AE15" s="183">
        <v>1125</v>
      </c>
      <c r="AF15" s="183">
        <v>1127</v>
      </c>
      <c r="AG15" s="202"/>
      <c r="AH15" s="183">
        <v>1118</v>
      </c>
    </row>
    <row r="16" spans="1:39" ht="25.5">
      <c r="A16" s="87" t="s">
        <v>68</v>
      </c>
      <c r="B16" s="183">
        <v>4587</v>
      </c>
      <c r="C16" s="183">
        <v>4587</v>
      </c>
      <c r="D16" s="183">
        <v>4587</v>
      </c>
      <c r="E16" s="183">
        <v>4587</v>
      </c>
      <c r="F16" s="183">
        <v>4587</v>
      </c>
      <c r="G16" s="183">
        <v>4587</v>
      </c>
      <c r="H16" s="183">
        <v>4587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183">
        <v>4587</v>
      </c>
      <c r="AE16" s="183">
        <v>4587</v>
      </c>
      <c r="AF16" s="183">
        <v>4587</v>
      </c>
      <c r="AG16" s="202"/>
      <c r="AH16" s="183">
        <v>4587</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203"/>
      <c r="AH17" s="162"/>
    </row>
    <row r="18" spans="1:34" ht="16.5">
      <c r="A18" s="87" t="s">
        <v>69</v>
      </c>
      <c r="B18" s="215" t="s">
        <v>106</v>
      </c>
      <c r="C18" s="215" t="s">
        <v>106</v>
      </c>
      <c r="D18" s="215" t="s">
        <v>106</v>
      </c>
      <c r="E18" s="215" t="s">
        <v>106</v>
      </c>
      <c r="F18" s="215" t="s">
        <v>106</v>
      </c>
      <c r="G18" s="215" t="s">
        <v>106</v>
      </c>
      <c r="H18" s="215" t="s">
        <v>106</v>
      </c>
      <c r="I18" s="215" t="s">
        <v>106</v>
      </c>
      <c r="J18" s="215" t="s">
        <v>106</v>
      </c>
      <c r="K18" s="215" t="s">
        <v>106</v>
      </c>
      <c r="L18" s="215" t="s">
        <v>106</v>
      </c>
      <c r="M18" s="215" t="s">
        <v>106</v>
      </c>
      <c r="N18" s="215" t="s">
        <v>106</v>
      </c>
      <c r="O18" s="215" t="s">
        <v>106</v>
      </c>
      <c r="P18" s="215" t="s">
        <v>106</v>
      </c>
      <c r="Q18" s="215" t="s">
        <v>106</v>
      </c>
      <c r="R18" s="215" t="s">
        <v>106</v>
      </c>
      <c r="S18" s="215" t="s">
        <v>106</v>
      </c>
      <c r="T18" s="215" t="s">
        <v>106</v>
      </c>
      <c r="U18" s="215" t="s">
        <v>106</v>
      </c>
      <c r="V18" s="215" t="s">
        <v>106</v>
      </c>
      <c r="W18" s="215" t="s">
        <v>106</v>
      </c>
      <c r="X18" s="215" t="s">
        <v>106</v>
      </c>
      <c r="Y18" s="215" t="s">
        <v>106</v>
      </c>
      <c r="Z18" s="215" t="s">
        <v>106</v>
      </c>
      <c r="AA18" s="215" t="s">
        <v>106</v>
      </c>
      <c r="AB18" s="215" t="s">
        <v>106</v>
      </c>
      <c r="AC18" s="215" t="s">
        <v>106</v>
      </c>
      <c r="AD18" s="215" t="s">
        <v>106</v>
      </c>
      <c r="AE18" s="215" t="s">
        <v>106</v>
      </c>
      <c r="AF18" s="215" t="s">
        <v>106</v>
      </c>
      <c r="AG18" s="192"/>
      <c r="AH18" s="215" t="s">
        <v>106</v>
      </c>
    </row>
    <row r="19" spans="1:34" ht="25.5">
      <c r="A19" s="127" t="s">
        <v>70</v>
      </c>
      <c r="B19" s="186">
        <v>47236.7</v>
      </c>
      <c r="C19" s="186">
        <v>47304.2</v>
      </c>
      <c r="D19" s="186">
        <v>47341.9</v>
      </c>
      <c r="E19" s="186">
        <v>47395.1</v>
      </c>
      <c r="F19" s="186">
        <v>47469.1</v>
      </c>
      <c r="G19" s="186">
        <v>47530.5</v>
      </c>
      <c r="H19" s="186">
        <v>47602.1</v>
      </c>
      <c r="I19" s="186">
        <v>47667.7</v>
      </c>
      <c r="J19" s="186">
        <v>47736.6</v>
      </c>
      <c r="K19" s="186">
        <v>47773.2</v>
      </c>
      <c r="L19" s="186">
        <v>47866.8</v>
      </c>
      <c r="M19" s="186">
        <v>47975.5</v>
      </c>
      <c r="N19" s="186">
        <v>48076.1</v>
      </c>
      <c r="O19" s="186">
        <v>48165.8</v>
      </c>
      <c r="P19" s="186">
        <v>48256.2</v>
      </c>
      <c r="Q19" s="186">
        <v>48349.7</v>
      </c>
      <c r="R19" s="186">
        <v>48420.1</v>
      </c>
      <c r="S19" s="186">
        <v>48483.3</v>
      </c>
      <c r="T19" s="186">
        <v>48576.800000000003</v>
      </c>
      <c r="U19" s="186">
        <v>48672.5</v>
      </c>
      <c r="V19" s="186">
        <v>48751.9</v>
      </c>
      <c r="W19" s="186">
        <v>48826.7</v>
      </c>
      <c r="X19" s="186">
        <v>48888.6</v>
      </c>
      <c r="Y19" s="186">
        <v>49002.1</v>
      </c>
      <c r="Z19" s="186">
        <v>49114.1</v>
      </c>
      <c r="AA19" s="186">
        <v>49212.800000000003</v>
      </c>
      <c r="AB19" s="186">
        <v>49312.4</v>
      </c>
      <c r="AC19" s="186">
        <v>49400.3</v>
      </c>
      <c r="AD19" s="186">
        <v>49491.6</v>
      </c>
      <c r="AE19" s="186">
        <v>49609.8</v>
      </c>
      <c r="AF19" s="186">
        <v>49737.7</v>
      </c>
      <c r="AG19" s="201"/>
      <c r="AH19" s="186">
        <v>47169.599999999999</v>
      </c>
    </row>
    <row r="20" spans="1:34" ht="25.5">
      <c r="A20" s="87" t="s">
        <v>71</v>
      </c>
      <c r="B20" s="187" t="s">
        <v>422</v>
      </c>
      <c r="C20" s="187" t="s">
        <v>451</v>
      </c>
      <c r="D20" s="187" t="s">
        <v>452</v>
      </c>
      <c r="E20" s="187" t="s">
        <v>452</v>
      </c>
      <c r="F20" s="187" t="s">
        <v>452</v>
      </c>
      <c r="G20" s="187" t="s">
        <v>452</v>
      </c>
      <c r="H20" s="187" t="s">
        <v>452</v>
      </c>
      <c r="I20" s="187" t="s">
        <v>452</v>
      </c>
      <c r="J20" s="187" t="s">
        <v>453</v>
      </c>
      <c r="K20" s="187" t="s">
        <v>454</v>
      </c>
      <c r="L20" s="187" t="s">
        <v>455</v>
      </c>
      <c r="M20" s="187" t="s">
        <v>456</v>
      </c>
      <c r="N20" s="187" t="s">
        <v>457</v>
      </c>
      <c r="O20" s="187" t="s">
        <v>458</v>
      </c>
      <c r="P20" s="182">
        <v>54335.92</v>
      </c>
      <c r="Q20" s="182">
        <v>81412.67</v>
      </c>
      <c r="R20" s="186">
        <v>140694.39999999999</v>
      </c>
      <c r="S20" s="186">
        <v>148685.79999999999</v>
      </c>
      <c r="T20" s="186">
        <v>148685.79999999999</v>
      </c>
      <c r="U20" s="186">
        <v>209921.7</v>
      </c>
      <c r="V20" s="186">
        <v>271375.8</v>
      </c>
      <c r="W20" s="186">
        <v>387182.5</v>
      </c>
      <c r="X20" s="186">
        <v>348581.2</v>
      </c>
      <c r="Y20" s="186">
        <v>414297.1</v>
      </c>
      <c r="Z20" s="186">
        <v>493915.4</v>
      </c>
      <c r="AA20" s="186">
        <v>519199.6</v>
      </c>
      <c r="AB20" s="186">
        <v>546835.80000000005</v>
      </c>
      <c r="AC20" s="186">
        <v>547338.1</v>
      </c>
      <c r="AD20" s="186">
        <v>578217.30000000005</v>
      </c>
      <c r="AE20" s="186">
        <v>667878.1</v>
      </c>
      <c r="AF20" s="186">
        <v>762859.1</v>
      </c>
      <c r="AG20" s="206"/>
      <c r="AH20" s="187" t="s">
        <v>422</v>
      </c>
    </row>
    <row r="21" spans="1:34" ht="25.5">
      <c r="A21" s="87" t="s">
        <v>72</v>
      </c>
      <c r="B21" s="183">
        <v>39250</v>
      </c>
      <c r="C21" s="183">
        <v>39250</v>
      </c>
      <c r="D21" s="183">
        <v>40756</v>
      </c>
      <c r="E21" s="183">
        <v>40756</v>
      </c>
      <c r="F21" s="183">
        <v>40756</v>
      </c>
      <c r="G21" s="183">
        <v>40756</v>
      </c>
      <c r="H21" s="183">
        <v>40756</v>
      </c>
      <c r="I21" s="183">
        <v>40756</v>
      </c>
      <c r="J21" s="183">
        <v>40756</v>
      </c>
      <c r="K21" s="183">
        <v>42117</v>
      </c>
      <c r="L21" s="183">
        <v>42117</v>
      </c>
      <c r="M21" s="183">
        <v>42117</v>
      </c>
      <c r="N21" s="183">
        <v>42117</v>
      </c>
      <c r="O21" s="183">
        <v>42117</v>
      </c>
      <c r="P21" s="183">
        <v>42117</v>
      </c>
      <c r="Q21" s="183">
        <v>42117</v>
      </c>
      <c r="R21" s="183">
        <v>43559</v>
      </c>
      <c r="S21" s="183">
        <v>43559</v>
      </c>
      <c r="T21" s="183">
        <v>43559</v>
      </c>
      <c r="U21" s="183">
        <v>43559</v>
      </c>
      <c r="V21" s="183">
        <v>43559</v>
      </c>
      <c r="W21" s="183">
        <v>43559</v>
      </c>
      <c r="X21" s="183">
        <v>43559</v>
      </c>
      <c r="Y21" s="183">
        <v>44796</v>
      </c>
      <c r="Z21" s="183">
        <v>44796</v>
      </c>
      <c r="AA21" s="183">
        <v>44796</v>
      </c>
      <c r="AB21" s="183">
        <v>44796</v>
      </c>
      <c r="AC21" s="183">
        <v>44796</v>
      </c>
      <c r="AD21" s="183">
        <v>44796</v>
      </c>
      <c r="AE21" s="183">
        <v>44796</v>
      </c>
      <c r="AF21" s="183">
        <v>46367</v>
      </c>
      <c r="AG21" s="201"/>
      <c r="AH21" s="183">
        <v>39250</v>
      </c>
    </row>
    <row r="22" spans="1:34" ht="25.5">
      <c r="A22" s="87" t="s">
        <v>73</v>
      </c>
      <c r="B22" s="183">
        <v>115633</v>
      </c>
      <c r="C22" s="183">
        <v>115778</v>
      </c>
      <c r="D22" s="183">
        <v>115909</v>
      </c>
      <c r="E22" s="183">
        <v>116034</v>
      </c>
      <c r="F22" s="183">
        <v>116181</v>
      </c>
      <c r="G22" s="183">
        <v>116312</v>
      </c>
      <c r="H22" s="183">
        <v>116448</v>
      </c>
      <c r="I22" s="183">
        <v>116583</v>
      </c>
      <c r="J22" s="183">
        <v>116723</v>
      </c>
      <c r="K22" s="183">
        <v>116860</v>
      </c>
      <c r="L22" s="183">
        <v>116990</v>
      </c>
      <c r="M22" s="183">
        <v>117137</v>
      </c>
      <c r="N22" s="183">
        <v>117277</v>
      </c>
      <c r="O22" s="183">
        <v>117417</v>
      </c>
      <c r="P22" s="183">
        <v>117560</v>
      </c>
      <c r="Q22" s="183">
        <v>117706</v>
      </c>
      <c r="R22" s="183">
        <v>117852</v>
      </c>
      <c r="S22" s="183">
        <v>117980</v>
      </c>
      <c r="T22" s="183">
        <v>118106</v>
      </c>
      <c r="U22" s="183">
        <v>118229</v>
      </c>
      <c r="V22" s="183">
        <v>118358</v>
      </c>
      <c r="W22" s="183">
        <v>118495</v>
      </c>
      <c r="X22" s="183">
        <v>118636</v>
      </c>
      <c r="Y22" s="183">
        <v>118776</v>
      </c>
      <c r="Z22" s="183">
        <v>118912</v>
      </c>
      <c r="AA22" s="183">
        <v>119054</v>
      </c>
      <c r="AB22" s="183">
        <v>119208</v>
      </c>
      <c r="AC22" s="183">
        <v>119367</v>
      </c>
      <c r="AD22" s="183">
        <v>119521</v>
      </c>
      <c r="AE22" s="183">
        <v>119672</v>
      </c>
      <c r="AF22" s="183">
        <v>119811</v>
      </c>
      <c r="AG22" s="201">
        <f>AF22-AH22</f>
        <v>4318</v>
      </c>
      <c r="AH22" s="183">
        <v>115493</v>
      </c>
    </row>
    <row r="23" spans="1:34">
      <c r="A23" s="189" t="s">
        <v>136</v>
      </c>
      <c r="B23" s="183">
        <v>1042</v>
      </c>
      <c r="C23" s="183">
        <v>1042</v>
      </c>
      <c r="D23" s="183">
        <v>1105</v>
      </c>
      <c r="E23" s="183">
        <v>1105</v>
      </c>
      <c r="F23" s="183">
        <v>1105</v>
      </c>
      <c r="G23" s="183">
        <v>1105</v>
      </c>
      <c r="H23" s="183">
        <v>1105</v>
      </c>
      <c r="I23" s="183">
        <v>1105</v>
      </c>
      <c r="J23" s="183">
        <v>1105</v>
      </c>
      <c r="K23" s="183">
        <v>1160</v>
      </c>
      <c r="L23" s="183">
        <v>1160</v>
      </c>
      <c r="M23" s="183">
        <v>1160</v>
      </c>
      <c r="N23" s="183">
        <v>1160</v>
      </c>
      <c r="O23" s="183">
        <v>1160</v>
      </c>
      <c r="P23" s="183">
        <v>1160</v>
      </c>
      <c r="Q23" s="183">
        <v>1160</v>
      </c>
      <c r="R23" s="183">
        <v>1211</v>
      </c>
      <c r="S23" s="183">
        <v>1211</v>
      </c>
      <c r="T23" s="183">
        <v>1211</v>
      </c>
      <c r="U23" s="183">
        <v>1211</v>
      </c>
      <c r="V23" s="183">
        <v>1211</v>
      </c>
      <c r="W23" s="183">
        <v>1211</v>
      </c>
      <c r="X23" s="183">
        <v>1211</v>
      </c>
      <c r="Y23" s="183">
        <v>1223</v>
      </c>
      <c r="Z23" s="183">
        <v>1223</v>
      </c>
      <c r="AA23" s="183">
        <v>1223</v>
      </c>
      <c r="AB23" s="183">
        <v>1223</v>
      </c>
      <c r="AC23" s="183">
        <v>1223</v>
      </c>
      <c r="AD23" s="183">
        <v>1223</v>
      </c>
      <c r="AE23" s="183">
        <v>1223</v>
      </c>
      <c r="AF23" s="183">
        <v>1271</v>
      </c>
      <c r="AG23" s="205"/>
      <c r="AH23" s="183">
        <v>1042</v>
      </c>
    </row>
    <row r="24" spans="1:34">
      <c r="A24" s="189" t="s">
        <v>139</v>
      </c>
      <c r="B24" s="183">
        <v>989</v>
      </c>
      <c r="C24" s="183">
        <v>989</v>
      </c>
      <c r="D24" s="183">
        <v>1057</v>
      </c>
      <c r="E24" s="183">
        <v>1057</v>
      </c>
      <c r="F24" s="183">
        <v>1057</v>
      </c>
      <c r="G24" s="183">
        <v>1057</v>
      </c>
      <c r="H24" s="183">
        <v>1057</v>
      </c>
      <c r="I24" s="183">
        <v>1057</v>
      </c>
      <c r="J24" s="183">
        <v>1057</v>
      </c>
      <c r="K24" s="183">
        <v>1129</v>
      </c>
      <c r="L24" s="183">
        <v>1129</v>
      </c>
      <c r="M24" s="183">
        <v>1129</v>
      </c>
      <c r="N24" s="183">
        <v>1129</v>
      </c>
      <c r="O24" s="183">
        <v>1129</v>
      </c>
      <c r="P24" s="183">
        <v>1129</v>
      </c>
      <c r="Q24" s="183">
        <v>1129</v>
      </c>
      <c r="R24" s="183">
        <v>1193</v>
      </c>
      <c r="S24" s="183">
        <v>1193</v>
      </c>
      <c r="T24" s="183">
        <v>1193</v>
      </c>
      <c r="U24" s="183">
        <v>1193</v>
      </c>
      <c r="V24" s="183">
        <v>1193</v>
      </c>
      <c r="W24" s="183">
        <v>1193</v>
      </c>
      <c r="X24" s="183">
        <v>1193</v>
      </c>
      <c r="Y24" s="183">
        <v>1224</v>
      </c>
      <c r="Z24" s="183">
        <v>1224</v>
      </c>
      <c r="AA24" s="183">
        <v>1224</v>
      </c>
      <c r="AB24" s="183">
        <v>1224</v>
      </c>
      <c r="AC24" s="183">
        <v>1224</v>
      </c>
      <c r="AD24" s="183">
        <v>1224</v>
      </c>
      <c r="AE24" s="183">
        <v>1224</v>
      </c>
      <c r="AF24" s="183">
        <v>1270</v>
      </c>
      <c r="AG24" s="205"/>
      <c r="AH24" s="183">
        <v>989</v>
      </c>
    </row>
    <row r="25" spans="1:34">
      <c r="A25" s="189" t="s">
        <v>142</v>
      </c>
      <c r="B25" s="183">
        <v>362</v>
      </c>
      <c r="C25" s="183">
        <v>362</v>
      </c>
      <c r="D25" s="183">
        <v>375</v>
      </c>
      <c r="E25" s="183">
        <v>375</v>
      </c>
      <c r="F25" s="183">
        <v>375</v>
      </c>
      <c r="G25" s="183">
        <v>375</v>
      </c>
      <c r="H25" s="183">
        <v>375</v>
      </c>
      <c r="I25" s="183">
        <v>375</v>
      </c>
      <c r="J25" s="183">
        <v>375</v>
      </c>
      <c r="K25" s="183">
        <v>387</v>
      </c>
      <c r="L25" s="183">
        <v>387</v>
      </c>
      <c r="M25" s="183">
        <v>387</v>
      </c>
      <c r="N25" s="183">
        <v>387</v>
      </c>
      <c r="O25" s="183">
        <v>387</v>
      </c>
      <c r="P25" s="183">
        <v>387</v>
      </c>
      <c r="Q25" s="183">
        <v>387</v>
      </c>
      <c r="R25" s="183">
        <v>396</v>
      </c>
      <c r="S25" s="183">
        <v>396</v>
      </c>
      <c r="T25" s="183">
        <v>396</v>
      </c>
      <c r="U25" s="183">
        <v>396</v>
      </c>
      <c r="V25" s="183">
        <v>396</v>
      </c>
      <c r="W25" s="183">
        <v>396</v>
      </c>
      <c r="X25" s="183">
        <v>396</v>
      </c>
      <c r="Y25" s="183">
        <v>396</v>
      </c>
      <c r="Z25" s="183">
        <v>396</v>
      </c>
      <c r="AA25" s="183">
        <v>396</v>
      </c>
      <c r="AB25" s="183">
        <v>396</v>
      </c>
      <c r="AC25" s="183">
        <v>396</v>
      </c>
      <c r="AD25" s="183">
        <v>396</v>
      </c>
      <c r="AE25" s="183">
        <v>396</v>
      </c>
      <c r="AF25" s="183">
        <v>404</v>
      </c>
      <c r="AG25" s="205"/>
      <c r="AH25" s="183">
        <v>362</v>
      </c>
    </row>
    <row r="26" spans="1:34">
      <c r="A26" s="189" t="s">
        <v>145</v>
      </c>
      <c r="B26" s="183">
        <v>51</v>
      </c>
      <c r="C26" s="183">
        <v>51</v>
      </c>
      <c r="D26" s="183">
        <v>53</v>
      </c>
      <c r="E26" s="183">
        <v>53</v>
      </c>
      <c r="F26" s="183">
        <v>53</v>
      </c>
      <c r="G26" s="183">
        <v>53</v>
      </c>
      <c r="H26" s="183">
        <v>53</v>
      </c>
      <c r="I26" s="183">
        <v>53</v>
      </c>
      <c r="J26" s="183">
        <v>53</v>
      </c>
      <c r="K26" s="183">
        <v>57</v>
      </c>
      <c r="L26" s="183">
        <v>57</v>
      </c>
      <c r="M26" s="183">
        <v>57</v>
      </c>
      <c r="N26" s="183">
        <v>57</v>
      </c>
      <c r="O26" s="183">
        <v>57</v>
      </c>
      <c r="P26" s="183">
        <v>57</v>
      </c>
      <c r="Q26" s="183">
        <v>57</v>
      </c>
      <c r="R26" s="183">
        <v>59</v>
      </c>
      <c r="S26" s="183">
        <v>59</v>
      </c>
      <c r="T26" s="183">
        <v>59</v>
      </c>
      <c r="U26" s="183">
        <v>59</v>
      </c>
      <c r="V26" s="183">
        <v>59</v>
      </c>
      <c r="W26" s="183">
        <v>59</v>
      </c>
      <c r="X26" s="183">
        <v>59</v>
      </c>
      <c r="Y26" s="183">
        <v>59</v>
      </c>
      <c r="Z26" s="183">
        <v>59</v>
      </c>
      <c r="AA26" s="183">
        <v>59</v>
      </c>
      <c r="AB26" s="183">
        <v>59</v>
      </c>
      <c r="AC26" s="183">
        <v>59</v>
      </c>
      <c r="AD26" s="183">
        <v>59</v>
      </c>
      <c r="AE26" s="183">
        <v>59</v>
      </c>
      <c r="AF26" s="183">
        <v>63</v>
      </c>
      <c r="AG26" s="205"/>
      <c r="AH26" s="183">
        <v>51</v>
      </c>
    </row>
    <row r="27" spans="1:34">
      <c r="A27" s="189" t="s">
        <v>148</v>
      </c>
      <c r="B27" s="183">
        <v>1250</v>
      </c>
      <c r="C27" s="183">
        <v>1250</v>
      </c>
      <c r="D27" s="183">
        <v>1301</v>
      </c>
      <c r="E27" s="183">
        <v>1301</v>
      </c>
      <c r="F27" s="183">
        <v>1301</v>
      </c>
      <c r="G27" s="183">
        <v>1301</v>
      </c>
      <c r="H27" s="183">
        <v>1301</v>
      </c>
      <c r="I27" s="183">
        <v>1301</v>
      </c>
      <c r="J27" s="183">
        <v>1301</v>
      </c>
      <c r="K27" s="183">
        <v>1356</v>
      </c>
      <c r="L27" s="183">
        <v>1356</v>
      </c>
      <c r="M27" s="183">
        <v>1356</v>
      </c>
      <c r="N27" s="183">
        <v>1356</v>
      </c>
      <c r="O27" s="183">
        <v>1356</v>
      </c>
      <c r="P27" s="183">
        <v>1356</v>
      </c>
      <c r="Q27" s="183">
        <v>1356</v>
      </c>
      <c r="R27" s="183">
        <v>1398</v>
      </c>
      <c r="S27" s="183">
        <v>1398</v>
      </c>
      <c r="T27" s="183">
        <v>1398</v>
      </c>
      <c r="U27" s="183">
        <v>1398</v>
      </c>
      <c r="V27" s="183">
        <v>1398</v>
      </c>
      <c r="W27" s="183">
        <v>1398</v>
      </c>
      <c r="X27" s="183">
        <v>1398</v>
      </c>
      <c r="Y27" s="183">
        <v>1413</v>
      </c>
      <c r="Z27" s="183">
        <v>1413</v>
      </c>
      <c r="AA27" s="183">
        <v>1413</v>
      </c>
      <c r="AB27" s="183">
        <v>1413</v>
      </c>
      <c r="AC27" s="183">
        <v>1413</v>
      </c>
      <c r="AD27" s="183">
        <v>1413</v>
      </c>
      <c r="AE27" s="183">
        <v>1413</v>
      </c>
      <c r="AF27" s="183">
        <v>1449</v>
      </c>
      <c r="AG27" s="205"/>
      <c r="AH27" s="183">
        <v>1250</v>
      </c>
    </row>
    <row r="28" spans="1:34">
      <c r="A28" s="189" t="s">
        <v>151</v>
      </c>
      <c r="B28" s="183">
        <v>241</v>
      </c>
      <c r="C28" s="183">
        <v>241</v>
      </c>
      <c r="D28" s="183">
        <v>252</v>
      </c>
      <c r="E28" s="183">
        <v>252</v>
      </c>
      <c r="F28" s="183">
        <v>252</v>
      </c>
      <c r="G28" s="183">
        <v>252</v>
      </c>
      <c r="H28" s="183">
        <v>252</v>
      </c>
      <c r="I28" s="183">
        <v>252</v>
      </c>
      <c r="J28" s="183">
        <v>252</v>
      </c>
      <c r="K28" s="183">
        <v>262</v>
      </c>
      <c r="L28" s="183">
        <v>262</v>
      </c>
      <c r="M28" s="183">
        <v>262</v>
      </c>
      <c r="N28" s="183">
        <v>262</v>
      </c>
      <c r="O28" s="183">
        <v>262</v>
      </c>
      <c r="P28" s="183">
        <v>262</v>
      </c>
      <c r="Q28" s="183">
        <v>262</v>
      </c>
      <c r="R28" s="183">
        <v>272</v>
      </c>
      <c r="S28" s="183">
        <v>272</v>
      </c>
      <c r="T28" s="183">
        <v>272</v>
      </c>
      <c r="U28" s="183">
        <v>272</v>
      </c>
      <c r="V28" s="183">
        <v>272</v>
      </c>
      <c r="W28" s="183">
        <v>272</v>
      </c>
      <c r="X28" s="183">
        <v>272</v>
      </c>
      <c r="Y28" s="183">
        <v>282</v>
      </c>
      <c r="Z28" s="183">
        <v>282</v>
      </c>
      <c r="AA28" s="183">
        <v>282</v>
      </c>
      <c r="AB28" s="183">
        <v>282</v>
      </c>
      <c r="AC28" s="183">
        <v>282</v>
      </c>
      <c r="AD28" s="183">
        <v>282</v>
      </c>
      <c r="AE28" s="183">
        <v>282</v>
      </c>
      <c r="AF28" s="183">
        <v>293</v>
      </c>
      <c r="AG28" s="205"/>
      <c r="AH28" s="183">
        <v>241</v>
      </c>
    </row>
    <row r="29" spans="1:34">
      <c r="A29" s="189" t="s">
        <v>154</v>
      </c>
      <c r="B29" s="183">
        <v>82</v>
      </c>
      <c r="C29" s="183">
        <v>82</v>
      </c>
      <c r="D29" s="183">
        <v>85</v>
      </c>
      <c r="E29" s="183">
        <v>85</v>
      </c>
      <c r="F29" s="183">
        <v>85</v>
      </c>
      <c r="G29" s="183">
        <v>85</v>
      </c>
      <c r="H29" s="183">
        <v>85</v>
      </c>
      <c r="I29" s="183">
        <v>85</v>
      </c>
      <c r="J29" s="183">
        <v>85</v>
      </c>
      <c r="K29" s="183">
        <v>85</v>
      </c>
      <c r="L29" s="183">
        <v>85</v>
      </c>
      <c r="M29" s="183">
        <v>85</v>
      </c>
      <c r="N29" s="183">
        <v>85</v>
      </c>
      <c r="O29" s="183">
        <v>85</v>
      </c>
      <c r="P29" s="183">
        <v>85</v>
      </c>
      <c r="Q29" s="183">
        <v>85</v>
      </c>
      <c r="R29" s="183">
        <v>87</v>
      </c>
      <c r="S29" s="183">
        <v>87</v>
      </c>
      <c r="T29" s="183">
        <v>87</v>
      </c>
      <c r="U29" s="183">
        <v>87</v>
      </c>
      <c r="V29" s="183">
        <v>87</v>
      </c>
      <c r="W29" s="183">
        <v>87</v>
      </c>
      <c r="X29" s="183">
        <v>87</v>
      </c>
      <c r="Y29" s="183">
        <v>88</v>
      </c>
      <c r="Z29" s="183">
        <v>88</v>
      </c>
      <c r="AA29" s="183">
        <v>88</v>
      </c>
      <c r="AB29" s="183">
        <v>88</v>
      </c>
      <c r="AC29" s="183">
        <v>88</v>
      </c>
      <c r="AD29" s="183">
        <v>88</v>
      </c>
      <c r="AE29" s="183">
        <v>88</v>
      </c>
      <c r="AF29" s="183">
        <v>88</v>
      </c>
      <c r="AG29" s="205"/>
      <c r="AH29" s="183">
        <v>82</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207"/>
      <c r="AH30" s="162"/>
    </row>
    <row r="31" spans="1:34" ht="16.5">
      <c r="A31" s="87" t="s">
        <v>74</v>
      </c>
      <c r="B31" s="215" t="s">
        <v>157</v>
      </c>
      <c r="C31" s="215" t="s">
        <v>157</v>
      </c>
      <c r="D31" s="215" t="s">
        <v>157</v>
      </c>
      <c r="E31" s="215" t="s">
        <v>157</v>
      </c>
      <c r="F31" s="215" t="s">
        <v>157</v>
      </c>
      <c r="G31" s="215" t="s">
        <v>157</v>
      </c>
      <c r="H31" s="215" t="s">
        <v>157</v>
      </c>
      <c r="I31" s="215" t="s">
        <v>157</v>
      </c>
      <c r="J31" s="215" t="s">
        <v>157</v>
      </c>
      <c r="K31" s="215" t="s">
        <v>157</v>
      </c>
      <c r="L31" s="215" t="s">
        <v>157</v>
      </c>
      <c r="M31" s="215" t="s">
        <v>157</v>
      </c>
      <c r="N31" s="215" t="s">
        <v>157</v>
      </c>
      <c r="O31" s="215" t="s">
        <v>157</v>
      </c>
      <c r="P31" s="215" t="s">
        <v>157</v>
      </c>
      <c r="Q31" s="215" t="s">
        <v>157</v>
      </c>
      <c r="R31" s="215" t="s">
        <v>157</v>
      </c>
      <c r="S31" s="215" t="s">
        <v>157</v>
      </c>
      <c r="T31" s="215" t="s">
        <v>157</v>
      </c>
      <c r="U31" s="215" t="s">
        <v>157</v>
      </c>
      <c r="V31" s="215" t="s">
        <v>157</v>
      </c>
      <c r="W31" s="215" t="s">
        <v>157</v>
      </c>
      <c r="X31" s="215" t="s">
        <v>157</v>
      </c>
      <c r="Y31" s="215" t="s">
        <v>157</v>
      </c>
      <c r="Z31" s="215" t="s">
        <v>157</v>
      </c>
      <c r="AA31" s="215" t="s">
        <v>157</v>
      </c>
      <c r="AB31" s="215" t="s">
        <v>157</v>
      </c>
      <c r="AC31" s="215" t="s">
        <v>157</v>
      </c>
      <c r="AD31" s="215" t="s">
        <v>157</v>
      </c>
      <c r="AE31" s="215" t="s">
        <v>157</v>
      </c>
      <c r="AF31" s="215" t="s">
        <v>157</v>
      </c>
      <c r="AG31" s="192"/>
      <c r="AH31" s="215" t="s">
        <v>157</v>
      </c>
    </row>
    <row r="32" spans="1:34" ht="25.5">
      <c r="A32" s="127" t="s">
        <v>77</v>
      </c>
      <c r="B32" s="190" t="s">
        <v>158</v>
      </c>
      <c r="C32" s="190" t="s">
        <v>158</v>
      </c>
      <c r="D32" s="190" t="s">
        <v>158</v>
      </c>
      <c r="E32" s="190" t="s">
        <v>158</v>
      </c>
      <c r="F32" s="190" t="s">
        <v>158</v>
      </c>
      <c r="G32" s="190" t="s">
        <v>158</v>
      </c>
      <c r="H32" s="190" t="s">
        <v>158</v>
      </c>
      <c r="I32" s="190" t="s">
        <v>158</v>
      </c>
      <c r="J32" s="190" t="s">
        <v>158</v>
      </c>
      <c r="K32" s="190" t="s">
        <v>158</v>
      </c>
      <c r="L32" s="190" t="s">
        <v>158</v>
      </c>
      <c r="M32" s="190" t="s">
        <v>158</v>
      </c>
      <c r="N32" s="187" t="s">
        <v>158</v>
      </c>
      <c r="O32" s="190" t="s">
        <v>158</v>
      </c>
      <c r="P32" s="190" t="s">
        <v>158</v>
      </c>
      <c r="Q32" s="190" t="s">
        <v>158</v>
      </c>
      <c r="R32" s="190" t="s">
        <v>158</v>
      </c>
      <c r="S32" s="190" t="s">
        <v>158</v>
      </c>
      <c r="T32" s="190" t="s">
        <v>158</v>
      </c>
      <c r="U32" s="190" t="s">
        <v>158</v>
      </c>
      <c r="V32" s="190" t="s">
        <v>158</v>
      </c>
      <c r="W32" s="190" t="s">
        <v>158</v>
      </c>
      <c r="X32" s="190" t="s">
        <v>158</v>
      </c>
      <c r="Y32" s="190" t="s">
        <v>158</v>
      </c>
      <c r="Z32" s="190" t="s">
        <v>158</v>
      </c>
      <c r="AA32" s="190" t="s">
        <v>158</v>
      </c>
      <c r="AB32" s="190" t="s">
        <v>158</v>
      </c>
      <c r="AC32" s="190" t="s">
        <v>158</v>
      </c>
      <c r="AD32" s="190" t="s">
        <v>158</v>
      </c>
      <c r="AE32" s="190" t="s">
        <v>158</v>
      </c>
      <c r="AF32" s="190" t="s">
        <v>158</v>
      </c>
      <c r="AG32" s="209"/>
      <c r="AH32" s="190" t="s">
        <v>158</v>
      </c>
    </row>
    <row r="33" spans="1:34" ht="25.5">
      <c r="A33" s="87" t="s">
        <v>80</v>
      </c>
      <c r="B33" s="187" t="s">
        <v>594</v>
      </c>
      <c r="C33" s="187" t="s">
        <v>459</v>
      </c>
      <c r="D33" s="187" t="s">
        <v>460</v>
      </c>
      <c r="E33" s="187" t="s">
        <v>461</v>
      </c>
      <c r="F33" s="187" t="s">
        <v>461</v>
      </c>
      <c r="G33" s="187" t="s">
        <v>462</v>
      </c>
      <c r="H33" s="187" t="s">
        <v>463</v>
      </c>
      <c r="I33" s="187" t="s">
        <v>464</v>
      </c>
      <c r="J33" s="187" t="s">
        <v>465</v>
      </c>
      <c r="K33" s="187" t="s">
        <v>466</v>
      </c>
      <c r="L33" s="187" t="s">
        <v>467</v>
      </c>
      <c r="M33" s="187" t="s">
        <v>466</v>
      </c>
      <c r="N33" s="187" t="s">
        <v>468</v>
      </c>
      <c r="O33" s="187" t="s">
        <v>467</v>
      </c>
      <c r="P33" s="187" t="s">
        <v>466</v>
      </c>
      <c r="Q33" s="187" t="s">
        <v>466</v>
      </c>
      <c r="R33" s="187" t="s">
        <v>469</v>
      </c>
      <c r="S33" s="187" t="s">
        <v>466</v>
      </c>
      <c r="T33" s="187" t="s">
        <v>470</v>
      </c>
      <c r="U33" s="187" t="s">
        <v>471</v>
      </c>
      <c r="V33" s="187" t="s">
        <v>471</v>
      </c>
      <c r="W33" s="187" t="s">
        <v>470</v>
      </c>
      <c r="X33" s="187" t="s">
        <v>472</v>
      </c>
      <c r="Y33" s="187" t="s">
        <v>473</v>
      </c>
      <c r="Z33" s="187" t="s">
        <v>471</v>
      </c>
      <c r="AA33" s="187" t="s">
        <v>474</v>
      </c>
      <c r="AB33" s="187" t="s">
        <v>466</v>
      </c>
      <c r="AC33" s="187" t="s">
        <v>466</v>
      </c>
      <c r="AD33" s="187" t="s">
        <v>475</v>
      </c>
      <c r="AE33" s="187" t="s">
        <v>463</v>
      </c>
      <c r="AF33" s="187" t="s">
        <v>476</v>
      </c>
      <c r="AG33" s="206"/>
      <c r="AH33" s="187" t="s">
        <v>442</v>
      </c>
    </row>
    <row r="34" spans="1:34" ht="15.75" thickBot="1">
      <c r="A34" s="139" t="s">
        <v>81</v>
      </c>
      <c r="B34" s="187" t="s">
        <v>595</v>
      </c>
      <c r="C34" s="187" t="s">
        <v>450</v>
      </c>
      <c r="D34" s="187" t="s">
        <v>450</v>
      </c>
      <c r="E34" s="187" t="s">
        <v>477</v>
      </c>
      <c r="F34" s="187" t="s">
        <v>477</v>
      </c>
      <c r="G34" s="187" t="s">
        <v>477</v>
      </c>
      <c r="H34" s="187" t="s">
        <v>477</v>
      </c>
      <c r="I34" s="187" t="s">
        <v>477</v>
      </c>
      <c r="J34" s="187" t="s">
        <v>478</v>
      </c>
      <c r="K34" s="187" t="s">
        <v>477</v>
      </c>
      <c r="L34" s="187" t="s">
        <v>478</v>
      </c>
      <c r="M34" s="187" t="s">
        <v>479</v>
      </c>
      <c r="N34" s="187" t="s">
        <v>480</v>
      </c>
      <c r="O34" s="187" t="s">
        <v>478</v>
      </c>
      <c r="P34" s="187" t="s">
        <v>478</v>
      </c>
      <c r="Q34" s="187" t="s">
        <v>478</v>
      </c>
      <c r="R34" s="187" t="s">
        <v>478</v>
      </c>
      <c r="S34" s="187" t="s">
        <v>478</v>
      </c>
      <c r="T34" s="187" t="s">
        <v>478</v>
      </c>
      <c r="U34" s="187" t="s">
        <v>479</v>
      </c>
      <c r="V34" s="187" t="s">
        <v>479</v>
      </c>
      <c r="W34" s="187" t="s">
        <v>479</v>
      </c>
      <c r="X34" s="187" t="s">
        <v>479</v>
      </c>
      <c r="Y34" s="187" t="s">
        <v>479</v>
      </c>
      <c r="Z34" s="187" t="s">
        <v>479</v>
      </c>
      <c r="AA34" s="187" t="s">
        <v>479</v>
      </c>
      <c r="AB34" s="187" t="s">
        <v>479</v>
      </c>
      <c r="AC34" s="187" t="s">
        <v>477</v>
      </c>
      <c r="AD34" s="187" t="s">
        <v>477</v>
      </c>
      <c r="AE34" s="187" t="s">
        <v>477</v>
      </c>
      <c r="AF34" s="187" t="s">
        <v>477</v>
      </c>
      <c r="AG34" s="206"/>
      <c r="AH34" s="187" t="s">
        <v>450</v>
      </c>
    </row>
    <row r="35" spans="1:34">
      <c r="AG35" s="211"/>
    </row>
    <row r="36" spans="1:34">
      <c r="AG36" s="211"/>
    </row>
  </sheetData>
  <mergeCells count="1">
    <mergeCell ref="A1:AH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5070A-6170-4B1A-B7FF-C148FC3443BD}">
  <dimension ref="A1:AM36"/>
  <sheetViews>
    <sheetView topLeftCell="K6" workbookViewId="0">
      <selection activeCell="AG23" sqref="AG23"/>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2" width="8.7109375" style="20"/>
    <col min="33" max="33" width="8.7109375" style="144"/>
    <col min="34" max="34" width="8.7109375" style="20"/>
    <col min="35" max="35" width="11" customWidth="1"/>
    <col min="36" max="36" width="11.42578125" customWidth="1"/>
  </cols>
  <sheetData>
    <row r="1" spans="1:39"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5.75">
      <c r="A2" s="82"/>
      <c r="B2" s="83">
        <v>44409</v>
      </c>
      <c r="C2" s="83">
        <v>44410</v>
      </c>
      <c r="D2" s="83">
        <v>44411</v>
      </c>
      <c r="E2" s="83">
        <v>44412</v>
      </c>
      <c r="F2" s="83">
        <v>44413</v>
      </c>
      <c r="G2" s="83">
        <v>44414</v>
      </c>
      <c r="H2" s="83">
        <v>44415</v>
      </c>
      <c r="I2" s="83">
        <v>44416</v>
      </c>
      <c r="J2" s="83">
        <v>44417</v>
      </c>
      <c r="K2" s="83">
        <v>44418</v>
      </c>
      <c r="L2" s="83">
        <v>44419</v>
      </c>
      <c r="M2" s="83">
        <v>44420</v>
      </c>
      <c r="N2" s="83">
        <v>44421</v>
      </c>
      <c r="O2" s="83">
        <v>44422</v>
      </c>
      <c r="P2" s="83">
        <v>44423</v>
      </c>
      <c r="Q2" s="83">
        <v>44424</v>
      </c>
      <c r="R2" s="83">
        <v>44425</v>
      </c>
      <c r="S2" s="83">
        <v>44426</v>
      </c>
      <c r="T2" s="83">
        <v>44427</v>
      </c>
      <c r="U2" s="83">
        <v>44428</v>
      </c>
      <c r="V2" s="83">
        <v>44429</v>
      </c>
      <c r="W2" s="83">
        <v>44430</v>
      </c>
      <c r="X2" s="83">
        <v>44431</v>
      </c>
      <c r="Y2" s="83">
        <v>44432</v>
      </c>
      <c r="Z2" s="83">
        <v>44433</v>
      </c>
      <c r="AA2" s="83">
        <v>44434</v>
      </c>
      <c r="AB2" s="83">
        <v>44435</v>
      </c>
      <c r="AC2" s="83">
        <v>44436</v>
      </c>
      <c r="AD2" s="83">
        <v>44437</v>
      </c>
      <c r="AE2" s="83">
        <v>44438</v>
      </c>
      <c r="AF2" s="83">
        <v>44439</v>
      </c>
      <c r="AG2" s="83"/>
      <c r="AH2" s="83">
        <v>44408</v>
      </c>
    </row>
    <row r="3" spans="1:39"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91" t="s">
        <v>53</v>
      </c>
      <c r="AG3" s="193"/>
      <c r="AH3" s="91" t="s">
        <v>53</v>
      </c>
    </row>
    <row r="4" spans="1:39" ht="20.100000000000001" customHeight="1">
      <c r="A4" s="94" t="s">
        <v>54</v>
      </c>
      <c r="B4" s="212">
        <v>170401</v>
      </c>
      <c r="C4" s="212">
        <v>170632</v>
      </c>
      <c r="D4" s="212">
        <v>170866</v>
      </c>
      <c r="E4" s="212">
        <v>171101</v>
      </c>
      <c r="F4" s="212">
        <v>171338</v>
      </c>
      <c r="G4" s="212">
        <v>171552</v>
      </c>
      <c r="H4" s="212">
        <v>171774</v>
      </c>
      <c r="I4" s="212">
        <v>172000</v>
      </c>
      <c r="J4" s="212">
        <v>172232</v>
      </c>
      <c r="K4" s="212">
        <v>172460</v>
      </c>
      <c r="L4" s="212">
        <v>172694</v>
      </c>
      <c r="M4" s="212">
        <v>172927</v>
      </c>
      <c r="N4" s="233">
        <v>173150</v>
      </c>
      <c r="O4" s="212">
        <v>173369</v>
      </c>
      <c r="P4" s="212">
        <v>173591</v>
      </c>
      <c r="Q4" s="212">
        <v>173823</v>
      </c>
      <c r="R4" s="212">
        <v>174060</v>
      </c>
      <c r="S4" s="212">
        <v>174289</v>
      </c>
      <c r="T4" s="212">
        <v>174520</v>
      </c>
      <c r="U4" s="212">
        <v>174746</v>
      </c>
      <c r="V4" s="212">
        <v>174965</v>
      </c>
      <c r="W4" s="212">
        <v>175192</v>
      </c>
      <c r="X4" s="212">
        <v>175426</v>
      </c>
      <c r="Y4" s="212">
        <v>175659</v>
      </c>
      <c r="Z4" s="212">
        <v>175892</v>
      </c>
      <c r="AA4" s="212">
        <v>176127</v>
      </c>
      <c r="AB4" s="212">
        <v>176357</v>
      </c>
      <c r="AC4" s="212">
        <v>176576</v>
      </c>
      <c r="AD4" s="212">
        <v>176809</v>
      </c>
      <c r="AE4" s="212">
        <v>177045</v>
      </c>
      <c r="AF4" s="212">
        <v>177277</v>
      </c>
      <c r="AG4" s="195"/>
      <c r="AH4" s="212">
        <v>170170</v>
      </c>
      <c r="AI4" s="101"/>
      <c r="AJ4" s="101"/>
      <c r="AM4" s="102"/>
    </row>
    <row r="5" spans="1:39" ht="20.100000000000001" customHeight="1">
      <c r="A5" s="94" t="s">
        <v>55</v>
      </c>
      <c r="B5" s="212">
        <v>3824017</v>
      </c>
      <c r="C5" s="212">
        <v>3831857</v>
      </c>
      <c r="D5" s="212">
        <v>3839746</v>
      </c>
      <c r="E5" s="212">
        <v>3847783</v>
      </c>
      <c r="F5" s="212">
        <v>3855897</v>
      </c>
      <c r="G5" s="212">
        <v>3862955</v>
      </c>
      <c r="H5" s="212">
        <v>3869981</v>
      </c>
      <c r="I5" s="212">
        <v>3877399</v>
      </c>
      <c r="J5" s="212">
        <v>3885210</v>
      </c>
      <c r="K5" s="212">
        <v>3892942</v>
      </c>
      <c r="L5" s="212">
        <v>3900787</v>
      </c>
      <c r="M5" s="212">
        <v>3908528</v>
      </c>
      <c r="N5" s="233">
        <v>3916010</v>
      </c>
      <c r="O5" s="212">
        <v>3923090</v>
      </c>
      <c r="P5" s="212">
        <v>3930553</v>
      </c>
      <c r="Q5" s="212">
        <v>3938682</v>
      </c>
      <c r="R5" s="212">
        <v>3946766</v>
      </c>
      <c r="S5" s="212">
        <v>3954663</v>
      </c>
      <c r="T5" s="212">
        <v>3962587</v>
      </c>
      <c r="U5" s="212">
        <v>3970225</v>
      </c>
      <c r="V5" s="212">
        <v>3977278</v>
      </c>
      <c r="W5" s="212">
        <v>3984723</v>
      </c>
      <c r="X5" s="212">
        <v>3992792</v>
      </c>
      <c r="Y5" s="212">
        <v>4000903</v>
      </c>
      <c r="Z5" s="212">
        <v>4009063</v>
      </c>
      <c r="AA5" s="212">
        <v>4017150</v>
      </c>
      <c r="AB5" s="212">
        <v>4024969</v>
      </c>
      <c r="AC5" s="212">
        <v>4032022</v>
      </c>
      <c r="AD5" s="212">
        <v>4039800</v>
      </c>
      <c r="AE5" s="212">
        <v>4047919</v>
      </c>
      <c r="AF5" s="212">
        <v>4055977</v>
      </c>
      <c r="AG5" s="195"/>
      <c r="AH5" s="212">
        <v>3816632</v>
      </c>
      <c r="AI5" s="101"/>
      <c r="AJ5" s="101"/>
      <c r="AM5" s="102"/>
    </row>
    <row r="6" spans="1:39" ht="20.100000000000001" customHeight="1">
      <c r="A6" s="94" t="s">
        <v>56</v>
      </c>
      <c r="B6" s="212">
        <v>1939739</v>
      </c>
      <c r="C6" s="212">
        <v>1943212</v>
      </c>
      <c r="D6" s="212">
        <v>1946759</v>
      </c>
      <c r="E6" s="212">
        <v>1950311</v>
      </c>
      <c r="F6" s="212">
        <v>1953876</v>
      </c>
      <c r="G6" s="212">
        <v>1957011</v>
      </c>
      <c r="H6" s="212">
        <v>1960184</v>
      </c>
      <c r="I6" s="212">
        <v>1963463</v>
      </c>
      <c r="J6" s="212">
        <v>1966831</v>
      </c>
      <c r="K6" s="212">
        <v>1970309</v>
      </c>
      <c r="L6" s="212">
        <v>1973785</v>
      </c>
      <c r="M6" s="212">
        <v>1977199</v>
      </c>
      <c r="N6" s="233">
        <v>1980412</v>
      </c>
      <c r="O6" s="212">
        <v>1983452</v>
      </c>
      <c r="P6" s="212">
        <v>1986619</v>
      </c>
      <c r="Q6" s="212">
        <v>1990020</v>
      </c>
      <c r="R6" s="212">
        <v>1993482</v>
      </c>
      <c r="S6" s="212">
        <v>1996858</v>
      </c>
      <c r="T6" s="212">
        <v>2000222</v>
      </c>
      <c r="U6" s="212">
        <v>2003525</v>
      </c>
      <c r="V6" s="212">
        <v>2006609</v>
      </c>
      <c r="W6" s="212">
        <v>2009861</v>
      </c>
      <c r="X6" s="212">
        <v>2013208</v>
      </c>
      <c r="Y6" s="212">
        <v>2016567</v>
      </c>
      <c r="Z6" s="212">
        <v>2020072</v>
      </c>
      <c r="AA6" s="212">
        <v>2023641</v>
      </c>
      <c r="AB6" s="212">
        <v>2026679</v>
      </c>
      <c r="AC6" s="212">
        <v>2029763</v>
      </c>
      <c r="AD6" s="212">
        <v>2033110</v>
      </c>
      <c r="AE6" s="212">
        <v>2036495</v>
      </c>
      <c r="AF6" s="212">
        <v>2039878</v>
      </c>
      <c r="AG6" s="195"/>
      <c r="AH6" s="212">
        <v>1936316</v>
      </c>
      <c r="AI6" s="101"/>
      <c r="AJ6" s="101"/>
      <c r="AM6" s="102"/>
    </row>
    <row r="7" spans="1:39" ht="20.100000000000001" customHeight="1">
      <c r="A7" s="94" t="s">
        <v>57</v>
      </c>
      <c r="B7" s="212">
        <v>5556680</v>
      </c>
      <c r="C7" s="212">
        <v>5571908</v>
      </c>
      <c r="D7" s="212">
        <v>5587383</v>
      </c>
      <c r="E7" s="212">
        <v>5602601</v>
      </c>
      <c r="F7" s="212">
        <v>5616823</v>
      </c>
      <c r="G7" s="212">
        <v>5630476</v>
      </c>
      <c r="H7" s="212">
        <v>5645306</v>
      </c>
      <c r="I7" s="212">
        <v>5661076</v>
      </c>
      <c r="J7" s="212">
        <v>5678277</v>
      </c>
      <c r="K7" s="212">
        <v>5694939</v>
      </c>
      <c r="L7" s="212">
        <v>5710729</v>
      </c>
      <c r="M7" s="212">
        <v>5727950</v>
      </c>
      <c r="N7" s="233">
        <v>5743060</v>
      </c>
      <c r="O7" s="212">
        <v>5755559</v>
      </c>
      <c r="P7" s="212">
        <v>5761684</v>
      </c>
      <c r="Q7" s="212">
        <v>5764588</v>
      </c>
      <c r="R7" s="212">
        <v>5772169</v>
      </c>
      <c r="S7" s="212">
        <v>5780267</v>
      </c>
      <c r="T7" s="212">
        <v>5788645</v>
      </c>
      <c r="U7" s="212">
        <v>5796903</v>
      </c>
      <c r="V7" s="212">
        <v>5804899</v>
      </c>
      <c r="W7" s="212">
        <v>5811922</v>
      </c>
      <c r="X7" s="212">
        <v>5820099</v>
      </c>
      <c r="Y7" s="212">
        <v>5829180</v>
      </c>
      <c r="Z7" s="212">
        <v>5838165</v>
      </c>
      <c r="AA7" s="212">
        <v>5839626</v>
      </c>
      <c r="AB7" s="212">
        <v>5847998</v>
      </c>
      <c r="AC7" s="212">
        <v>5855994</v>
      </c>
      <c r="AD7" s="212">
        <v>5864335</v>
      </c>
      <c r="AE7" s="212">
        <v>5873436</v>
      </c>
      <c r="AF7" s="212">
        <v>5889959</v>
      </c>
      <c r="AG7" s="195"/>
      <c r="AH7" s="212">
        <v>5547171</v>
      </c>
      <c r="AI7" s="101"/>
      <c r="AJ7" s="101"/>
      <c r="AM7" s="102"/>
    </row>
    <row r="8" spans="1:39" ht="20.100000000000001" customHeight="1">
      <c r="A8" s="94" t="s">
        <v>58</v>
      </c>
      <c r="B8" s="212">
        <v>1898981</v>
      </c>
      <c r="C8" s="212">
        <v>1898981</v>
      </c>
      <c r="D8" s="212">
        <v>1898981</v>
      </c>
      <c r="E8" s="212">
        <v>1898981</v>
      </c>
      <c r="F8" s="212">
        <v>1898981</v>
      </c>
      <c r="G8" s="212">
        <v>1898981</v>
      </c>
      <c r="H8" s="212">
        <v>1898981</v>
      </c>
      <c r="I8" s="212">
        <v>1898981</v>
      </c>
      <c r="J8" s="212">
        <v>1898981</v>
      </c>
      <c r="K8" s="212">
        <v>1898981</v>
      </c>
      <c r="L8" s="212">
        <v>1898981</v>
      </c>
      <c r="M8" s="212">
        <v>1898981</v>
      </c>
      <c r="N8" s="233">
        <v>1898981</v>
      </c>
      <c r="O8" s="212">
        <v>1899665</v>
      </c>
      <c r="P8" s="212">
        <v>1902203</v>
      </c>
      <c r="Q8" s="212">
        <v>1905171</v>
      </c>
      <c r="R8" s="212">
        <v>1907472</v>
      </c>
      <c r="S8" s="212">
        <v>1909924</v>
      </c>
      <c r="T8" s="212">
        <v>1912467</v>
      </c>
      <c r="U8" s="212">
        <v>1914972</v>
      </c>
      <c r="V8" s="212">
        <v>1917403</v>
      </c>
      <c r="W8" s="212">
        <v>1919941</v>
      </c>
      <c r="X8" s="212">
        <v>1922522</v>
      </c>
      <c r="Y8" s="212">
        <v>1925275</v>
      </c>
      <c r="Z8" s="212">
        <v>1928143</v>
      </c>
      <c r="AA8" s="212">
        <v>1932347</v>
      </c>
      <c r="AB8" s="212">
        <v>1934947</v>
      </c>
      <c r="AC8" s="212">
        <v>1937378</v>
      </c>
      <c r="AD8" s="212">
        <v>1939936</v>
      </c>
      <c r="AE8" s="212">
        <v>1942727</v>
      </c>
      <c r="AF8" s="212">
        <v>1942993</v>
      </c>
      <c r="AG8" s="195"/>
      <c r="AH8" s="212">
        <v>1896871</v>
      </c>
      <c r="AI8" s="101"/>
      <c r="AJ8" s="101"/>
      <c r="AM8" s="102"/>
    </row>
    <row r="9" spans="1:39" ht="20.100000000000001" customHeight="1">
      <c r="A9" s="94" t="s">
        <v>59</v>
      </c>
      <c r="B9" s="214">
        <v>11962102</v>
      </c>
      <c r="C9" s="214">
        <v>11975705</v>
      </c>
      <c r="D9" s="214">
        <v>11989446</v>
      </c>
      <c r="E9" s="214">
        <v>12003180</v>
      </c>
      <c r="F9" s="214">
        <v>12016880</v>
      </c>
      <c r="G9" s="214">
        <v>12029676</v>
      </c>
      <c r="H9" s="214">
        <v>12043512</v>
      </c>
      <c r="I9" s="214">
        <v>12057372</v>
      </c>
      <c r="J9" s="214">
        <v>12071356</v>
      </c>
      <c r="K9" s="214">
        <v>12085321</v>
      </c>
      <c r="L9" s="214">
        <v>12099523</v>
      </c>
      <c r="M9" s="214">
        <v>12114280</v>
      </c>
      <c r="N9" s="234">
        <v>12128832</v>
      </c>
      <c r="O9" s="214">
        <v>12143504</v>
      </c>
      <c r="P9" s="214">
        <v>12157813</v>
      </c>
      <c r="Q9" s="214">
        <v>12169480</v>
      </c>
      <c r="R9" s="214">
        <v>12184008</v>
      </c>
      <c r="S9" s="214">
        <v>12198317</v>
      </c>
      <c r="T9" s="214">
        <v>12212730</v>
      </c>
      <c r="U9" s="214">
        <v>12227171</v>
      </c>
      <c r="V9" s="214">
        <v>12241486</v>
      </c>
      <c r="W9" s="214">
        <v>12255243</v>
      </c>
      <c r="X9" s="214">
        <v>12269702</v>
      </c>
      <c r="Y9" s="214">
        <v>12284154</v>
      </c>
      <c r="Z9" s="214">
        <v>12297998</v>
      </c>
      <c r="AA9" s="214">
        <v>12310689</v>
      </c>
      <c r="AB9" s="214">
        <v>12323086</v>
      </c>
      <c r="AC9" s="214">
        <v>12337401</v>
      </c>
      <c r="AD9" s="214">
        <v>12351342</v>
      </c>
      <c r="AE9" s="214">
        <v>12365423</v>
      </c>
      <c r="AF9" s="214">
        <v>12379401</v>
      </c>
      <c r="AG9" s="197"/>
      <c r="AH9" s="214">
        <v>11948478</v>
      </c>
      <c r="AI9" s="101"/>
      <c r="AJ9" s="101"/>
      <c r="AM9" s="102"/>
    </row>
    <row r="10" spans="1:39" ht="20.100000000000001" customHeight="1">
      <c r="A10" s="94" t="s">
        <v>60</v>
      </c>
      <c r="B10" s="212">
        <v>3019626</v>
      </c>
      <c r="C10" s="212">
        <v>3025846</v>
      </c>
      <c r="D10" s="212">
        <v>3032076</v>
      </c>
      <c r="E10" s="212">
        <v>3038372</v>
      </c>
      <c r="F10" s="212">
        <v>3044677</v>
      </c>
      <c r="G10" s="212">
        <v>3050535</v>
      </c>
      <c r="H10" s="212">
        <v>3056549</v>
      </c>
      <c r="I10" s="212">
        <v>3062598</v>
      </c>
      <c r="J10" s="212">
        <v>3068779</v>
      </c>
      <c r="K10" s="212">
        <v>3074938</v>
      </c>
      <c r="L10" s="212">
        <v>3081125</v>
      </c>
      <c r="M10" s="212">
        <v>3087335</v>
      </c>
      <c r="N10" s="233">
        <v>3093354</v>
      </c>
      <c r="O10" s="212">
        <v>3099200</v>
      </c>
      <c r="P10" s="212">
        <v>3105142</v>
      </c>
      <c r="Q10" s="212">
        <v>3111360</v>
      </c>
      <c r="R10" s="212">
        <v>3117594</v>
      </c>
      <c r="S10" s="212">
        <v>3123668</v>
      </c>
      <c r="T10" s="212">
        <v>3129839</v>
      </c>
      <c r="U10" s="212">
        <v>3135881</v>
      </c>
      <c r="V10" s="212">
        <v>3141694</v>
      </c>
      <c r="W10" s="212">
        <v>3147754</v>
      </c>
      <c r="X10" s="212">
        <v>3154255</v>
      </c>
      <c r="Y10" s="212">
        <v>3160628</v>
      </c>
      <c r="Z10" s="212">
        <v>3167079</v>
      </c>
      <c r="AA10" s="212">
        <v>3173352</v>
      </c>
      <c r="AB10" s="212">
        <v>3178848</v>
      </c>
      <c r="AC10" s="212">
        <v>3184661</v>
      </c>
      <c r="AD10" s="212">
        <v>3190879</v>
      </c>
      <c r="AE10" s="212">
        <v>3197404</v>
      </c>
      <c r="AF10" s="212">
        <v>3203905</v>
      </c>
      <c r="AG10" s="195"/>
      <c r="AH10" s="212">
        <v>3013501</v>
      </c>
      <c r="AI10" s="101"/>
      <c r="AJ10" s="101"/>
      <c r="AM10" s="102"/>
    </row>
    <row r="11" spans="1:39" ht="22.5" customHeight="1">
      <c r="A11" s="94" t="s">
        <v>61</v>
      </c>
      <c r="B11" s="212">
        <v>135418</v>
      </c>
      <c r="C11" s="212">
        <v>135580</v>
      </c>
      <c r="D11" s="212">
        <v>135745</v>
      </c>
      <c r="E11" s="212">
        <v>135913</v>
      </c>
      <c r="F11" s="212">
        <v>136082</v>
      </c>
      <c r="G11" s="212">
        <v>136230</v>
      </c>
      <c r="H11" s="212">
        <v>136378</v>
      </c>
      <c r="I11" s="212">
        <v>136542</v>
      </c>
      <c r="J11" s="212">
        <v>136707</v>
      </c>
      <c r="K11" s="212">
        <v>136872</v>
      </c>
      <c r="L11" s="212">
        <v>137039</v>
      </c>
      <c r="M11" s="212">
        <v>137207</v>
      </c>
      <c r="N11" s="233">
        <v>137367</v>
      </c>
      <c r="O11" s="212">
        <v>137516</v>
      </c>
      <c r="P11" s="212">
        <v>137673</v>
      </c>
      <c r="Q11" s="212">
        <v>137843</v>
      </c>
      <c r="R11" s="212">
        <v>138018</v>
      </c>
      <c r="S11" s="212">
        <v>138186</v>
      </c>
      <c r="T11" s="212">
        <v>138357</v>
      </c>
      <c r="U11" s="212">
        <v>138517</v>
      </c>
      <c r="V11" s="212">
        <v>138665</v>
      </c>
      <c r="W11" s="212">
        <v>138825</v>
      </c>
      <c r="X11" s="212">
        <v>139001</v>
      </c>
      <c r="Y11" s="212">
        <v>139175</v>
      </c>
      <c r="Z11" s="212">
        <v>139354</v>
      </c>
      <c r="AA11" s="212">
        <v>139544</v>
      </c>
      <c r="AB11" s="212">
        <v>139715</v>
      </c>
      <c r="AC11" s="212">
        <v>139863</v>
      </c>
      <c r="AD11" s="212">
        <v>140033</v>
      </c>
      <c r="AE11" s="212">
        <v>140215</v>
      </c>
      <c r="AF11" s="212">
        <v>140394</v>
      </c>
      <c r="AG11" s="195"/>
      <c r="AH11" s="212">
        <v>135252</v>
      </c>
      <c r="AI11" s="101"/>
      <c r="AJ11" s="101"/>
      <c r="AM11" s="102"/>
    </row>
    <row r="12" spans="1:39"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98"/>
      <c r="AH12" s="162"/>
    </row>
    <row r="13" spans="1:39" ht="21.95" customHeight="1">
      <c r="A13" s="87" t="s">
        <v>63</v>
      </c>
      <c r="B13" s="215" t="s">
        <v>106</v>
      </c>
      <c r="C13" s="215" t="s">
        <v>106</v>
      </c>
      <c r="D13" s="215" t="s">
        <v>106</v>
      </c>
      <c r="E13" s="215" t="s">
        <v>106</v>
      </c>
      <c r="F13" s="215" t="s">
        <v>106</v>
      </c>
      <c r="G13" s="215" t="s">
        <v>106</v>
      </c>
      <c r="H13" s="215" t="s">
        <v>106</v>
      </c>
      <c r="I13" s="215" t="s">
        <v>106</v>
      </c>
      <c r="J13" s="215" t="s">
        <v>106</v>
      </c>
      <c r="K13" s="215" t="s">
        <v>106</v>
      </c>
      <c r="L13" s="215" t="s">
        <v>106</v>
      </c>
      <c r="M13" s="215" t="s">
        <v>106</v>
      </c>
      <c r="N13" s="215" t="s">
        <v>106</v>
      </c>
      <c r="O13" s="215" t="s">
        <v>106</v>
      </c>
      <c r="P13" s="215" t="s">
        <v>106</v>
      </c>
      <c r="Q13" s="215" t="s">
        <v>106</v>
      </c>
      <c r="R13" s="215" t="s">
        <v>106</v>
      </c>
      <c r="S13" s="215" t="s">
        <v>106</v>
      </c>
      <c r="T13" s="215" t="s">
        <v>106</v>
      </c>
      <c r="U13" s="215" t="s">
        <v>106</v>
      </c>
      <c r="V13" s="215" t="s">
        <v>106</v>
      </c>
      <c r="W13" s="215" t="s">
        <v>106</v>
      </c>
      <c r="X13" s="215" t="s">
        <v>106</v>
      </c>
      <c r="Y13" s="215" t="s">
        <v>106</v>
      </c>
      <c r="Z13" s="215" t="s">
        <v>106</v>
      </c>
      <c r="AA13" s="215" t="s">
        <v>106</v>
      </c>
      <c r="AB13" s="215" t="s">
        <v>106</v>
      </c>
      <c r="AC13" s="215" t="s">
        <v>106</v>
      </c>
      <c r="AD13" s="215" t="s">
        <v>106</v>
      </c>
      <c r="AE13" s="215" t="s">
        <v>106</v>
      </c>
      <c r="AF13" s="215" t="s">
        <v>106</v>
      </c>
      <c r="AG13" s="192"/>
      <c r="AH13" s="215" t="s">
        <v>106</v>
      </c>
    </row>
    <row r="14" spans="1:39" ht="26.1" customHeight="1">
      <c r="A14" s="87" t="s">
        <v>66</v>
      </c>
      <c r="B14" s="182">
        <v>182037.85</v>
      </c>
      <c r="C14" s="182">
        <v>182037.85</v>
      </c>
      <c r="D14" s="182">
        <v>182037.85</v>
      </c>
      <c r="E14" s="182">
        <v>182037.85</v>
      </c>
      <c r="F14" s="182">
        <v>182037.85</v>
      </c>
      <c r="G14" s="182">
        <v>182037.85</v>
      </c>
      <c r="H14" s="182">
        <v>182748.58</v>
      </c>
      <c r="I14" s="182">
        <v>182748.58</v>
      </c>
      <c r="J14" s="182">
        <v>182748.58</v>
      </c>
      <c r="K14" s="182">
        <v>182748.58</v>
      </c>
      <c r="L14" s="182">
        <v>182748.58</v>
      </c>
      <c r="M14" s="182">
        <v>182748.58</v>
      </c>
      <c r="N14" s="235">
        <v>182748.58</v>
      </c>
      <c r="O14" s="182">
        <v>183563.36</v>
      </c>
      <c r="P14" s="182">
        <v>183563.36</v>
      </c>
      <c r="Q14" s="182">
        <v>183563.36</v>
      </c>
      <c r="R14" s="182">
        <v>183563.36</v>
      </c>
      <c r="S14" s="182">
        <v>183563.36</v>
      </c>
      <c r="T14" s="182">
        <v>183563.36</v>
      </c>
      <c r="U14" s="182">
        <v>183563.36</v>
      </c>
      <c r="V14" s="182">
        <v>184357.03</v>
      </c>
      <c r="W14" s="182">
        <v>184357.03</v>
      </c>
      <c r="X14" s="182">
        <v>184357.03</v>
      </c>
      <c r="Y14" s="182">
        <v>184357.03</v>
      </c>
      <c r="Z14" s="182">
        <v>184357.03</v>
      </c>
      <c r="AA14" s="182">
        <v>184357.03</v>
      </c>
      <c r="AB14" s="182">
        <v>184357.03</v>
      </c>
      <c r="AC14" s="182">
        <v>185477.84</v>
      </c>
      <c r="AD14" s="182">
        <v>185477.84</v>
      </c>
      <c r="AE14" s="182">
        <v>185477.84</v>
      </c>
      <c r="AF14" s="182">
        <v>185477.84</v>
      </c>
      <c r="AG14" s="200"/>
      <c r="AH14" s="182">
        <v>182037.85</v>
      </c>
    </row>
    <row r="15" spans="1:39" ht="26.1" customHeight="1">
      <c r="A15" s="87" t="s">
        <v>67</v>
      </c>
      <c r="B15" s="183">
        <v>1127</v>
      </c>
      <c r="C15" s="183">
        <v>1127</v>
      </c>
      <c r="D15" s="183">
        <v>1127</v>
      </c>
      <c r="E15" s="183">
        <v>1127</v>
      </c>
      <c r="F15" s="183">
        <v>1127</v>
      </c>
      <c r="G15" s="183">
        <v>1127</v>
      </c>
      <c r="H15" s="183">
        <v>1129</v>
      </c>
      <c r="I15" s="183">
        <v>1129</v>
      </c>
      <c r="J15" s="183">
        <v>1129</v>
      </c>
      <c r="K15" s="183">
        <v>1129</v>
      </c>
      <c r="L15" s="183">
        <v>1129</v>
      </c>
      <c r="M15" s="183">
        <v>1127</v>
      </c>
      <c r="N15" s="236">
        <v>1127</v>
      </c>
      <c r="O15" s="183">
        <v>1129</v>
      </c>
      <c r="P15" s="183">
        <v>1129</v>
      </c>
      <c r="Q15" s="183">
        <v>1129</v>
      </c>
      <c r="R15" s="183">
        <v>1129</v>
      </c>
      <c r="S15" s="183">
        <v>1129</v>
      </c>
      <c r="T15" s="183">
        <v>1129</v>
      </c>
      <c r="U15" s="183">
        <v>1129</v>
      </c>
      <c r="V15" s="183">
        <v>1130</v>
      </c>
      <c r="W15" s="183">
        <v>1130</v>
      </c>
      <c r="X15" s="183">
        <v>1130</v>
      </c>
      <c r="Y15" s="183">
        <v>1130</v>
      </c>
      <c r="Z15" s="183">
        <v>1130</v>
      </c>
      <c r="AA15" s="183">
        <v>1130</v>
      </c>
      <c r="AB15" s="183">
        <v>1129</v>
      </c>
      <c r="AC15" s="183">
        <v>1130</v>
      </c>
      <c r="AD15" s="183">
        <v>1130</v>
      </c>
      <c r="AE15" s="183">
        <v>1130</v>
      </c>
      <c r="AF15" s="183">
        <v>1130</v>
      </c>
      <c r="AG15" s="202"/>
      <c r="AH15" s="183">
        <v>1127</v>
      </c>
    </row>
    <row r="16" spans="1:39" ht="25.5">
      <c r="A16" s="87" t="s">
        <v>68</v>
      </c>
      <c r="B16" s="183">
        <v>4587</v>
      </c>
      <c r="C16" s="183">
        <v>4587</v>
      </c>
      <c r="D16" s="183">
        <v>4587</v>
      </c>
      <c r="E16" s="183">
        <v>4587</v>
      </c>
      <c r="F16" s="183">
        <v>4587</v>
      </c>
      <c r="G16" s="183">
        <v>4587</v>
      </c>
      <c r="H16" s="183">
        <v>4587</v>
      </c>
      <c r="I16" s="183">
        <v>4587</v>
      </c>
      <c r="J16" s="183">
        <v>4587</v>
      </c>
      <c r="K16" s="183">
        <v>4587</v>
      </c>
      <c r="L16" s="183">
        <v>4587</v>
      </c>
      <c r="M16" s="183">
        <v>4587</v>
      </c>
      <c r="N16" s="236">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183">
        <v>4587</v>
      </c>
      <c r="AE16" s="183">
        <v>4587</v>
      </c>
      <c r="AF16" s="183">
        <v>4587</v>
      </c>
      <c r="AG16" s="202"/>
      <c r="AH16" s="183">
        <v>4587</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203"/>
      <c r="AH17" s="162"/>
    </row>
    <row r="18" spans="1:34" ht="21.6" customHeight="1">
      <c r="A18" s="87" t="s">
        <v>69</v>
      </c>
      <c r="B18" s="215" t="s">
        <v>106</v>
      </c>
      <c r="C18" s="215" t="s">
        <v>106</v>
      </c>
      <c r="D18" s="215" t="s">
        <v>106</v>
      </c>
      <c r="E18" s="215" t="s">
        <v>106</v>
      </c>
      <c r="F18" s="215" t="s">
        <v>106</v>
      </c>
      <c r="G18" s="215" t="s">
        <v>106</v>
      </c>
      <c r="H18" s="215" t="s">
        <v>106</v>
      </c>
      <c r="I18" s="215" t="s">
        <v>106</v>
      </c>
      <c r="J18" s="215" t="s">
        <v>106</v>
      </c>
      <c r="K18" s="215" t="s">
        <v>106</v>
      </c>
      <c r="L18" s="215" t="s">
        <v>106</v>
      </c>
      <c r="M18" s="215" t="s">
        <v>106</v>
      </c>
      <c r="N18" s="215" t="s">
        <v>106</v>
      </c>
      <c r="O18" s="215" t="s">
        <v>106</v>
      </c>
      <c r="P18" s="215" t="s">
        <v>106</v>
      </c>
      <c r="Q18" s="215" t="s">
        <v>106</v>
      </c>
      <c r="R18" s="215" t="s">
        <v>106</v>
      </c>
      <c r="S18" s="215" t="s">
        <v>106</v>
      </c>
      <c r="T18" s="215" t="s">
        <v>106</v>
      </c>
      <c r="U18" s="215" t="s">
        <v>106</v>
      </c>
      <c r="V18" s="215" t="s">
        <v>106</v>
      </c>
      <c r="W18" s="215" t="s">
        <v>106</v>
      </c>
      <c r="X18" s="215" t="s">
        <v>106</v>
      </c>
      <c r="Y18" s="215" t="s">
        <v>106</v>
      </c>
      <c r="Z18" s="215" t="s">
        <v>106</v>
      </c>
      <c r="AA18" s="215" t="s">
        <v>106</v>
      </c>
      <c r="AB18" s="215" t="s">
        <v>106</v>
      </c>
      <c r="AC18" s="215" t="s">
        <v>106</v>
      </c>
      <c r="AD18" s="215" t="s">
        <v>106</v>
      </c>
      <c r="AE18" s="215" t="s">
        <v>106</v>
      </c>
      <c r="AF18" s="215" t="s">
        <v>106</v>
      </c>
      <c r="AG18" s="192"/>
      <c r="AH18" s="215" t="s">
        <v>106</v>
      </c>
    </row>
    <row r="19" spans="1:34" ht="26.1" customHeight="1">
      <c r="A19" s="127" t="s">
        <v>70</v>
      </c>
      <c r="B19" s="186">
        <v>49834.5</v>
      </c>
      <c r="C19" s="186">
        <v>49926.8</v>
      </c>
      <c r="D19" s="186">
        <v>50007.199999999997</v>
      </c>
      <c r="E19" s="186">
        <v>50087.1</v>
      </c>
      <c r="F19" s="186">
        <v>50203.9</v>
      </c>
      <c r="G19" s="186">
        <v>50296.2</v>
      </c>
      <c r="H19" s="186">
        <v>50373.7</v>
      </c>
      <c r="I19" s="186">
        <v>50466.1</v>
      </c>
      <c r="J19" s="186">
        <v>50559.199999999997</v>
      </c>
      <c r="K19" s="186">
        <v>50672.7</v>
      </c>
      <c r="L19" s="186">
        <v>50763.3</v>
      </c>
      <c r="M19" s="186">
        <v>50856.7</v>
      </c>
      <c r="N19" s="237">
        <v>50940.9</v>
      </c>
      <c r="O19" s="186">
        <v>51004.2</v>
      </c>
      <c r="P19" s="186">
        <v>51105.1</v>
      </c>
      <c r="Q19" s="186">
        <v>51223.7</v>
      </c>
      <c r="R19" s="186">
        <v>51314.1</v>
      </c>
      <c r="S19" s="186">
        <v>51314.1</v>
      </c>
      <c r="T19" s="186">
        <v>51462.3</v>
      </c>
      <c r="U19" s="186">
        <v>51558.7</v>
      </c>
      <c r="V19" s="186">
        <v>51631.6</v>
      </c>
      <c r="W19" s="186">
        <v>51682.9</v>
      </c>
      <c r="X19" s="186">
        <v>51765.8</v>
      </c>
      <c r="Y19" s="186">
        <v>51847.8</v>
      </c>
      <c r="Z19" s="186">
        <v>51914.2</v>
      </c>
      <c r="AA19" s="186">
        <v>51999.7</v>
      </c>
      <c r="AB19" s="186">
        <v>52078.5</v>
      </c>
      <c r="AC19" s="186">
        <v>52153.2</v>
      </c>
      <c r="AD19" s="186">
        <v>52211.7</v>
      </c>
      <c r="AE19" s="186">
        <v>52295.199999999997</v>
      </c>
      <c r="AF19" s="186">
        <v>52366.3</v>
      </c>
      <c r="AG19" s="201"/>
      <c r="AH19" s="186">
        <v>49737.7</v>
      </c>
    </row>
    <row r="20" spans="1:34" ht="39" customHeight="1">
      <c r="A20" s="87" t="s">
        <v>71</v>
      </c>
      <c r="B20" s="186">
        <v>884688.5</v>
      </c>
      <c r="C20" s="186">
        <v>884920.4</v>
      </c>
      <c r="D20" s="186">
        <v>847045.6</v>
      </c>
      <c r="E20" s="186">
        <v>881866.4</v>
      </c>
      <c r="F20" s="186">
        <v>937928.2</v>
      </c>
      <c r="G20" s="186">
        <v>997559.2</v>
      </c>
      <c r="H20" s="186">
        <v>104327.3</v>
      </c>
      <c r="I20" s="183">
        <v>1188248</v>
      </c>
      <c r="J20" s="183">
        <v>1113852</v>
      </c>
      <c r="K20" s="183">
        <v>1117988</v>
      </c>
      <c r="L20" s="183">
        <v>1139843</v>
      </c>
      <c r="M20" s="183">
        <v>1159442</v>
      </c>
      <c r="N20" s="236">
        <v>1162693</v>
      </c>
      <c r="O20" s="183">
        <v>1191005</v>
      </c>
      <c r="P20" s="183">
        <v>1285163</v>
      </c>
      <c r="Q20" s="183">
        <v>1231536</v>
      </c>
      <c r="R20" s="183">
        <v>1259897</v>
      </c>
      <c r="S20" s="183">
        <v>1285101</v>
      </c>
      <c r="T20" s="183">
        <v>1309424</v>
      </c>
      <c r="U20" s="183">
        <v>1309425</v>
      </c>
      <c r="V20" s="183">
        <v>1310008</v>
      </c>
      <c r="W20" s="183">
        <v>1310008</v>
      </c>
      <c r="X20" s="183">
        <v>1310008</v>
      </c>
      <c r="Y20" s="183">
        <v>1333111</v>
      </c>
      <c r="Z20" s="183">
        <v>1333114</v>
      </c>
      <c r="AA20" s="183">
        <v>1332972</v>
      </c>
      <c r="AB20" s="183">
        <v>1351592</v>
      </c>
      <c r="AC20" s="183">
        <v>1351592</v>
      </c>
      <c r="AD20" s="183">
        <v>1351592</v>
      </c>
      <c r="AE20" s="183">
        <v>1351592</v>
      </c>
      <c r="AF20" s="183">
        <v>1353171</v>
      </c>
      <c r="AG20" s="206"/>
      <c r="AH20" s="186">
        <v>762859.1</v>
      </c>
    </row>
    <row r="21" spans="1:34" ht="25.5">
      <c r="A21" s="87" t="s">
        <v>72</v>
      </c>
      <c r="B21" s="183">
        <v>46367</v>
      </c>
      <c r="C21" s="183">
        <v>46367</v>
      </c>
      <c r="D21" s="183">
        <v>46367</v>
      </c>
      <c r="E21" s="183">
        <v>46367</v>
      </c>
      <c r="F21" s="183">
        <v>46367</v>
      </c>
      <c r="G21" s="183">
        <v>46367</v>
      </c>
      <c r="H21" s="186">
        <v>4782.8</v>
      </c>
      <c r="I21" s="186">
        <v>4782.8</v>
      </c>
      <c r="J21" s="186">
        <v>4782.8</v>
      </c>
      <c r="K21" s="186">
        <v>4782.8</v>
      </c>
      <c r="L21" s="186">
        <v>4782.8</v>
      </c>
      <c r="M21" s="186">
        <v>4782.8</v>
      </c>
      <c r="N21" s="237">
        <v>4782.8</v>
      </c>
      <c r="O21" s="183">
        <v>49535</v>
      </c>
      <c r="P21" s="183">
        <v>49535</v>
      </c>
      <c r="Q21" s="183">
        <v>49535</v>
      </c>
      <c r="R21" s="183">
        <v>49535</v>
      </c>
      <c r="S21" s="183">
        <v>49535</v>
      </c>
      <c r="T21" s="183">
        <v>49535</v>
      </c>
      <c r="U21" s="183">
        <v>49535</v>
      </c>
      <c r="V21" s="183">
        <v>51261</v>
      </c>
      <c r="W21" s="183">
        <v>51261</v>
      </c>
      <c r="X21" s="183">
        <v>51261</v>
      </c>
      <c r="Y21" s="183">
        <v>51261</v>
      </c>
      <c r="Z21" s="183">
        <v>51261</v>
      </c>
      <c r="AA21" s="183">
        <v>51261</v>
      </c>
      <c r="AB21" s="183">
        <v>51261</v>
      </c>
      <c r="AC21" s="183">
        <v>52813</v>
      </c>
      <c r="AD21" s="183">
        <v>52813</v>
      </c>
      <c r="AE21" s="183">
        <v>52813</v>
      </c>
      <c r="AF21" s="183">
        <v>52813</v>
      </c>
      <c r="AG21" s="201"/>
      <c r="AH21" s="183">
        <v>46367</v>
      </c>
    </row>
    <row r="22" spans="1:34" ht="25.5">
      <c r="A22" s="87" t="s">
        <v>73</v>
      </c>
      <c r="B22" s="183">
        <v>119950</v>
      </c>
      <c r="C22" s="183">
        <v>120099</v>
      </c>
      <c r="D22" s="183">
        <v>120099</v>
      </c>
      <c r="E22" s="183">
        <v>120386</v>
      </c>
      <c r="F22" s="183">
        <v>120522</v>
      </c>
      <c r="G22" s="183">
        <v>120667</v>
      </c>
      <c r="H22" s="183">
        <v>120817</v>
      </c>
      <c r="I22" s="183">
        <v>120947</v>
      </c>
      <c r="J22" s="183">
        <v>121119</v>
      </c>
      <c r="K22" s="183">
        <v>121298</v>
      </c>
      <c r="L22" s="183">
        <v>121473</v>
      </c>
      <c r="M22" s="183">
        <v>121656</v>
      </c>
      <c r="N22" s="236">
        <v>121825</v>
      </c>
      <c r="O22" s="183">
        <v>121973</v>
      </c>
      <c r="P22" s="183">
        <v>122151</v>
      </c>
      <c r="Q22" s="183">
        <v>122316</v>
      </c>
      <c r="R22" s="183">
        <v>122492</v>
      </c>
      <c r="S22" s="183">
        <v>122651</v>
      </c>
      <c r="T22" s="183">
        <v>122814</v>
      </c>
      <c r="U22" s="183">
        <v>122950</v>
      </c>
      <c r="V22" s="183">
        <v>123124</v>
      </c>
      <c r="W22" s="183">
        <v>123276</v>
      </c>
      <c r="X22" s="183">
        <v>123420</v>
      </c>
      <c r="Y22" s="183">
        <v>123559</v>
      </c>
      <c r="Z22" s="183">
        <v>123713</v>
      </c>
      <c r="AA22" s="183">
        <v>123861</v>
      </c>
      <c r="AB22" s="183">
        <v>124100</v>
      </c>
      <c r="AC22" s="183">
        <v>124186</v>
      </c>
      <c r="AD22" s="183">
        <v>124338</v>
      </c>
      <c r="AE22" s="183">
        <v>124502</v>
      </c>
      <c r="AF22" s="183">
        <v>124669</v>
      </c>
      <c r="AG22" s="201">
        <f>AF22-AH22</f>
        <v>4858</v>
      </c>
      <c r="AH22" s="183">
        <v>119811</v>
      </c>
    </row>
    <row r="23" spans="1:34">
      <c r="A23" s="189" t="s">
        <v>136</v>
      </c>
      <c r="B23" s="183">
        <v>1271</v>
      </c>
      <c r="C23" s="183">
        <v>1271</v>
      </c>
      <c r="D23" s="183">
        <v>1271</v>
      </c>
      <c r="E23" s="183">
        <v>1271</v>
      </c>
      <c r="F23" s="183">
        <v>1271</v>
      </c>
      <c r="G23" s="183">
        <v>1271</v>
      </c>
      <c r="H23" s="183">
        <v>1321</v>
      </c>
      <c r="I23" s="183">
        <v>1321</v>
      </c>
      <c r="J23" s="183">
        <v>1321</v>
      </c>
      <c r="K23" s="183">
        <v>1321</v>
      </c>
      <c r="L23" s="183">
        <v>1321</v>
      </c>
      <c r="M23" s="183">
        <v>1321</v>
      </c>
      <c r="N23" s="236">
        <v>1321</v>
      </c>
      <c r="O23" s="183">
        <v>1390</v>
      </c>
      <c r="P23" s="183">
        <v>1390</v>
      </c>
      <c r="Q23" s="183">
        <v>1390</v>
      </c>
      <c r="R23" s="183">
        <v>1390</v>
      </c>
      <c r="S23" s="183">
        <v>1390</v>
      </c>
      <c r="T23" s="183">
        <v>1390</v>
      </c>
      <c r="U23" s="183">
        <v>1390</v>
      </c>
      <c r="V23" s="183">
        <v>1445</v>
      </c>
      <c r="W23" s="183">
        <v>1445</v>
      </c>
      <c r="X23" s="183">
        <v>1445</v>
      </c>
      <c r="Y23" s="183">
        <v>1445</v>
      </c>
      <c r="Z23" s="183">
        <v>1445</v>
      </c>
      <c r="AA23" s="183">
        <v>1445</v>
      </c>
      <c r="AB23" s="183">
        <v>1445</v>
      </c>
      <c r="AC23" s="183">
        <v>1492</v>
      </c>
      <c r="AD23" s="183">
        <v>1492</v>
      </c>
      <c r="AE23" s="183">
        <v>1492</v>
      </c>
      <c r="AF23" s="183">
        <v>1492</v>
      </c>
      <c r="AG23" s="205"/>
      <c r="AH23" s="183">
        <v>1271</v>
      </c>
    </row>
    <row r="24" spans="1:34">
      <c r="A24" s="189" t="s">
        <v>139</v>
      </c>
      <c r="B24" s="183">
        <v>1270</v>
      </c>
      <c r="C24" s="183">
        <v>1270</v>
      </c>
      <c r="D24" s="183">
        <v>1270</v>
      </c>
      <c r="E24" s="183">
        <v>1270</v>
      </c>
      <c r="F24" s="183">
        <v>1270</v>
      </c>
      <c r="G24" s="183">
        <v>1270</v>
      </c>
      <c r="H24" s="183">
        <v>1320</v>
      </c>
      <c r="I24" s="183">
        <v>1320</v>
      </c>
      <c r="J24" s="183">
        <v>1320</v>
      </c>
      <c r="K24" s="183">
        <v>1320</v>
      </c>
      <c r="L24" s="183">
        <v>1320</v>
      </c>
      <c r="M24" s="183">
        <v>1320</v>
      </c>
      <c r="N24" s="236">
        <v>1320</v>
      </c>
      <c r="O24" s="183">
        <v>1367</v>
      </c>
      <c r="P24" s="183">
        <v>1367</v>
      </c>
      <c r="Q24" s="183">
        <v>1367</v>
      </c>
      <c r="R24" s="183">
        <v>1367</v>
      </c>
      <c r="S24" s="183">
        <v>1367</v>
      </c>
      <c r="T24" s="183">
        <v>1367</v>
      </c>
      <c r="U24" s="183">
        <v>1367</v>
      </c>
      <c r="V24" s="183">
        <v>1431</v>
      </c>
      <c r="W24" s="183">
        <v>1431</v>
      </c>
      <c r="X24" s="183">
        <v>1431</v>
      </c>
      <c r="Y24" s="183">
        <v>1431</v>
      </c>
      <c r="Z24" s="183">
        <v>1431</v>
      </c>
      <c r="AA24" s="183">
        <v>1431</v>
      </c>
      <c r="AB24" s="183">
        <v>1431</v>
      </c>
      <c r="AC24" s="183">
        <v>1500</v>
      </c>
      <c r="AD24" s="183">
        <v>1500</v>
      </c>
      <c r="AE24" s="183">
        <v>1500</v>
      </c>
      <c r="AF24" s="183">
        <v>1500</v>
      </c>
      <c r="AG24" s="205"/>
      <c r="AH24" s="183">
        <v>1270</v>
      </c>
    </row>
    <row r="25" spans="1:34">
      <c r="A25" s="189" t="s">
        <v>142</v>
      </c>
      <c r="B25" s="183">
        <v>404</v>
      </c>
      <c r="C25" s="183">
        <v>404</v>
      </c>
      <c r="D25" s="183">
        <v>404</v>
      </c>
      <c r="E25" s="183">
        <v>404</v>
      </c>
      <c r="F25" s="183">
        <v>404</v>
      </c>
      <c r="G25" s="183">
        <v>404</v>
      </c>
      <c r="H25" s="183">
        <v>417</v>
      </c>
      <c r="I25" s="183">
        <v>417</v>
      </c>
      <c r="J25" s="183">
        <v>417</v>
      </c>
      <c r="K25" s="183">
        <v>417</v>
      </c>
      <c r="L25" s="183">
        <v>417</v>
      </c>
      <c r="M25" s="183">
        <v>417</v>
      </c>
      <c r="N25" s="236">
        <v>417</v>
      </c>
      <c r="O25" s="183">
        <v>430</v>
      </c>
      <c r="P25" s="183">
        <v>430</v>
      </c>
      <c r="Q25" s="183">
        <v>430</v>
      </c>
      <c r="R25" s="183">
        <v>430</v>
      </c>
      <c r="S25" s="183">
        <v>430</v>
      </c>
      <c r="T25" s="183">
        <v>430</v>
      </c>
      <c r="U25" s="183">
        <v>430</v>
      </c>
      <c r="V25" s="183">
        <v>443</v>
      </c>
      <c r="W25" s="183">
        <v>443</v>
      </c>
      <c r="X25" s="183">
        <v>443</v>
      </c>
      <c r="Y25" s="183">
        <v>443</v>
      </c>
      <c r="Z25" s="183">
        <v>443</v>
      </c>
      <c r="AA25" s="183">
        <v>443</v>
      </c>
      <c r="AB25" s="183">
        <v>443</v>
      </c>
      <c r="AC25" s="183">
        <v>456</v>
      </c>
      <c r="AD25" s="183">
        <v>456</v>
      </c>
      <c r="AE25" s="183">
        <v>456</v>
      </c>
      <c r="AF25" s="183">
        <v>456</v>
      </c>
      <c r="AG25" s="205"/>
      <c r="AH25" s="183">
        <v>404</v>
      </c>
    </row>
    <row r="26" spans="1:34">
      <c r="A26" s="189" t="s">
        <v>145</v>
      </c>
      <c r="B26" s="183">
        <v>63</v>
      </c>
      <c r="C26" s="183">
        <v>63</v>
      </c>
      <c r="D26" s="183">
        <v>63</v>
      </c>
      <c r="E26" s="183">
        <v>63</v>
      </c>
      <c r="F26" s="183">
        <v>63</v>
      </c>
      <c r="G26" s="183">
        <v>63</v>
      </c>
      <c r="H26" s="183">
        <v>68</v>
      </c>
      <c r="I26" s="183">
        <v>68</v>
      </c>
      <c r="J26" s="183">
        <v>68</v>
      </c>
      <c r="K26" s="183">
        <v>68</v>
      </c>
      <c r="L26" s="183">
        <v>68</v>
      </c>
      <c r="M26" s="183">
        <v>68</v>
      </c>
      <c r="N26" s="236">
        <v>68</v>
      </c>
      <c r="O26" s="183">
        <v>77</v>
      </c>
      <c r="P26" s="183">
        <v>77</v>
      </c>
      <c r="Q26" s="183">
        <v>77</v>
      </c>
      <c r="R26" s="183">
        <v>77</v>
      </c>
      <c r="S26" s="183">
        <v>77</v>
      </c>
      <c r="T26" s="183">
        <v>77</v>
      </c>
      <c r="U26" s="183">
        <v>77</v>
      </c>
      <c r="V26" s="183">
        <v>83</v>
      </c>
      <c r="W26" s="183">
        <v>83</v>
      </c>
      <c r="X26" s="183">
        <v>83</v>
      </c>
      <c r="Y26" s="183">
        <v>83</v>
      </c>
      <c r="Z26" s="183">
        <v>83</v>
      </c>
      <c r="AA26" s="183">
        <v>83</v>
      </c>
      <c r="AB26" s="183">
        <v>83</v>
      </c>
      <c r="AC26" s="183">
        <v>84</v>
      </c>
      <c r="AD26" s="183">
        <v>84</v>
      </c>
      <c r="AE26" s="183">
        <v>84</v>
      </c>
      <c r="AF26" s="183">
        <v>84</v>
      </c>
      <c r="AG26" s="205"/>
      <c r="AH26" s="183">
        <v>63</v>
      </c>
    </row>
    <row r="27" spans="1:34">
      <c r="A27" s="189" t="s">
        <v>148</v>
      </c>
      <c r="B27" s="183">
        <v>1449</v>
      </c>
      <c r="C27" s="183">
        <v>1449</v>
      </c>
      <c r="D27" s="183">
        <v>1449</v>
      </c>
      <c r="E27" s="183">
        <v>1449</v>
      </c>
      <c r="F27" s="183">
        <v>1449</v>
      </c>
      <c r="G27" s="183">
        <v>1449</v>
      </c>
      <c r="H27" s="183">
        <v>1489</v>
      </c>
      <c r="I27" s="183">
        <v>1489</v>
      </c>
      <c r="J27" s="183">
        <v>1489</v>
      </c>
      <c r="K27" s="183">
        <v>1489</v>
      </c>
      <c r="L27" s="183">
        <v>1489</v>
      </c>
      <c r="M27" s="183">
        <v>1489</v>
      </c>
      <c r="N27" s="236">
        <v>1489</v>
      </c>
      <c r="O27" s="183">
        <v>1542</v>
      </c>
      <c r="P27" s="183">
        <v>1542</v>
      </c>
      <c r="Q27" s="183">
        <v>1542</v>
      </c>
      <c r="R27" s="183">
        <v>1542</v>
      </c>
      <c r="S27" s="183">
        <v>1542</v>
      </c>
      <c r="T27" s="183">
        <v>1542</v>
      </c>
      <c r="U27" s="183">
        <v>1542</v>
      </c>
      <c r="V27" s="183">
        <v>1592</v>
      </c>
      <c r="W27" s="183">
        <v>1592</v>
      </c>
      <c r="X27" s="183">
        <v>1592</v>
      </c>
      <c r="Y27" s="183">
        <v>1592</v>
      </c>
      <c r="Z27" s="183">
        <v>1592</v>
      </c>
      <c r="AA27" s="183">
        <v>1592</v>
      </c>
      <c r="AB27" s="183">
        <v>1592</v>
      </c>
      <c r="AC27" s="183">
        <v>1649</v>
      </c>
      <c r="AD27" s="183">
        <v>1649</v>
      </c>
      <c r="AE27" s="183">
        <v>1649</v>
      </c>
      <c r="AF27" s="183">
        <v>1649</v>
      </c>
      <c r="AG27" s="205"/>
      <c r="AH27" s="183">
        <v>1449</v>
      </c>
    </row>
    <row r="28" spans="1:34" ht="15.6" customHeight="1">
      <c r="A28" s="189" t="s">
        <v>151</v>
      </c>
      <c r="B28" s="183">
        <v>293</v>
      </c>
      <c r="C28" s="183">
        <v>293</v>
      </c>
      <c r="D28" s="183">
        <v>293</v>
      </c>
      <c r="E28" s="183">
        <v>293</v>
      </c>
      <c r="F28" s="183">
        <v>293</v>
      </c>
      <c r="G28" s="183">
        <v>293</v>
      </c>
      <c r="H28" s="183">
        <v>305</v>
      </c>
      <c r="I28" s="183">
        <v>305</v>
      </c>
      <c r="J28" s="183">
        <v>305</v>
      </c>
      <c r="K28" s="183">
        <v>305</v>
      </c>
      <c r="L28" s="183">
        <v>305</v>
      </c>
      <c r="M28" s="183">
        <v>305</v>
      </c>
      <c r="N28" s="236">
        <v>305</v>
      </c>
      <c r="O28" s="183">
        <v>316</v>
      </c>
      <c r="P28" s="183">
        <v>316</v>
      </c>
      <c r="Q28" s="183">
        <v>316</v>
      </c>
      <c r="R28" s="183">
        <v>316</v>
      </c>
      <c r="S28" s="183">
        <v>316</v>
      </c>
      <c r="T28" s="183">
        <v>316</v>
      </c>
      <c r="U28" s="183">
        <v>316</v>
      </c>
      <c r="V28" s="183">
        <v>326</v>
      </c>
      <c r="W28" s="183">
        <v>326</v>
      </c>
      <c r="X28" s="183">
        <v>326</v>
      </c>
      <c r="Y28" s="183">
        <v>326</v>
      </c>
      <c r="Z28" s="183">
        <v>326</v>
      </c>
      <c r="AA28" s="183">
        <v>326</v>
      </c>
      <c r="AB28" s="183">
        <v>326</v>
      </c>
      <c r="AC28" s="183">
        <v>337</v>
      </c>
      <c r="AD28" s="183">
        <v>337</v>
      </c>
      <c r="AE28" s="183">
        <v>337</v>
      </c>
      <c r="AF28" s="183">
        <v>337</v>
      </c>
      <c r="AG28" s="205"/>
      <c r="AH28" s="183">
        <v>293</v>
      </c>
    </row>
    <row r="29" spans="1:34">
      <c r="A29" s="189" t="s">
        <v>154</v>
      </c>
      <c r="B29" s="183">
        <v>88</v>
      </c>
      <c r="C29" s="183">
        <v>88</v>
      </c>
      <c r="D29" s="183">
        <v>88</v>
      </c>
      <c r="E29" s="183">
        <v>88</v>
      </c>
      <c r="F29" s="183">
        <v>88</v>
      </c>
      <c r="G29" s="183">
        <v>88</v>
      </c>
      <c r="H29" s="183">
        <v>91</v>
      </c>
      <c r="I29" s="183">
        <v>91</v>
      </c>
      <c r="J29" s="183">
        <v>91</v>
      </c>
      <c r="K29" s="183">
        <v>91</v>
      </c>
      <c r="L29" s="183">
        <v>91</v>
      </c>
      <c r="M29" s="183">
        <v>91</v>
      </c>
      <c r="N29" s="236">
        <v>91</v>
      </c>
      <c r="O29" s="183">
        <v>92</v>
      </c>
      <c r="P29" s="183">
        <v>92</v>
      </c>
      <c r="Q29" s="183">
        <v>92</v>
      </c>
      <c r="R29" s="183">
        <v>92</v>
      </c>
      <c r="S29" s="183">
        <v>92</v>
      </c>
      <c r="T29" s="183">
        <v>92</v>
      </c>
      <c r="U29" s="183">
        <v>92</v>
      </c>
      <c r="V29" s="183">
        <v>94</v>
      </c>
      <c r="W29" s="183">
        <v>94</v>
      </c>
      <c r="X29" s="183">
        <v>94</v>
      </c>
      <c r="Y29" s="183">
        <v>94</v>
      </c>
      <c r="Z29" s="183">
        <v>94</v>
      </c>
      <c r="AA29" s="183">
        <v>94</v>
      </c>
      <c r="AB29" s="183">
        <v>94</v>
      </c>
      <c r="AC29" s="183">
        <v>102</v>
      </c>
      <c r="AD29" s="183">
        <v>102</v>
      </c>
      <c r="AE29" s="183">
        <v>102</v>
      </c>
      <c r="AF29" s="183">
        <v>102</v>
      </c>
      <c r="AG29" s="205"/>
      <c r="AH29" s="183">
        <v>88</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207"/>
      <c r="AH30" s="162"/>
    </row>
    <row r="31" spans="1:34" ht="21.95" customHeight="1">
      <c r="A31" s="87" t="s">
        <v>74</v>
      </c>
      <c r="B31" s="215" t="s">
        <v>157</v>
      </c>
      <c r="C31" s="215" t="s">
        <v>157</v>
      </c>
      <c r="D31" s="215" t="s">
        <v>157</v>
      </c>
      <c r="E31" s="215" t="s">
        <v>157</v>
      </c>
      <c r="F31" s="215" t="s">
        <v>157</v>
      </c>
      <c r="G31" s="215" t="s">
        <v>157</v>
      </c>
      <c r="H31" s="215" t="s">
        <v>157</v>
      </c>
      <c r="I31" s="215" t="s">
        <v>157</v>
      </c>
      <c r="J31" s="215" t="s">
        <v>157</v>
      </c>
      <c r="K31" s="215" t="s">
        <v>157</v>
      </c>
      <c r="L31" s="215" t="s">
        <v>157</v>
      </c>
      <c r="M31" s="215" t="s">
        <v>157</v>
      </c>
      <c r="N31" s="215" t="s">
        <v>157</v>
      </c>
      <c r="O31" s="215" t="s">
        <v>157</v>
      </c>
      <c r="P31" s="215" t="s">
        <v>157</v>
      </c>
      <c r="Q31" s="215" t="s">
        <v>157</v>
      </c>
      <c r="R31" s="215" t="s">
        <v>157</v>
      </c>
      <c r="S31" s="215" t="s">
        <v>157</v>
      </c>
      <c r="T31" s="215" t="s">
        <v>157</v>
      </c>
      <c r="U31" s="215" t="s">
        <v>157</v>
      </c>
      <c r="V31" s="215" t="s">
        <v>157</v>
      </c>
      <c r="W31" s="215" t="s">
        <v>157</v>
      </c>
      <c r="X31" s="215" t="s">
        <v>157</v>
      </c>
      <c r="Y31" s="215" t="s">
        <v>157</v>
      </c>
      <c r="Z31" s="215" t="s">
        <v>157</v>
      </c>
      <c r="AA31" s="215" t="s">
        <v>157</v>
      </c>
      <c r="AB31" s="215" t="s">
        <v>157</v>
      </c>
      <c r="AC31" s="215" t="s">
        <v>157</v>
      </c>
      <c r="AD31" s="215" t="s">
        <v>157</v>
      </c>
      <c r="AE31" s="215" t="s">
        <v>157</v>
      </c>
      <c r="AF31" s="215" t="s">
        <v>157</v>
      </c>
      <c r="AG31" s="192"/>
      <c r="AH31" s="215" t="s">
        <v>157</v>
      </c>
    </row>
    <row r="32" spans="1:34" ht="25.5">
      <c r="A32" s="127" t="s">
        <v>77</v>
      </c>
      <c r="B32" s="190" t="s">
        <v>158</v>
      </c>
      <c r="C32" s="190" t="s">
        <v>158</v>
      </c>
      <c r="D32" s="190" t="s">
        <v>158</v>
      </c>
      <c r="E32" s="190" t="s">
        <v>158</v>
      </c>
      <c r="F32" s="190" t="s">
        <v>158</v>
      </c>
      <c r="G32" s="190" t="s">
        <v>158</v>
      </c>
      <c r="H32" s="190" t="s">
        <v>158</v>
      </c>
      <c r="I32" s="190" t="s">
        <v>158</v>
      </c>
      <c r="J32" s="190" t="s">
        <v>158</v>
      </c>
      <c r="K32" s="190" t="s">
        <v>158</v>
      </c>
      <c r="L32" s="190" t="s">
        <v>158</v>
      </c>
      <c r="M32" s="190" t="s">
        <v>158</v>
      </c>
      <c r="N32" s="190" t="s">
        <v>158</v>
      </c>
      <c r="O32" s="190" t="s">
        <v>158</v>
      </c>
      <c r="P32" s="190" t="s">
        <v>158</v>
      </c>
      <c r="Q32" s="190" t="s">
        <v>158</v>
      </c>
      <c r="R32" s="190" t="s">
        <v>158</v>
      </c>
      <c r="S32" s="190" t="s">
        <v>158</v>
      </c>
      <c r="T32" s="190" t="s">
        <v>158</v>
      </c>
      <c r="U32" s="190" t="s">
        <v>158</v>
      </c>
      <c r="V32" s="190" t="s">
        <v>158</v>
      </c>
      <c r="W32" s="190" t="s">
        <v>158</v>
      </c>
      <c r="X32" s="190" t="s">
        <v>158</v>
      </c>
      <c r="Y32" s="190" t="s">
        <v>158</v>
      </c>
      <c r="Z32" s="190" t="s">
        <v>158</v>
      </c>
      <c r="AA32" s="190" t="s">
        <v>158</v>
      </c>
      <c r="AB32" s="190" t="s">
        <v>158</v>
      </c>
      <c r="AC32" s="190" t="s">
        <v>158</v>
      </c>
      <c r="AD32" s="190" t="s">
        <v>158</v>
      </c>
      <c r="AE32" s="190" t="s">
        <v>158</v>
      </c>
      <c r="AF32" s="190" t="s">
        <v>158</v>
      </c>
      <c r="AG32" s="209"/>
      <c r="AH32" s="190" t="s">
        <v>158</v>
      </c>
    </row>
    <row r="33" spans="1:34" ht="25.5">
      <c r="A33" s="87" t="s">
        <v>80</v>
      </c>
      <c r="B33" s="187">
        <v>46786</v>
      </c>
      <c r="C33" s="187">
        <v>46786</v>
      </c>
      <c r="D33" s="187">
        <v>46788</v>
      </c>
      <c r="E33" s="187">
        <v>46789</v>
      </c>
      <c r="F33" s="187">
        <v>46790</v>
      </c>
      <c r="G33" s="187">
        <v>46793</v>
      </c>
      <c r="H33" s="187">
        <v>46795</v>
      </c>
      <c r="I33" s="187">
        <v>46794</v>
      </c>
      <c r="J33" s="187">
        <v>46793</v>
      </c>
      <c r="K33" s="187">
        <v>46792</v>
      </c>
      <c r="L33" s="187">
        <v>46794</v>
      </c>
      <c r="M33" s="187">
        <v>46794</v>
      </c>
      <c r="N33" s="187">
        <v>46794</v>
      </c>
      <c r="O33" s="187">
        <v>46794</v>
      </c>
      <c r="P33" s="187">
        <v>46795</v>
      </c>
      <c r="Q33" s="187">
        <v>46796</v>
      </c>
      <c r="R33" s="187">
        <v>46794</v>
      </c>
      <c r="S33" s="187">
        <v>46794</v>
      </c>
      <c r="T33" s="187">
        <v>46794</v>
      </c>
      <c r="U33" s="187">
        <v>46792</v>
      </c>
      <c r="V33" s="187">
        <v>46786</v>
      </c>
      <c r="W33" s="187">
        <v>46786</v>
      </c>
      <c r="X33" s="187">
        <v>46786</v>
      </c>
      <c r="Y33" s="187">
        <v>46782</v>
      </c>
      <c r="Z33" s="187">
        <v>46778</v>
      </c>
      <c r="AA33" s="187">
        <v>46778</v>
      </c>
      <c r="AB33" s="187">
        <v>46778</v>
      </c>
      <c r="AC33" s="187">
        <v>46778</v>
      </c>
      <c r="AD33" s="187">
        <v>46778</v>
      </c>
      <c r="AE33" s="187">
        <v>46778</v>
      </c>
      <c r="AF33" s="187">
        <v>46778</v>
      </c>
      <c r="AG33" s="206"/>
      <c r="AH33" s="187">
        <v>46787</v>
      </c>
    </row>
    <row r="34" spans="1:34" ht="15.75" thickBot="1">
      <c r="A34" s="139" t="s">
        <v>81</v>
      </c>
      <c r="B34" s="187">
        <v>2840</v>
      </c>
      <c r="C34" s="187">
        <v>2840</v>
      </c>
      <c r="D34" s="187">
        <v>2840</v>
      </c>
      <c r="E34" s="187">
        <v>2840</v>
      </c>
      <c r="F34" s="187">
        <v>2840</v>
      </c>
      <c r="G34" s="187">
        <v>2840</v>
      </c>
      <c r="H34" s="187">
        <v>2840</v>
      </c>
      <c r="I34" s="187">
        <v>2840</v>
      </c>
      <c r="J34" s="187">
        <v>2840</v>
      </c>
      <c r="K34" s="187">
        <v>2840</v>
      </c>
      <c r="L34" s="187">
        <v>2840</v>
      </c>
      <c r="M34" s="187">
        <v>2840</v>
      </c>
      <c r="N34" s="187">
        <v>2840</v>
      </c>
      <c r="O34" s="187">
        <v>2840</v>
      </c>
      <c r="P34" s="187">
        <v>2820</v>
      </c>
      <c r="Q34" s="187">
        <v>2820</v>
      </c>
      <c r="R34" s="187">
        <v>2820</v>
      </c>
      <c r="S34" s="187">
        <v>2820</v>
      </c>
      <c r="T34" s="187">
        <v>2820</v>
      </c>
      <c r="U34" s="187">
        <v>2820</v>
      </c>
      <c r="V34" s="187">
        <v>2820</v>
      </c>
      <c r="W34" s="187">
        <v>2820</v>
      </c>
      <c r="X34" s="187">
        <v>2820</v>
      </c>
      <c r="Y34" s="187">
        <v>2820</v>
      </c>
      <c r="Z34" s="187">
        <v>2820</v>
      </c>
      <c r="AA34" s="187">
        <v>2820</v>
      </c>
      <c r="AB34" s="187">
        <v>2820</v>
      </c>
      <c r="AC34" s="187">
        <v>2820</v>
      </c>
      <c r="AD34" s="187">
        <v>2820</v>
      </c>
      <c r="AE34" s="187">
        <v>2820</v>
      </c>
      <c r="AF34" s="187">
        <v>2820</v>
      </c>
      <c r="AG34" s="206"/>
      <c r="AH34" s="187">
        <v>2840</v>
      </c>
    </row>
    <row r="35" spans="1:34">
      <c r="AG35" s="211"/>
    </row>
    <row r="36" spans="1:34">
      <c r="AG36" s="211"/>
    </row>
  </sheetData>
  <mergeCells count="1">
    <mergeCell ref="A1:A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790FE-B448-4B82-8E79-3DC374DF4BE6}">
  <dimension ref="A1:AL36"/>
  <sheetViews>
    <sheetView topLeftCell="J16" workbookViewId="0">
      <selection activeCell="AF23" sqref="AF23"/>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1" width="8.7109375" style="20"/>
    <col min="32" max="32" width="8.7109375" style="144"/>
    <col min="33" max="33" width="8.7109375" style="20"/>
    <col min="34" max="34" width="11" customWidth="1"/>
    <col min="35" max="35" width="11.42578125" customWidth="1"/>
  </cols>
  <sheetData>
    <row r="1" spans="1:38"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row>
    <row r="2" spans="1:38" ht="15.75">
      <c r="A2" s="82"/>
      <c r="B2" s="83">
        <v>44440</v>
      </c>
      <c r="C2" s="83">
        <v>44441</v>
      </c>
      <c r="D2" s="83">
        <v>44442</v>
      </c>
      <c r="E2" s="83">
        <v>44443</v>
      </c>
      <c r="F2" s="83">
        <v>44444</v>
      </c>
      <c r="G2" s="83">
        <v>44445</v>
      </c>
      <c r="H2" s="83">
        <v>44446</v>
      </c>
      <c r="I2" s="83">
        <v>44447</v>
      </c>
      <c r="J2" s="83">
        <v>44448</v>
      </c>
      <c r="K2" s="83">
        <v>44449</v>
      </c>
      <c r="L2" s="83">
        <v>44450</v>
      </c>
      <c r="M2" s="83">
        <v>44451</v>
      </c>
      <c r="N2" s="83">
        <v>44452</v>
      </c>
      <c r="O2" s="83">
        <v>44453</v>
      </c>
      <c r="P2" s="83">
        <v>44454</v>
      </c>
      <c r="Q2" s="83">
        <v>44455</v>
      </c>
      <c r="R2" s="83">
        <v>44456</v>
      </c>
      <c r="S2" s="83">
        <v>44457</v>
      </c>
      <c r="T2" s="83">
        <v>44458</v>
      </c>
      <c r="U2" s="83">
        <v>44459</v>
      </c>
      <c r="V2" s="83">
        <v>44460</v>
      </c>
      <c r="W2" s="83">
        <v>44461</v>
      </c>
      <c r="X2" s="83">
        <v>44462</v>
      </c>
      <c r="Y2" s="83">
        <v>44463</v>
      </c>
      <c r="Z2" s="83">
        <v>44464</v>
      </c>
      <c r="AA2" s="83">
        <v>44465</v>
      </c>
      <c r="AB2" s="83">
        <v>44466</v>
      </c>
      <c r="AC2" s="83">
        <v>44467</v>
      </c>
      <c r="AD2" s="83">
        <v>44468</v>
      </c>
      <c r="AE2" s="83">
        <v>44469</v>
      </c>
      <c r="AF2" s="83"/>
      <c r="AG2" s="83">
        <v>44439</v>
      </c>
    </row>
    <row r="3" spans="1:38"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193"/>
      <c r="AG3" s="91" t="s">
        <v>53</v>
      </c>
    </row>
    <row r="4" spans="1:38" ht="20.100000000000001" customHeight="1">
      <c r="A4" s="94" t="s">
        <v>54</v>
      </c>
      <c r="B4" s="212">
        <v>177511</v>
      </c>
      <c r="C4" s="212">
        <v>177742</v>
      </c>
      <c r="D4" s="212">
        <v>177971</v>
      </c>
      <c r="E4" s="212">
        <v>178193</v>
      </c>
      <c r="F4" s="212">
        <v>178427</v>
      </c>
      <c r="G4" s="212">
        <v>178660</v>
      </c>
      <c r="H4" s="212">
        <v>178890</v>
      </c>
      <c r="I4" s="212">
        <v>179116</v>
      </c>
      <c r="J4" s="212">
        <v>179348</v>
      </c>
      <c r="K4" s="212">
        <v>179572</v>
      </c>
      <c r="L4" s="212">
        <v>179785</v>
      </c>
      <c r="M4" s="212">
        <v>180018</v>
      </c>
      <c r="N4" s="212">
        <v>180246</v>
      </c>
      <c r="O4" s="212">
        <v>180479</v>
      </c>
      <c r="P4" s="212">
        <v>180706</v>
      </c>
      <c r="Q4" s="212">
        <v>180937</v>
      </c>
      <c r="R4" s="212">
        <v>181161</v>
      </c>
      <c r="S4" s="212">
        <v>181375</v>
      </c>
      <c r="T4" s="212">
        <v>181597</v>
      </c>
      <c r="U4" s="212">
        <v>181825</v>
      </c>
      <c r="V4" s="212">
        <v>182052</v>
      </c>
      <c r="W4" s="212">
        <v>182277</v>
      </c>
      <c r="X4" s="212">
        <v>182501</v>
      </c>
      <c r="Y4" s="212">
        <v>182724</v>
      </c>
      <c r="Z4" s="212">
        <v>182923</v>
      </c>
      <c r="AA4" s="212">
        <v>183150</v>
      </c>
      <c r="AB4" s="212">
        <v>183376</v>
      </c>
      <c r="AC4" s="212">
        <v>183601</v>
      </c>
      <c r="AD4" s="212">
        <v>183826</v>
      </c>
      <c r="AE4" s="212">
        <v>184042</v>
      </c>
      <c r="AF4" s="195"/>
      <c r="AG4" s="212">
        <v>177277</v>
      </c>
      <c r="AH4" s="101"/>
      <c r="AI4" s="101"/>
      <c r="AL4" s="102"/>
    </row>
    <row r="5" spans="1:38" ht="20.100000000000001" customHeight="1">
      <c r="A5" s="94" t="s">
        <v>55</v>
      </c>
      <c r="B5" s="212">
        <v>4064011</v>
      </c>
      <c r="C5" s="212">
        <v>4071949</v>
      </c>
      <c r="D5" s="212">
        <v>4079531</v>
      </c>
      <c r="E5" s="212">
        <v>4086611</v>
      </c>
      <c r="F5" s="212">
        <v>4094124</v>
      </c>
      <c r="G5" s="212">
        <v>4102157</v>
      </c>
      <c r="H5" s="212">
        <v>4109956</v>
      </c>
      <c r="I5" s="212">
        <v>4117809</v>
      </c>
      <c r="J5" s="212">
        <v>4125777</v>
      </c>
      <c r="K5" s="212">
        <v>4133291</v>
      </c>
      <c r="L5" s="212">
        <v>4140219</v>
      </c>
      <c r="M5" s="212">
        <v>4147925</v>
      </c>
      <c r="N5" s="212">
        <v>4155731</v>
      </c>
      <c r="O5" s="212">
        <v>4163648</v>
      </c>
      <c r="P5" s="212">
        <v>4171262</v>
      </c>
      <c r="Q5" s="212">
        <v>4179066</v>
      </c>
      <c r="R5" s="212">
        <v>4186372</v>
      </c>
      <c r="S5" s="212">
        <v>4192992</v>
      </c>
      <c r="T5" s="212">
        <v>4200119</v>
      </c>
      <c r="U5" s="212">
        <v>4207838</v>
      </c>
      <c r="V5" s="212">
        <v>4215537</v>
      </c>
      <c r="W5" s="212">
        <v>4223047</v>
      </c>
      <c r="X5" s="212">
        <v>4230784</v>
      </c>
      <c r="Y5" s="212">
        <v>4238582</v>
      </c>
      <c r="Z5" s="212">
        <v>4245600</v>
      </c>
      <c r="AA5" s="212">
        <v>4253361</v>
      </c>
      <c r="AB5" s="212">
        <v>4261298</v>
      </c>
      <c r="AC5" s="212">
        <v>4269157</v>
      </c>
      <c r="AD5" s="212">
        <v>4277213</v>
      </c>
      <c r="AE5" s="212">
        <v>4284843</v>
      </c>
      <c r="AF5" s="195"/>
      <c r="AG5" s="212">
        <v>4055977</v>
      </c>
      <c r="AH5" s="101"/>
      <c r="AI5" s="101"/>
      <c r="AL5" s="102"/>
    </row>
    <row r="6" spans="1:38" ht="20.100000000000001" customHeight="1">
      <c r="A6" s="94" t="s">
        <v>56</v>
      </c>
      <c r="B6" s="212">
        <v>2043293</v>
      </c>
      <c r="C6" s="212">
        <v>2046625</v>
      </c>
      <c r="D6" s="212">
        <v>2049858</v>
      </c>
      <c r="E6" s="212">
        <v>2052891</v>
      </c>
      <c r="F6" s="212">
        <v>2056066</v>
      </c>
      <c r="G6" s="212">
        <v>2059478</v>
      </c>
      <c r="H6" s="212">
        <v>2062820</v>
      </c>
      <c r="I6" s="212">
        <v>2066135</v>
      </c>
      <c r="J6" s="212">
        <v>2069497</v>
      </c>
      <c r="K6" s="212">
        <v>2072638</v>
      </c>
      <c r="L6" s="212">
        <v>2075507</v>
      </c>
      <c r="M6" s="212">
        <v>2078802</v>
      </c>
      <c r="N6" s="212">
        <v>2082124</v>
      </c>
      <c r="O6" s="212">
        <v>2085552</v>
      </c>
      <c r="P6" s="212">
        <v>2088737</v>
      </c>
      <c r="Q6" s="212">
        <v>2092019</v>
      </c>
      <c r="R6" s="212">
        <v>2095218</v>
      </c>
      <c r="S6" s="212">
        <v>2098146</v>
      </c>
      <c r="T6" s="212">
        <v>2101327</v>
      </c>
      <c r="U6" s="212">
        <v>2104585</v>
      </c>
      <c r="V6" s="212">
        <v>2107863</v>
      </c>
      <c r="W6" s="212">
        <v>2111095</v>
      </c>
      <c r="X6" s="212">
        <v>2114329</v>
      </c>
      <c r="Y6" s="212">
        <v>2117422</v>
      </c>
      <c r="Z6" s="212">
        <v>2120146</v>
      </c>
      <c r="AA6" s="212">
        <v>2123341</v>
      </c>
      <c r="AB6" s="212">
        <v>2126583</v>
      </c>
      <c r="AC6" s="212">
        <v>2129776</v>
      </c>
      <c r="AD6" s="212">
        <v>2132955</v>
      </c>
      <c r="AE6" s="212">
        <v>2135976</v>
      </c>
      <c r="AF6" s="195"/>
      <c r="AG6" s="212">
        <v>2039878</v>
      </c>
      <c r="AH6" s="101"/>
      <c r="AI6" s="101"/>
      <c r="AL6" s="102"/>
    </row>
    <row r="7" spans="1:38" ht="20.100000000000001" customHeight="1">
      <c r="A7" s="94" t="s">
        <v>57</v>
      </c>
      <c r="B7" s="212">
        <v>5907330</v>
      </c>
      <c r="C7" s="212">
        <v>5924011</v>
      </c>
      <c r="D7" s="212">
        <v>5940346</v>
      </c>
      <c r="E7" s="212">
        <v>5954654</v>
      </c>
      <c r="F7" s="212">
        <v>5971305</v>
      </c>
      <c r="G7" s="212">
        <v>5988834</v>
      </c>
      <c r="H7" s="212">
        <v>5995472</v>
      </c>
      <c r="I7" s="212">
        <v>6003291</v>
      </c>
      <c r="J7" s="212">
        <v>6011683</v>
      </c>
      <c r="K7" s="212">
        <v>6018659</v>
      </c>
      <c r="L7" s="212">
        <v>6025447</v>
      </c>
      <c r="M7" s="212">
        <v>6033911</v>
      </c>
      <c r="N7" s="212">
        <v>6042416</v>
      </c>
      <c r="O7" s="212">
        <v>6049608</v>
      </c>
      <c r="P7" s="212">
        <v>6056996</v>
      </c>
      <c r="Q7" s="212">
        <v>6064849</v>
      </c>
      <c r="R7" s="212">
        <v>6071857</v>
      </c>
      <c r="S7" s="212">
        <v>6077801</v>
      </c>
      <c r="T7" s="212">
        <v>6084448</v>
      </c>
      <c r="U7" s="212">
        <v>6098785</v>
      </c>
      <c r="V7" s="212">
        <v>6113198</v>
      </c>
      <c r="W7" s="212">
        <v>6125492</v>
      </c>
      <c r="X7" s="212">
        <v>6132170</v>
      </c>
      <c r="Y7" s="212">
        <v>6138931</v>
      </c>
      <c r="Z7" s="212">
        <v>6145286</v>
      </c>
      <c r="AA7" s="212">
        <v>6152653</v>
      </c>
      <c r="AB7" s="212">
        <v>6164194</v>
      </c>
      <c r="AC7" s="212">
        <v>6177439</v>
      </c>
      <c r="AD7" s="212">
        <v>6190817</v>
      </c>
      <c r="AE7" s="212">
        <v>6203898</v>
      </c>
      <c r="AF7" s="195"/>
      <c r="AG7" s="212">
        <v>5889959</v>
      </c>
      <c r="AH7" s="101"/>
      <c r="AI7" s="101"/>
      <c r="AL7" s="102"/>
    </row>
    <row r="8" spans="1:38" ht="20.100000000000001" customHeight="1">
      <c r="A8" s="94" t="s">
        <v>58</v>
      </c>
      <c r="B8" s="212">
        <v>1942993</v>
      </c>
      <c r="C8" s="212">
        <v>1942993</v>
      </c>
      <c r="D8" s="212">
        <v>1942993</v>
      </c>
      <c r="E8" s="212">
        <v>1942993</v>
      </c>
      <c r="F8" s="212">
        <v>1942993</v>
      </c>
      <c r="G8" s="212">
        <v>1942993</v>
      </c>
      <c r="H8" s="212">
        <v>1945595</v>
      </c>
      <c r="I8" s="212">
        <v>1947986</v>
      </c>
      <c r="J8" s="212">
        <v>1950542</v>
      </c>
      <c r="K8" s="212">
        <v>1952762</v>
      </c>
      <c r="L8" s="212">
        <v>1954915</v>
      </c>
      <c r="M8" s="212">
        <v>1957527</v>
      </c>
      <c r="N8" s="212">
        <v>1959915</v>
      </c>
      <c r="O8" s="212">
        <v>1962124</v>
      </c>
      <c r="P8" s="212">
        <v>1964269</v>
      </c>
      <c r="Q8" s="212">
        <v>1966663</v>
      </c>
      <c r="R8" s="212">
        <v>1968834</v>
      </c>
      <c r="S8" s="212">
        <v>1971005</v>
      </c>
      <c r="T8" s="212">
        <v>1973480</v>
      </c>
      <c r="U8" s="212">
        <v>1973480</v>
      </c>
      <c r="V8" s="212">
        <v>1973480</v>
      </c>
      <c r="W8" s="212">
        <v>1973739</v>
      </c>
      <c r="X8" s="212">
        <v>1975846</v>
      </c>
      <c r="Y8" s="212">
        <v>1977977</v>
      </c>
      <c r="Z8" s="212">
        <v>1979993</v>
      </c>
      <c r="AA8" s="212">
        <v>1982281</v>
      </c>
      <c r="AB8" s="212">
        <v>1982715</v>
      </c>
      <c r="AC8" s="212">
        <v>1982715</v>
      </c>
      <c r="AD8" s="212">
        <v>1982715</v>
      </c>
      <c r="AE8" s="212">
        <v>1982715</v>
      </c>
      <c r="AF8" s="195"/>
      <c r="AG8" s="212">
        <v>1942993</v>
      </c>
      <c r="AH8" s="101"/>
      <c r="AI8" s="101"/>
      <c r="AL8" s="102"/>
    </row>
    <row r="9" spans="1:38" ht="20.100000000000001" customHeight="1">
      <c r="A9" s="94" t="s">
        <v>59</v>
      </c>
      <c r="B9" s="214">
        <v>12393420</v>
      </c>
      <c r="C9" s="214">
        <v>12407823</v>
      </c>
      <c r="D9" s="214">
        <v>12422269</v>
      </c>
      <c r="E9" s="214">
        <v>12436670</v>
      </c>
      <c r="F9" s="214">
        <v>12451299</v>
      </c>
      <c r="G9" s="214">
        <v>12466269</v>
      </c>
      <c r="H9" s="214">
        <v>12480485</v>
      </c>
      <c r="I9" s="214">
        <v>12494853</v>
      </c>
      <c r="J9" s="214">
        <v>12509414</v>
      </c>
      <c r="K9" s="214">
        <v>12523397</v>
      </c>
      <c r="L9" s="214">
        <v>12537304</v>
      </c>
      <c r="M9" s="214">
        <v>12551676</v>
      </c>
      <c r="N9" s="214">
        <v>12566036</v>
      </c>
      <c r="O9" s="214">
        <v>12580019</v>
      </c>
      <c r="P9" s="214">
        <v>12593823</v>
      </c>
      <c r="Q9" s="214">
        <v>12607653</v>
      </c>
      <c r="R9" s="214">
        <v>12621305</v>
      </c>
      <c r="S9" s="214">
        <v>12634115</v>
      </c>
      <c r="T9" s="214">
        <v>12647594</v>
      </c>
      <c r="U9" s="214">
        <v>12661233</v>
      </c>
      <c r="V9" s="214">
        <v>12674788</v>
      </c>
      <c r="W9" s="214">
        <v>12687711</v>
      </c>
      <c r="X9" s="214">
        <v>12700763</v>
      </c>
      <c r="Y9" s="214">
        <v>12714246</v>
      </c>
      <c r="Z9" s="214">
        <v>12727078</v>
      </c>
      <c r="AA9" s="214">
        <v>12741521</v>
      </c>
      <c r="AB9" s="214">
        <v>12754750</v>
      </c>
      <c r="AC9" s="214">
        <v>12768350</v>
      </c>
      <c r="AD9" s="214">
        <v>12782149</v>
      </c>
      <c r="AE9" s="214">
        <v>12796018</v>
      </c>
      <c r="AF9" s="197"/>
      <c r="AG9" s="214">
        <v>12379401</v>
      </c>
      <c r="AH9" s="101"/>
      <c r="AI9" s="101"/>
      <c r="AL9" s="102"/>
    </row>
    <row r="10" spans="1:38" ht="20.100000000000001" customHeight="1">
      <c r="A10" s="94" t="s">
        <v>60</v>
      </c>
      <c r="B10" s="212">
        <v>3210388</v>
      </c>
      <c r="C10" s="212">
        <v>3216880</v>
      </c>
      <c r="D10" s="212">
        <v>3223210</v>
      </c>
      <c r="E10" s="212">
        <v>3229364</v>
      </c>
      <c r="F10" s="212">
        <v>3235707</v>
      </c>
      <c r="G10" s="212">
        <v>3242292</v>
      </c>
      <c r="H10" s="212">
        <v>3248632</v>
      </c>
      <c r="I10" s="212">
        <v>3254950</v>
      </c>
      <c r="J10" s="212">
        <v>3261315</v>
      </c>
      <c r="K10" s="212">
        <v>3267489</v>
      </c>
      <c r="L10" s="212">
        <v>3273426</v>
      </c>
      <c r="M10" s="212">
        <v>3279652</v>
      </c>
      <c r="N10" s="212">
        <v>3286026</v>
      </c>
      <c r="O10" s="212">
        <v>3292474</v>
      </c>
      <c r="P10" s="212">
        <v>3298621</v>
      </c>
      <c r="Q10" s="212">
        <v>3305013</v>
      </c>
      <c r="R10" s="212">
        <v>3311141</v>
      </c>
      <c r="S10" s="212">
        <v>3316894</v>
      </c>
      <c r="T10" s="212">
        <v>3322944</v>
      </c>
      <c r="U10" s="212">
        <v>3329234</v>
      </c>
      <c r="V10" s="212">
        <v>3335538</v>
      </c>
      <c r="W10" s="212">
        <v>3341822</v>
      </c>
      <c r="X10" s="212">
        <v>3348164</v>
      </c>
      <c r="Y10" s="212">
        <v>3354436</v>
      </c>
      <c r="Z10" s="212">
        <v>3360074</v>
      </c>
      <c r="AA10" s="212">
        <v>3366272</v>
      </c>
      <c r="AB10" s="212">
        <v>3372592</v>
      </c>
      <c r="AC10" s="212">
        <v>3378963</v>
      </c>
      <c r="AD10" s="212">
        <v>3385295</v>
      </c>
      <c r="AE10" s="212">
        <v>3391414</v>
      </c>
      <c r="AF10" s="195"/>
      <c r="AG10" s="212">
        <v>3203905</v>
      </c>
      <c r="AH10" s="101"/>
      <c r="AI10" s="101"/>
      <c r="AL10" s="102"/>
    </row>
    <row r="11" spans="1:38" ht="22.5" customHeight="1">
      <c r="A11" s="94" t="s">
        <v>61</v>
      </c>
      <c r="B11" s="212">
        <v>140572</v>
      </c>
      <c r="C11" s="212">
        <v>140751</v>
      </c>
      <c r="D11" s="212">
        <v>140929</v>
      </c>
      <c r="E11" s="212">
        <v>141092</v>
      </c>
      <c r="F11" s="212">
        <v>141277</v>
      </c>
      <c r="G11" s="212">
        <v>141461</v>
      </c>
      <c r="H11" s="212">
        <v>141639</v>
      </c>
      <c r="I11" s="212">
        <v>141815</v>
      </c>
      <c r="J11" s="212">
        <v>141998</v>
      </c>
      <c r="K11" s="212">
        <v>142172</v>
      </c>
      <c r="L11" s="212">
        <v>142324</v>
      </c>
      <c r="M11" s="212">
        <v>142500</v>
      </c>
      <c r="N11" s="212">
        <v>142679</v>
      </c>
      <c r="O11" s="212">
        <v>142861</v>
      </c>
      <c r="P11" s="212">
        <v>143036</v>
      </c>
      <c r="Q11" s="212">
        <v>143220</v>
      </c>
      <c r="R11" s="212">
        <v>143396</v>
      </c>
      <c r="S11" s="212">
        <v>143557</v>
      </c>
      <c r="T11" s="212">
        <v>143727</v>
      </c>
      <c r="U11" s="212">
        <v>143911</v>
      </c>
      <c r="V11" s="212">
        <v>144092</v>
      </c>
      <c r="W11" s="212">
        <v>144273</v>
      </c>
      <c r="X11" s="212">
        <v>144450</v>
      </c>
      <c r="Y11" s="212">
        <v>144631</v>
      </c>
      <c r="Z11" s="212">
        <v>144790</v>
      </c>
      <c r="AA11" s="212">
        <v>144976</v>
      </c>
      <c r="AB11" s="212">
        <v>145171</v>
      </c>
      <c r="AC11" s="212">
        <v>145362</v>
      </c>
      <c r="AD11" s="212">
        <v>145546</v>
      </c>
      <c r="AE11" s="212">
        <v>145725</v>
      </c>
      <c r="AF11" s="195"/>
      <c r="AG11" s="212">
        <v>140394</v>
      </c>
      <c r="AH11" s="101"/>
      <c r="AI11" s="101"/>
      <c r="AL11" s="102"/>
    </row>
    <row r="12" spans="1:38"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98"/>
      <c r="AG12" s="162"/>
    </row>
    <row r="13" spans="1:38" ht="25.5">
      <c r="A13" s="87"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92"/>
      <c r="AG13" s="181" t="s">
        <v>106</v>
      </c>
    </row>
    <row r="14" spans="1:38">
      <c r="A14" s="87" t="s">
        <v>66</v>
      </c>
      <c r="B14" s="182">
        <v>185477.84</v>
      </c>
      <c r="C14" s="182">
        <v>185477.84</v>
      </c>
      <c r="D14" s="182">
        <v>185477.84</v>
      </c>
      <c r="E14" s="186">
        <v>186387.1</v>
      </c>
      <c r="F14" s="186">
        <v>186387.1</v>
      </c>
      <c r="G14" s="186">
        <v>186387.1</v>
      </c>
      <c r="H14" s="186">
        <v>186387.1</v>
      </c>
      <c r="I14" s="186">
        <v>186387.1</v>
      </c>
      <c r="J14" s="186">
        <v>186387.1</v>
      </c>
      <c r="K14" s="186">
        <v>186387.1</v>
      </c>
      <c r="L14" s="182">
        <v>187777.92000000001</v>
      </c>
      <c r="M14" s="182">
        <v>187777.92000000001</v>
      </c>
      <c r="N14" s="182">
        <v>187777.92000000001</v>
      </c>
      <c r="O14" s="182">
        <v>187777.92000000001</v>
      </c>
      <c r="P14" s="182">
        <v>187777.92000000001</v>
      </c>
      <c r="Q14" s="182">
        <v>187777.92000000001</v>
      </c>
      <c r="R14" s="182">
        <v>187777.92000000001</v>
      </c>
      <c r="S14" s="182">
        <v>188895.07</v>
      </c>
      <c r="T14" s="182">
        <v>188895.07</v>
      </c>
      <c r="U14" s="182">
        <v>188895.07</v>
      </c>
      <c r="V14" s="182">
        <v>188895.07</v>
      </c>
      <c r="W14" s="182">
        <v>188895.07</v>
      </c>
      <c r="X14" s="182">
        <v>188895.07</v>
      </c>
      <c r="Y14" s="182">
        <v>188895.07</v>
      </c>
      <c r="Z14" s="182">
        <v>190262.55</v>
      </c>
      <c r="AA14" s="182">
        <v>190262.55</v>
      </c>
      <c r="AB14" s="182">
        <v>190262.55</v>
      </c>
      <c r="AC14" s="182">
        <v>190262.55</v>
      </c>
      <c r="AD14" s="182">
        <v>190262.55</v>
      </c>
      <c r="AE14" s="182">
        <v>190262.55</v>
      </c>
      <c r="AF14" s="200"/>
      <c r="AG14" s="182">
        <v>185477.84</v>
      </c>
    </row>
    <row r="15" spans="1:38" ht="25.5">
      <c r="A15" s="87" t="s">
        <v>67</v>
      </c>
      <c r="B15" s="183">
        <v>1130</v>
      </c>
      <c r="C15" s="183">
        <v>1130</v>
      </c>
      <c r="D15" s="183">
        <v>1130</v>
      </c>
      <c r="E15" s="183">
        <v>1130</v>
      </c>
      <c r="F15" s="183">
        <v>1130</v>
      </c>
      <c r="G15" s="183">
        <v>1130</v>
      </c>
      <c r="H15" s="183">
        <v>1130</v>
      </c>
      <c r="I15" s="183">
        <v>1130</v>
      </c>
      <c r="J15" s="183">
        <v>1130</v>
      </c>
      <c r="K15" s="183">
        <v>1131</v>
      </c>
      <c r="L15" s="183">
        <v>1131</v>
      </c>
      <c r="M15" s="183">
        <v>1131</v>
      </c>
      <c r="N15" s="183">
        <v>1131</v>
      </c>
      <c r="O15" s="183">
        <v>1131</v>
      </c>
      <c r="P15" s="183">
        <v>1131</v>
      </c>
      <c r="Q15" s="183">
        <v>1131</v>
      </c>
      <c r="R15" s="183">
        <v>1131</v>
      </c>
      <c r="S15" s="183">
        <v>1131</v>
      </c>
      <c r="T15" s="183">
        <v>1131</v>
      </c>
      <c r="U15" s="183">
        <v>1131</v>
      </c>
      <c r="V15" s="183">
        <v>1131</v>
      </c>
      <c r="W15" s="183">
        <v>1131</v>
      </c>
      <c r="X15" s="183">
        <v>1131</v>
      </c>
      <c r="Y15" s="183">
        <v>1131</v>
      </c>
      <c r="Z15" s="183">
        <v>1132</v>
      </c>
      <c r="AA15" s="183">
        <v>1132</v>
      </c>
      <c r="AB15" s="183">
        <v>1132</v>
      </c>
      <c r="AC15" s="183">
        <v>1132</v>
      </c>
      <c r="AD15" s="183">
        <v>1132</v>
      </c>
      <c r="AE15" s="183">
        <v>1132</v>
      </c>
      <c r="AF15" s="202"/>
      <c r="AG15" s="183">
        <v>1130</v>
      </c>
    </row>
    <row r="16" spans="1:38" ht="25.5">
      <c r="A16" s="87" t="s">
        <v>68</v>
      </c>
      <c r="B16" s="183">
        <v>4587</v>
      </c>
      <c r="C16" s="183">
        <v>4587</v>
      </c>
      <c r="D16" s="183">
        <v>4587</v>
      </c>
      <c r="E16" s="183">
        <v>4587</v>
      </c>
      <c r="F16" s="183">
        <v>4587</v>
      </c>
      <c r="G16" s="183">
        <v>4587</v>
      </c>
      <c r="H16" s="183">
        <v>4387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183">
        <v>4587</v>
      </c>
      <c r="AE16" s="183">
        <v>4587</v>
      </c>
      <c r="AF16" s="202"/>
      <c r="AG16" s="183">
        <v>4587</v>
      </c>
    </row>
    <row r="17" spans="1:33"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203"/>
      <c r="AG17" s="162"/>
    </row>
    <row r="18" spans="1:33" ht="16.5">
      <c r="A18" s="87"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92"/>
      <c r="AG18" s="181" t="s">
        <v>106</v>
      </c>
    </row>
    <row r="19" spans="1:33" ht="25.5">
      <c r="A19" s="127" t="s">
        <v>70</v>
      </c>
      <c r="B19" s="186">
        <v>52444.7</v>
      </c>
      <c r="C19" s="186">
        <v>52526.9</v>
      </c>
      <c r="D19" s="186">
        <v>52602.3</v>
      </c>
      <c r="E19" s="186">
        <v>52672.7</v>
      </c>
      <c r="F19" s="186">
        <v>52735.4</v>
      </c>
      <c r="G19" s="186">
        <v>52735.4</v>
      </c>
      <c r="H19" s="186">
        <v>52886.1</v>
      </c>
      <c r="I19" s="186">
        <v>52976.1</v>
      </c>
      <c r="J19" s="186">
        <v>53037.5</v>
      </c>
      <c r="K19" s="186">
        <v>53118.1</v>
      </c>
      <c r="L19" s="186">
        <v>53191.5</v>
      </c>
      <c r="M19" s="186">
        <v>53252.2</v>
      </c>
      <c r="N19" s="186">
        <v>53316.1</v>
      </c>
      <c r="O19" s="186">
        <v>53387.5</v>
      </c>
      <c r="P19" s="186">
        <v>53450.2</v>
      </c>
      <c r="Q19" s="186">
        <v>53533.9</v>
      </c>
      <c r="R19" s="186">
        <v>53602.1</v>
      </c>
      <c r="S19" s="186">
        <v>53649.7</v>
      </c>
      <c r="T19" s="186">
        <v>53703.3</v>
      </c>
      <c r="U19" s="186">
        <v>53774.5</v>
      </c>
      <c r="V19" s="186">
        <v>53845.1</v>
      </c>
      <c r="W19" s="186">
        <v>53919.199999999997</v>
      </c>
      <c r="X19" s="186">
        <v>53940.5</v>
      </c>
      <c r="Y19" s="186">
        <v>53991.4</v>
      </c>
      <c r="Z19" s="186">
        <v>54026.7</v>
      </c>
      <c r="AA19" s="186">
        <v>54074.1</v>
      </c>
      <c r="AB19" s="186">
        <v>54153.9</v>
      </c>
      <c r="AC19" s="186">
        <v>54218.9</v>
      </c>
      <c r="AD19" s="186">
        <v>54278.9</v>
      </c>
      <c r="AE19" s="186">
        <v>54315.1</v>
      </c>
      <c r="AF19" s="201"/>
      <c r="AG19" s="186">
        <v>52366.3</v>
      </c>
    </row>
    <row r="20" spans="1:33" ht="25.5">
      <c r="A20" s="87" t="s">
        <v>71</v>
      </c>
      <c r="B20" s="183">
        <v>1353171</v>
      </c>
      <c r="C20" s="183">
        <v>1353188</v>
      </c>
      <c r="D20" s="183">
        <v>1353187</v>
      </c>
      <c r="E20" s="183">
        <v>1353185</v>
      </c>
      <c r="F20" s="183">
        <v>1362347</v>
      </c>
      <c r="G20" s="183">
        <v>1362347</v>
      </c>
      <c r="H20" s="183">
        <v>1362249</v>
      </c>
      <c r="I20" s="183">
        <v>1380500</v>
      </c>
      <c r="J20" s="183">
        <v>1380499</v>
      </c>
      <c r="K20" s="183">
        <v>1392464</v>
      </c>
      <c r="L20" s="183">
        <v>1402404</v>
      </c>
      <c r="M20" s="183">
        <v>1453894</v>
      </c>
      <c r="N20" s="183">
        <v>1496737</v>
      </c>
      <c r="O20" s="183">
        <v>1510446</v>
      </c>
      <c r="P20" s="183">
        <v>1511243</v>
      </c>
      <c r="Q20" s="183">
        <v>1560633</v>
      </c>
      <c r="R20" s="183">
        <v>1673408</v>
      </c>
      <c r="S20" s="183">
        <v>1714734</v>
      </c>
      <c r="T20" s="183">
        <v>1778519</v>
      </c>
      <c r="U20" s="183">
        <v>1840787</v>
      </c>
      <c r="V20" s="183">
        <v>1900695</v>
      </c>
      <c r="W20" s="183">
        <v>1900720</v>
      </c>
      <c r="X20" s="183">
        <v>2019597</v>
      </c>
      <c r="Y20" s="183">
        <v>2078988</v>
      </c>
      <c r="Z20" s="183">
        <v>2141492</v>
      </c>
      <c r="AA20" s="183">
        <v>2201287</v>
      </c>
      <c r="AB20" s="183">
        <v>2262540</v>
      </c>
      <c r="AC20" s="183">
        <v>2323342</v>
      </c>
      <c r="AD20" s="183">
        <v>2385965</v>
      </c>
      <c r="AE20" s="183">
        <v>2443993</v>
      </c>
      <c r="AF20" s="206"/>
      <c r="AG20" s="183">
        <v>1353171</v>
      </c>
    </row>
    <row r="21" spans="1:33" ht="25.5">
      <c r="A21" s="87" t="s">
        <v>72</v>
      </c>
      <c r="B21" s="183">
        <v>52813</v>
      </c>
      <c r="C21" s="183">
        <v>52813</v>
      </c>
      <c r="D21" s="183">
        <v>52813</v>
      </c>
      <c r="E21" s="183">
        <v>54429</v>
      </c>
      <c r="F21" s="183">
        <v>54429</v>
      </c>
      <c r="G21" s="183">
        <v>54429</v>
      </c>
      <c r="H21" s="183">
        <v>54429</v>
      </c>
      <c r="I21" s="183">
        <v>54429</v>
      </c>
      <c r="J21" s="183">
        <v>54429</v>
      </c>
      <c r="K21" s="183">
        <v>54429</v>
      </c>
      <c r="L21" s="183">
        <v>54429</v>
      </c>
      <c r="M21" s="183">
        <v>54429</v>
      </c>
      <c r="N21" s="183">
        <v>54429</v>
      </c>
      <c r="O21" s="183">
        <v>54429</v>
      </c>
      <c r="P21" s="183">
        <v>54429</v>
      </c>
      <c r="Q21" s="183">
        <v>54429</v>
      </c>
      <c r="R21" s="183">
        <v>54429</v>
      </c>
      <c r="S21" s="183">
        <v>57519</v>
      </c>
      <c r="T21" s="183">
        <v>57519</v>
      </c>
      <c r="U21" s="183">
        <v>57519</v>
      </c>
      <c r="V21" s="183">
        <v>57519</v>
      </c>
      <c r="W21" s="183">
        <v>57519</v>
      </c>
      <c r="X21" s="183">
        <v>57519</v>
      </c>
      <c r="Y21" s="183">
        <v>57519</v>
      </c>
      <c r="Z21" s="183">
        <v>58877</v>
      </c>
      <c r="AA21" s="183">
        <v>58877</v>
      </c>
      <c r="AB21" s="183">
        <v>58877</v>
      </c>
      <c r="AC21" s="183">
        <v>58877</v>
      </c>
      <c r="AD21" s="183">
        <v>58877</v>
      </c>
      <c r="AE21" s="183">
        <v>58877</v>
      </c>
      <c r="AF21" s="201"/>
      <c r="AG21" s="183">
        <v>52813</v>
      </c>
    </row>
    <row r="22" spans="1:33" ht="25.5">
      <c r="A22" s="87" t="s">
        <v>73</v>
      </c>
      <c r="B22" s="183">
        <v>124827</v>
      </c>
      <c r="C22" s="183">
        <v>124995</v>
      </c>
      <c r="D22" s="183">
        <v>125232</v>
      </c>
      <c r="E22" s="183">
        <v>125329</v>
      </c>
      <c r="F22" s="183">
        <v>125463</v>
      </c>
      <c r="G22" s="183">
        <v>125463</v>
      </c>
      <c r="H22" s="183">
        <v>125786</v>
      </c>
      <c r="I22" s="183">
        <v>125934</v>
      </c>
      <c r="J22" s="183">
        <v>126106</v>
      </c>
      <c r="K22" s="183">
        <v>126262</v>
      </c>
      <c r="L22" s="183">
        <v>126392</v>
      </c>
      <c r="M22" s="183">
        <v>126536</v>
      </c>
      <c r="N22" s="183">
        <v>126689</v>
      </c>
      <c r="O22" s="183">
        <v>126829</v>
      </c>
      <c r="P22" s="183">
        <v>126970</v>
      </c>
      <c r="Q22" s="183">
        <v>127121</v>
      </c>
      <c r="R22" s="183">
        <v>127323</v>
      </c>
      <c r="S22" s="183">
        <v>127394</v>
      </c>
      <c r="T22" s="183">
        <v>127525</v>
      </c>
      <c r="U22" s="183">
        <v>127671</v>
      </c>
      <c r="V22" s="183">
        <v>127811</v>
      </c>
      <c r="W22" s="183">
        <v>127811</v>
      </c>
      <c r="X22" s="183">
        <v>128059</v>
      </c>
      <c r="Y22" s="183">
        <v>128178</v>
      </c>
      <c r="Z22" s="183">
        <v>128304</v>
      </c>
      <c r="AA22" s="183">
        <v>128424</v>
      </c>
      <c r="AB22" s="183">
        <v>128559</v>
      </c>
      <c r="AC22" s="183">
        <v>128683</v>
      </c>
      <c r="AD22" s="183">
        <v>128817</v>
      </c>
      <c r="AE22" s="183">
        <v>128947</v>
      </c>
      <c r="AF22" s="201">
        <f>AE22-AG22</f>
        <v>4278</v>
      </c>
      <c r="AG22" s="183">
        <v>124669</v>
      </c>
    </row>
    <row r="23" spans="1:33">
      <c r="A23" s="189" t="s">
        <v>136</v>
      </c>
      <c r="B23" s="183">
        <v>1492</v>
      </c>
      <c r="C23" s="183">
        <v>1492</v>
      </c>
      <c r="D23" s="183">
        <v>1492</v>
      </c>
      <c r="E23" s="183">
        <v>1539</v>
      </c>
      <c r="F23" s="183">
        <v>1539</v>
      </c>
      <c r="G23" s="183">
        <v>1539</v>
      </c>
      <c r="H23" s="183">
        <v>1539</v>
      </c>
      <c r="I23" s="183">
        <v>1539</v>
      </c>
      <c r="J23" s="183">
        <v>1539</v>
      </c>
      <c r="K23" s="183">
        <v>1539</v>
      </c>
      <c r="L23" s="183">
        <v>1646</v>
      </c>
      <c r="M23" s="183">
        <v>1646</v>
      </c>
      <c r="N23" s="183">
        <v>1646</v>
      </c>
      <c r="O23" s="183">
        <v>1646</v>
      </c>
      <c r="P23" s="183">
        <v>1646</v>
      </c>
      <c r="Q23" s="183">
        <v>1646</v>
      </c>
      <c r="R23" s="183">
        <v>1646</v>
      </c>
      <c r="S23" s="183">
        <v>1704</v>
      </c>
      <c r="T23" s="183">
        <v>1704</v>
      </c>
      <c r="U23" s="183">
        <v>1704</v>
      </c>
      <c r="V23" s="183">
        <v>1704</v>
      </c>
      <c r="W23" s="183">
        <v>1704</v>
      </c>
      <c r="X23" s="183">
        <v>1704</v>
      </c>
      <c r="Y23" s="183">
        <v>1704</v>
      </c>
      <c r="Z23" s="183">
        <v>1752</v>
      </c>
      <c r="AA23" s="183">
        <v>1752</v>
      </c>
      <c r="AB23" s="183">
        <v>1752</v>
      </c>
      <c r="AC23" s="183">
        <v>1752</v>
      </c>
      <c r="AD23" s="183">
        <v>1752</v>
      </c>
      <c r="AE23" s="183">
        <v>1752</v>
      </c>
      <c r="AF23" s="205"/>
      <c r="AG23" s="183">
        <v>1492</v>
      </c>
    </row>
    <row r="24" spans="1:33">
      <c r="A24" s="189" t="s">
        <v>139</v>
      </c>
      <c r="B24" s="183">
        <v>1500</v>
      </c>
      <c r="C24" s="183">
        <v>1500</v>
      </c>
      <c r="D24" s="183">
        <v>1500</v>
      </c>
      <c r="E24" s="183">
        <v>1573</v>
      </c>
      <c r="F24" s="183">
        <v>1573</v>
      </c>
      <c r="G24" s="183">
        <v>1573</v>
      </c>
      <c r="H24" s="183">
        <v>1573</v>
      </c>
      <c r="I24" s="183">
        <v>1573</v>
      </c>
      <c r="J24" s="183">
        <v>1573</v>
      </c>
      <c r="K24" s="183">
        <v>1573</v>
      </c>
      <c r="L24" s="183">
        <v>1635</v>
      </c>
      <c r="M24" s="183">
        <v>1635</v>
      </c>
      <c r="N24" s="183">
        <v>1635</v>
      </c>
      <c r="O24" s="183">
        <v>1635</v>
      </c>
      <c r="P24" s="183">
        <v>1635</v>
      </c>
      <c r="Q24" s="183">
        <v>1635</v>
      </c>
      <c r="R24" s="183">
        <v>1635</v>
      </c>
      <c r="S24" s="183">
        <v>1680</v>
      </c>
      <c r="T24" s="183">
        <v>1680</v>
      </c>
      <c r="U24" s="183">
        <v>1680</v>
      </c>
      <c r="V24" s="183">
        <v>1680</v>
      </c>
      <c r="W24" s="183">
        <v>1680</v>
      </c>
      <c r="X24" s="183">
        <v>1680</v>
      </c>
      <c r="Y24" s="183">
        <v>1680</v>
      </c>
      <c r="Z24" s="183">
        <v>1736</v>
      </c>
      <c r="AA24" s="183">
        <v>1736</v>
      </c>
      <c r="AB24" s="183">
        <v>1736</v>
      </c>
      <c r="AC24" s="183">
        <v>1736</v>
      </c>
      <c r="AD24" s="183">
        <v>1736</v>
      </c>
      <c r="AE24" s="183">
        <v>1736</v>
      </c>
      <c r="AF24" s="205"/>
      <c r="AG24" s="183">
        <v>1500</v>
      </c>
    </row>
    <row r="25" spans="1:33">
      <c r="A25" s="189" t="s">
        <v>142</v>
      </c>
      <c r="B25" s="183">
        <v>456</v>
      </c>
      <c r="C25" s="183">
        <v>456</v>
      </c>
      <c r="D25" s="183">
        <v>456</v>
      </c>
      <c r="E25" s="183">
        <v>471</v>
      </c>
      <c r="F25" s="183">
        <v>471</v>
      </c>
      <c r="G25" s="183">
        <v>471</v>
      </c>
      <c r="H25" s="183">
        <v>471</v>
      </c>
      <c r="I25" s="183">
        <v>471</v>
      </c>
      <c r="J25" s="183">
        <v>471</v>
      </c>
      <c r="K25" s="183">
        <v>471</v>
      </c>
      <c r="L25" s="183">
        <v>495</v>
      </c>
      <c r="M25" s="183">
        <v>495</v>
      </c>
      <c r="N25" s="183">
        <v>495</v>
      </c>
      <c r="O25" s="183">
        <v>495</v>
      </c>
      <c r="P25" s="183">
        <v>495</v>
      </c>
      <c r="Q25" s="183">
        <v>495</v>
      </c>
      <c r="R25" s="183">
        <v>495</v>
      </c>
      <c r="S25" s="183">
        <v>505</v>
      </c>
      <c r="T25" s="183">
        <v>505</v>
      </c>
      <c r="U25" s="183">
        <v>505</v>
      </c>
      <c r="V25" s="183">
        <v>505</v>
      </c>
      <c r="W25" s="183">
        <v>505</v>
      </c>
      <c r="X25" s="183">
        <v>505</v>
      </c>
      <c r="Y25" s="183">
        <v>505</v>
      </c>
      <c r="Z25" s="183">
        <v>521</v>
      </c>
      <c r="AA25" s="183">
        <v>521</v>
      </c>
      <c r="AB25" s="183">
        <v>521</v>
      </c>
      <c r="AC25" s="183">
        <v>521</v>
      </c>
      <c r="AD25" s="183">
        <v>521</v>
      </c>
      <c r="AE25" s="183">
        <v>521</v>
      </c>
      <c r="AF25" s="205"/>
      <c r="AG25" s="183">
        <v>456</v>
      </c>
    </row>
    <row r="26" spans="1:33">
      <c r="A26" s="189" t="s">
        <v>145</v>
      </c>
      <c r="B26" s="183">
        <v>84</v>
      </c>
      <c r="C26" s="183">
        <v>84</v>
      </c>
      <c r="D26" s="183">
        <v>84</v>
      </c>
      <c r="E26" s="183">
        <v>84</v>
      </c>
      <c r="F26" s="183">
        <v>84</v>
      </c>
      <c r="G26" s="183">
        <v>84</v>
      </c>
      <c r="H26" s="183">
        <v>84</v>
      </c>
      <c r="I26" s="183">
        <v>84</v>
      </c>
      <c r="J26" s="183">
        <v>84</v>
      </c>
      <c r="K26" s="183">
        <v>84</v>
      </c>
      <c r="L26" s="183">
        <v>114</v>
      </c>
      <c r="M26" s="183">
        <v>114</v>
      </c>
      <c r="N26" s="183">
        <v>114</v>
      </c>
      <c r="O26" s="183">
        <v>114</v>
      </c>
      <c r="P26" s="183">
        <v>114</v>
      </c>
      <c r="Q26" s="183">
        <v>114</v>
      </c>
      <c r="R26" s="183">
        <v>114</v>
      </c>
      <c r="S26" s="183">
        <v>117</v>
      </c>
      <c r="T26" s="183">
        <v>117</v>
      </c>
      <c r="U26" s="183">
        <v>117</v>
      </c>
      <c r="V26" s="183">
        <v>117</v>
      </c>
      <c r="W26" s="183">
        <v>117</v>
      </c>
      <c r="X26" s="183">
        <v>117</v>
      </c>
      <c r="Y26" s="183">
        <v>117</v>
      </c>
      <c r="Z26" s="183">
        <v>117</v>
      </c>
      <c r="AA26" s="183">
        <v>117</v>
      </c>
      <c r="AB26" s="183">
        <v>117</v>
      </c>
      <c r="AC26" s="183">
        <v>117</v>
      </c>
      <c r="AD26" s="183">
        <v>117</v>
      </c>
      <c r="AE26" s="183">
        <v>117</v>
      </c>
      <c r="AF26" s="205"/>
      <c r="AG26" s="183">
        <v>84</v>
      </c>
    </row>
    <row r="27" spans="1:33">
      <c r="A27" s="189" t="s">
        <v>148</v>
      </c>
      <c r="B27" s="183">
        <v>1649</v>
      </c>
      <c r="C27" s="183">
        <v>1649</v>
      </c>
      <c r="D27" s="183">
        <v>1649</v>
      </c>
      <c r="E27" s="183">
        <v>1723</v>
      </c>
      <c r="F27" s="183">
        <v>1723</v>
      </c>
      <c r="G27" s="183">
        <v>1723</v>
      </c>
      <c r="H27" s="183">
        <v>1723</v>
      </c>
      <c r="I27" s="183">
        <v>1723</v>
      </c>
      <c r="J27" s="183">
        <v>1723</v>
      </c>
      <c r="K27" s="183">
        <v>1723</v>
      </c>
      <c r="L27" s="183">
        <v>1874</v>
      </c>
      <c r="M27" s="183">
        <v>1874</v>
      </c>
      <c r="N27" s="183">
        <v>1874</v>
      </c>
      <c r="O27" s="183">
        <v>1874</v>
      </c>
      <c r="P27" s="183">
        <v>1874</v>
      </c>
      <c r="Q27" s="183">
        <v>1874</v>
      </c>
      <c r="R27" s="183">
        <v>1874</v>
      </c>
      <c r="S27" s="183">
        <v>1966</v>
      </c>
      <c r="T27" s="183">
        <v>1966</v>
      </c>
      <c r="U27" s="183">
        <v>1966</v>
      </c>
      <c r="V27" s="183">
        <v>1966</v>
      </c>
      <c r="W27" s="183">
        <v>1966</v>
      </c>
      <c r="X27" s="183">
        <v>1966</v>
      </c>
      <c r="Y27" s="183">
        <v>1966</v>
      </c>
      <c r="Z27" s="183">
        <v>2052</v>
      </c>
      <c r="AA27" s="183">
        <v>2052</v>
      </c>
      <c r="AB27" s="183">
        <v>2052</v>
      </c>
      <c r="AC27" s="183">
        <v>2052</v>
      </c>
      <c r="AD27" s="183">
        <v>2052</v>
      </c>
      <c r="AE27" s="183">
        <v>2052</v>
      </c>
      <c r="AF27" s="205"/>
      <c r="AG27" s="183">
        <v>1649</v>
      </c>
    </row>
    <row r="28" spans="1:33">
      <c r="A28" s="189" t="s">
        <v>151</v>
      </c>
      <c r="B28" s="183">
        <v>337</v>
      </c>
      <c r="C28" s="183">
        <v>337</v>
      </c>
      <c r="D28" s="183">
        <v>337</v>
      </c>
      <c r="E28" s="183">
        <v>437</v>
      </c>
      <c r="F28" s="183">
        <v>437</v>
      </c>
      <c r="G28" s="183">
        <v>437</v>
      </c>
      <c r="H28" s="183">
        <v>437</v>
      </c>
      <c r="I28" s="183">
        <v>437</v>
      </c>
      <c r="J28" s="183">
        <v>437</v>
      </c>
      <c r="K28" s="183">
        <v>437</v>
      </c>
      <c r="L28" s="183">
        <v>359</v>
      </c>
      <c r="M28" s="183">
        <v>359</v>
      </c>
      <c r="N28" s="183">
        <v>359</v>
      </c>
      <c r="O28" s="183">
        <v>359</v>
      </c>
      <c r="P28" s="183">
        <v>359</v>
      </c>
      <c r="Q28" s="183">
        <v>359</v>
      </c>
      <c r="R28" s="183">
        <v>359</v>
      </c>
      <c r="S28" s="183">
        <v>370</v>
      </c>
      <c r="T28" s="183">
        <v>370</v>
      </c>
      <c r="U28" s="183">
        <v>370</v>
      </c>
      <c r="V28" s="183">
        <v>370</v>
      </c>
      <c r="W28" s="183">
        <v>370</v>
      </c>
      <c r="X28" s="183">
        <v>370</v>
      </c>
      <c r="Y28" s="183">
        <v>370</v>
      </c>
      <c r="Z28" s="183">
        <v>382</v>
      </c>
      <c r="AA28" s="183">
        <v>382</v>
      </c>
      <c r="AB28" s="183">
        <v>382</v>
      </c>
      <c r="AC28" s="183">
        <v>382</v>
      </c>
      <c r="AD28" s="183">
        <v>382</v>
      </c>
      <c r="AE28" s="183">
        <v>382</v>
      </c>
      <c r="AF28" s="205"/>
      <c r="AG28" s="183">
        <v>337</v>
      </c>
    </row>
    <row r="29" spans="1:33">
      <c r="A29" s="189" t="s">
        <v>154</v>
      </c>
      <c r="B29" s="183">
        <v>102</v>
      </c>
      <c r="C29" s="183">
        <v>102</v>
      </c>
      <c r="D29" s="183">
        <v>102</v>
      </c>
      <c r="E29" s="183">
        <v>107</v>
      </c>
      <c r="F29" s="183">
        <v>107</v>
      </c>
      <c r="G29" s="183">
        <v>107</v>
      </c>
      <c r="H29" s="183">
        <v>107</v>
      </c>
      <c r="I29" s="183">
        <v>107</v>
      </c>
      <c r="J29" s="183">
        <v>107</v>
      </c>
      <c r="K29" s="183">
        <v>107</v>
      </c>
      <c r="L29" s="183">
        <v>111</v>
      </c>
      <c r="M29" s="183">
        <v>111</v>
      </c>
      <c r="N29" s="183">
        <v>111</v>
      </c>
      <c r="O29" s="183">
        <v>111</v>
      </c>
      <c r="P29" s="183">
        <v>111</v>
      </c>
      <c r="Q29" s="183">
        <v>111</v>
      </c>
      <c r="R29" s="183">
        <v>111</v>
      </c>
      <c r="S29" s="183">
        <v>115</v>
      </c>
      <c r="T29" s="183">
        <v>115</v>
      </c>
      <c r="U29" s="183">
        <v>115</v>
      </c>
      <c r="V29" s="183">
        <v>115</v>
      </c>
      <c r="W29" s="183">
        <v>115</v>
      </c>
      <c r="X29" s="183">
        <v>115</v>
      </c>
      <c r="Y29" s="183">
        <v>115</v>
      </c>
      <c r="Z29" s="183">
        <v>118</v>
      </c>
      <c r="AA29" s="183">
        <v>118</v>
      </c>
      <c r="AB29" s="183">
        <v>118</v>
      </c>
      <c r="AC29" s="183">
        <v>118</v>
      </c>
      <c r="AD29" s="183">
        <v>118</v>
      </c>
      <c r="AE29" s="183">
        <v>118</v>
      </c>
      <c r="AF29" s="205"/>
      <c r="AG29" s="183">
        <v>102</v>
      </c>
    </row>
    <row r="30" spans="1:33">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207"/>
      <c r="AG30" s="162"/>
    </row>
    <row r="31" spans="1:33" ht="16.5">
      <c r="A31" s="87"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92"/>
      <c r="AG31" s="181" t="s">
        <v>157</v>
      </c>
    </row>
    <row r="32" spans="1:33" ht="25.5">
      <c r="A32" s="127" t="s">
        <v>77</v>
      </c>
      <c r="B32" s="191" t="s">
        <v>158</v>
      </c>
      <c r="C32" s="191" t="s">
        <v>158</v>
      </c>
      <c r="D32" s="191" t="s">
        <v>158</v>
      </c>
      <c r="E32" s="191" t="s">
        <v>158</v>
      </c>
      <c r="F32" s="191" t="s">
        <v>158</v>
      </c>
      <c r="G32" s="191" t="s">
        <v>158</v>
      </c>
      <c r="H32" s="191" t="s">
        <v>158</v>
      </c>
      <c r="I32" s="191" t="s">
        <v>158</v>
      </c>
      <c r="J32" s="191" t="s">
        <v>158</v>
      </c>
      <c r="K32" s="191" t="s">
        <v>158</v>
      </c>
      <c r="L32" s="191" t="s">
        <v>158</v>
      </c>
      <c r="M32" s="191" t="s">
        <v>158</v>
      </c>
      <c r="N32" s="191" t="s">
        <v>158</v>
      </c>
      <c r="O32" s="191" t="s">
        <v>158</v>
      </c>
      <c r="P32" s="191" t="s">
        <v>158</v>
      </c>
      <c r="Q32" s="191" t="s">
        <v>158</v>
      </c>
      <c r="R32" s="191" t="s">
        <v>158</v>
      </c>
      <c r="S32" s="191" t="s">
        <v>158</v>
      </c>
      <c r="T32" s="191" t="s">
        <v>158</v>
      </c>
      <c r="U32" s="191" t="s">
        <v>158</v>
      </c>
      <c r="V32" s="191" t="s">
        <v>158</v>
      </c>
      <c r="W32" s="191" t="s">
        <v>158</v>
      </c>
      <c r="X32" s="191" t="s">
        <v>158</v>
      </c>
      <c r="Y32" s="191" t="s">
        <v>158</v>
      </c>
      <c r="Z32" s="191" t="s">
        <v>158</v>
      </c>
      <c r="AA32" s="191" t="s">
        <v>158</v>
      </c>
      <c r="AB32" s="191" t="s">
        <v>158</v>
      </c>
      <c r="AC32" s="191" t="s">
        <v>158</v>
      </c>
      <c r="AD32" s="191" t="s">
        <v>158</v>
      </c>
      <c r="AE32" s="191" t="s">
        <v>158</v>
      </c>
      <c r="AF32" s="209"/>
      <c r="AG32" s="191" t="s">
        <v>158</v>
      </c>
    </row>
    <row r="33" spans="1:33" ht="25.5">
      <c r="A33" s="87" t="s">
        <v>80</v>
      </c>
      <c r="B33" s="187" t="s">
        <v>596</v>
      </c>
      <c r="C33" s="188" t="s">
        <v>466</v>
      </c>
      <c r="D33" s="188" t="s">
        <v>481</v>
      </c>
      <c r="E33" s="188" t="s">
        <v>481</v>
      </c>
      <c r="F33" s="188" t="s">
        <v>481</v>
      </c>
      <c r="G33" s="188" t="s">
        <v>481</v>
      </c>
      <c r="H33" s="188" t="s">
        <v>481</v>
      </c>
      <c r="I33" s="188" t="s">
        <v>482</v>
      </c>
      <c r="J33" s="188" t="s">
        <v>483</v>
      </c>
      <c r="K33" s="188" t="s">
        <v>484</v>
      </c>
      <c r="L33" s="188" t="s">
        <v>485</v>
      </c>
      <c r="M33" s="188" t="s">
        <v>485</v>
      </c>
      <c r="N33" s="188" t="s">
        <v>486</v>
      </c>
      <c r="O33" s="188" t="s">
        <v>487</v>
      </c>
      <c r="P33" s="188" t="s">
        <v>488</v>
      </c>
      <c r="Q33" s="188" t="s">
        <v>489</v>
      </c>
      <c r="R33" s="188" t="s">
        <v>490</v>
      </c>
      <c r="S33" s="188" t="s">
        <v>491</v>
      </c>
      <c r="T33" s="188" t="s">
        <v>491</v>
      </c>
      <c r="U33" s="188" t="s">
        <v>492</v>
      </c>
      <c r="V33" s="188" t="s">
        <v>493</v>
      </c>
      <c r="W33" s="188" t="s">
        <v>492</v>
      </c>
      <c r="X33" s="188" t="s">
        <v>494</v>
      </c>
      <c r="Y33" s="188" t="s">
        <v>495</v>
      </c>
      <c r="Z33" s="188" t="s">
        <v>496</v>
      </c>
      <c r="AA33" s="188" t="s">
        <v>497</v>
      </c>
      <c r="AB33" s="188" t="s">
        <v>498</v>
      </c>
      <c r="AC33" s="188" t="s">
        <v>499</v>
      </c>
      <c r="AD33" s="188" t="s">
        <v>499</v>
      </c>
      <c r="AE33" s="188" t="s">
        <v>500</v>
      </c>
      <c r="AF33" s="206"/>
      <c r="AG33" s="188" t="s">
        <v>466</v>
      </c>
    </row>
    <row r="34" spans="1:33" ht="15.75" thickBot="1">
      <c r="A34" s="139" t="s">
        <v>81</v>
      </c>
      <c r="B34" s="187" t="s">
        <v>595</v>
      </c>
      <c r="C34" s="188" t="s">
        <v>450</v>
      </c>
      <c r="D34" s="188" t="s">
        <v>477</v>
      </c>
      <c r="E34" s="188" t="s">
        <v>450</v>
      </c>
      <c r="F34" s="188" t="s">
        <v>450</v>
      </c>
      <c r="G34" s="188" t="s">
        <v>450</v>
      </c>
      <c r="H34" s="188" t="s">
        <v>450</v>
      </c>
      <c r="I34" s="188" t="s">
        <v>450</v>
      </c>
      <c r="J34" s="188" t="s">
        <v>450</v>
      </c>
      <c r="K34" s="188" t="s">
        <v>477</v>
      </c>
      <c r="L34" s="188" t="s">
        <v>450</v>
      </c>
      <c r="M34" s="188" t="s">
        <v>450</v>
      </c>
      <c r="N34" s="188" t="s">
        <v>450</v>
      </c>
      <c r="O34" s="188" t="s">
        <v>477</v>
      </c>
      <c r="P34" s="188" t="s">
        <v>477</v>
      </c>
      <c r="Q34" s="188" t="s">
        <v>477</v>
      </c>
      <c r="R34" s="188" t="s">
        <v>477</v>
      </c>
      <c r="S34" s="188" t="s">
        <v>477</v>
      </c>
      <c r="T34" s="188" t="s">
        <v>477</v>
      </c>
      <c r="U34" s="188" t="s">
        <v>477</v>
      </c>
      <c r="V34" s="188" t="s">
        <v>478</v>
      </c>
      <c r="W34" s="188" t="s">
        <v>478</v>
      </c>
      <c r="X34" s="188" t="s">
        <v>478</v>
      </c>
      <c r="Y34" s="188" t="s">
        <v>478</v>
      </c>
      <c r="Z34" s="188" t="s">
        <v>478</v>
      </c>
      <c r="AA34" s="188" t="s">
        <v>477</v>
      </c>
      <c r="AB34" s="188" t="s">
        <v>477</v>
      </c>
      <c r="AC34" s="188" t="s">
        <v>477</v>
      </c>
      <c r="AD34" s="188" t="s">
        <v>477</v>
      </c>
      <c r="AE34" s="188" t="s">
        <v>477</v>
      </c>
      <c r="AF34" s="206"/>
      <c r="AG34" s="188" t="s">
        <v>450</v>
      </c>
    </row>
    <row r="35" spans="1:33">
      <c r="AF35" s="211"/>
    </row>
    <row r="36" spans="1:33">
      <c r="AF36" s="211"/>
    </row>
  </sheetData>
  <mergeCells count="1">
    <mergeCell ref="A1:AG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FC95-614A-4502-AF56-5C24515324C0}">
  <dimension ref="A1:AM36"/>
  <sheetViews>
    <sheetView topLeftCell="I16" workbookViewId="0">
      <selection activeCell="AG23" sqref="AG23"/>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2" width="8.7109375" style="20"/>
    <col min="33" max="33" width="8.7109375" style="144"/>
    <col min="34" max="34" width="8.7109375" style="20"/>
    <col min="35" max="35" width="11" customWidth="1"/>
    <col min="36" max="36" width="11.42578125" customWidth="1"/>
  </cols>
  <sheetData>
    <row r="1" spans="1:39"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5.75">
      <c r="A2" s="82"/>
      <c r="B2" s="83">
        <v>44470</v>
      </c>
      <c r="C2" s="83">
        <v>44471</v>
      </c>
      <c r="D2" s="83">
        <v>44472</v>
      </c>
      <c r="E2" s="83">
        <v>44473</v>
      </c>
      <c r="F2" s="83">
        <v>44474</v>
      </c>
      <c r="G2" s="83">
        <v>44475</v>
      </c>
      <c r="H2" s="83">
        <v>44476</v>
      </c>
      <c r="I2" s="83">
        <v>44477</v>
      </c>
      <c r="J2" s="83">
        <v>44478</v>
      </c>
      <c r="K2" s="83">
        <v>44479</v>
      </c>
      <c r="L2" s="83">
        <v>44480</v>
      </c>
      <c r="M2" s="83">
        <v>44481</v>
      </c>
      <c r="N2" s="83">
        <v>44482</v>
      </c>
      <c r="O2" s="83">
        <v>44483</v>
      </c>
      <c r="P2" s="83">
        <v>44484</v>
      </c>
      <c r="Q2" s="83">
        <v>44485</v>
      </c>
      <c r="R2" s="83">
        <v>44486</v>
      </c>
      <c r="S2" s="83">
        <v>44487</v>
      </c>
      <c r="T2" s="83">
        <v>44488</v>
      </c>
      <c r="U2" s="83">
        <v>44489</v>
      </c>
      <c r="V2" s="83">
        <v>44490</v>
      </c>
      <c r="W2" s="83">
        <v>44491</v>
      </c>
      <c r="X2" s="83">
        <v>44492</v>
      </c>
      <c r="Y2" s="83">
        <v>44493</v>
      </c>
      <c r="Z2" s="83">
        <v>44494</v>
      </c>
      <c r="AA2" s="83">
        <v>44495</v>
      </c>
      <c r="AB2" s="83">
        <v>44496</v>
      </c>
      <c r="AC2" s="83">
        <v>44497</v>
      </c>
      <c r="AD2" s="83">
        <v>44498</v>
      </c>
      <c r="AE2" s="83">
        <v>44499</v>
      </c>
      <c r="AF2" s="83">
        <v>44500</v>
      </c>
      <c r="AG2" s="83"/>
      <c r="AH2" s="83">
        <v>44469</v>
      </c>
    </row>
    <row r="3" spans="1:39" ht="33">
      <c r="A3" s="87" t="s">
        <v>51</v>
      </c>
      <c r="B3" s="91" t="s">
        <v>53</v>
      </c>
      <c r="C3" s="91" t="s">
        <v>53</v>
      </c>
      <c r="D3" s="91" t="s">
        <v>53</v>
      </c>
      <c r="E3" s="91" t="s">
        <v>53</v>
      </c>
      <c r="F3" s="91" t="s">
        <v>53</v>
      </c>
      <c r="G3" s="91" t="s">
        <v>53</v>
      </c>
      <c r="H3" s="91" t="s">
        <v>53</v>
      </c>
      <c r="I3" s="91" t="s">
        <v>53</v>
      </c>
      <c r="J3" s="91" t="s">
        <v>53</v>
      </c>
      <c r="K3" s="91" t="s">
        <v>53</v>
      </c>
      <c r="L3" s="91" t="s">
        <v>53</v>
      </c>
      <c r="M3" s="146" t="s">
        <v>53</v>
      </c>
      <c r="N3" s="91" t="s">
        <v>53</v>
      </c>
      <c r="O3" s="91" t="s">
        <v>53</v>
      </c>
      <c r="P3" s="91" t="s">
        <v>53</v>
      </c>
      <c r="Q3" s="91" t="s">
        <v>53</v>
      </c>
      <c r="R3" s="91" t="s">
        <v>53</v>
      </c>
      <c r="S3" s="91" t="s">
        <v>53</v>
      </c>
      <c r="T3" s="91" t="s">
        <v>53</v>
      </c>
      <c r="U3" s="91" t="s">
        <v>53</v>
      </c>
      <c r="V3" s="91" t="s">
        <v>53</v>
      </c>
      <c r="W3" s="91" t="s">
        <v>53</v>
      </c>
      <c r="X3" s="91" t="s">
        <v>52</v>
      </c>
      <c r="Y3" s="91" t="s">
        <v>52</v>
      </c>
      <c r="Z3" s="91" t="s">
        <v>53</v>
      </c>
      <c r="AA3" s="91" t="s">
        <v>52</v>
      </c>
      <c r="AB3" s="91" t="s">
        <v>53</v>
      </c>
      <c r="AC3" s="91" t="s">
        <v>53</v>
      </c>
      <c r="AD3" s="91" t="s">
        <v>53</v>
      </c>
      <c r="AE3" s="91" t="s">
        <v>53</v>
      </c>
      <c r="AF3" s="91" t="s">
        <v>53</v>
      </c>
      <c r="AG3" s="193"/>
      <c r="AH3" s="91" t="s">
        <v>53</v>
      </c>
    </row>
    <row r="4" spans="1:39" ht="20.100000000000001" customHeight="1">
      <c r="A4" s="94" t="s">
        <v>54</v>
      </c>
      <c r="B4" s="212">
        <v>184271</v>
      </c>
      <c r="C4" s="212">
        <v>184482</v>
      </c>
      <c r="D4" s="212">
        <v>184703</v>
      </c>
      <c r="E4" s="212">
        <v>184935</v>
      </c>
      <c r="F4" s="212">
        <v>185163</v>
      </c>
      <c r="G4" s="212">
        <v>185385</v>
      </c>
      <c r="H4" s="212">
        <v>185601</v>
      </c>
      <c r="I4" s="212">
        <v>185818</v>
      </c>
      <c r="J4" s="212">
        <v>186021</v>
      </c>
      <c r="K4" s="212">
        <v>186229</v>
      </c>
      <c r="L4" s="212">
        <v>186443</v>
      </c>
      <c r="M4" s="212">
        <v>186657</v>
      </c>
      <c r="N4" s="212">
        <v>186874</v>
      </c>
      <c r="O4" s="212">
        <v>187088</v>
      </c>
      <c r="P4" s="212">
        <v>187299</v>
      </c>
      <c r="Q4" s="212">
        <v>187500</v>
      </c>
      <c r="R4" s="212">
        <v>187712</v>
      </c>
      <c r="S4" s="212">
        <v>187923</v>
      </c>
      <c r="T4" s="212">
        <v>188135</v>
      </c>
      <c r="U4" s="212">
        <v>188348</v>
      </c>
      <c r="V4" s="212">
        <v>188559</v>
      </c>
      <c r="W4" s="212">
        <v>188762</v>
      </c>
      <c r="X4" s="212">
        <v>188960</v>
      </c>
      <c r="Y4" s="212">
        <v>189170</v>
      </c>
      <c r="Z4" s="212">
        <v>189380</v>
      </c>
      <c r="AA4" s="212">
        <v>189585</v>
      </c>
      <c r="AB4" s="212">
        <v>189790</v>
      </c>
      <c r="AC4" s="212">
        <v>189997</v>
      </c>
      <c r="AD4" s="212">
        <v>190202</v>
      </c>
      <c r="AE4" s="212">
        <v>190396</v>
      </c>
      <c r="AF4" s="212">
        <v>190605</v>
      </c>
      <c r="AG4" s="195"/>
      <c r="AH4" s="212">
        <v>184042</v>
      </c>
      <c r="AI4" s="101"/>
      <c r="AJ4" s="101"/>
      <c r="AM4" s="102"/>
    </row>
    <row r="5" spans="1:39" ht="20.100000000000001" customHeight="1">
      <c r="A5" s="94" t="s">
        <v>55</v>
      </c>
      <c r="B5" s="212">
        <v>4292980</v>
      </c>
      <c r="C5" s="212">
        <v>4300226</v>
      </c>
      <c r="D5" s="212">
        <v>4307847</v>
      </c>
      <c r="E5" s="212">
        <v>4316170</v>
      </c>
      <c r="F5" s="212">
        <v>4324248</v>
      </c>
      <c r="G5" s="212">
        <v>4332354</v>
      </c>
      <c r="H5" s="212">
        <v>4340592</v>
      </c>
      <c r="I5" s="212">
        <v>4348647</v>
      </c>
      <c r="J5" s="212">
        <v>4356096</v>
      </c>
      <c r="K5" s="212">
        <v>4363810</v>
      </c>
      <c r="L5" s="212">
        <v>4371790</v>
      </c>
      <c r="M5" s="212">
        <v>4379825</v>
      </c>
      <c r="N5" s="212">
        <v>4387885</v>
      </c>
      <c r="O5" s="212">
        <v>4396148</v>
      </c>
      <c r="P5" s="212">
        <v>4404209</v>
      </c>
      <c r="Q5" s="212">
        <v>4412525</v>
      </c>
      <c r="R5" s="212">
        <v>4420797</v>
      </c>
      <c r="S5" s="212">
        <v>4429014</v>
      </c>
      <c r="T5" s="212">
        <v>4437189</v>
      </c>
      <c r="U5" s="212">
        <v>4445338</v>
      </c>
      <c r="V5" s="212">
        <v>4453499</v>
      </c>
      <c r="W5" s="212">
        <v>4461363</v>
      </c>
      <c r="X5" s="212">
        <v>4468584</v>
      </c>
      <c r="Y5" s="212">
        <v>4475885</v>
      </c>
      <c r="Z5" s="212">
        <v>4484136</v>
      </c>
      <c r="AA5" s="212">
        <v>4492314</v>
      </c>
      <c r="AB5" s="212">
        <v>4500602</v>
      </c>
      <c r="AC5" s="212">
        <v>4508427</v>
      </c>
      <c r="AD5" s="212">
        <v>4516049</v>
      </c>
      <c r="AE5" s="212">
        <v>4523095</v>
      </c>
      <c r="AF5" s="212">
        <v>4530735</v>
      </c>
      <c r="AG5" s="195"/>
      <c r="AH5" s="212">
        <v>4284843</v>
      </c>
      <c r="AI5" s="101"/>
      <c r="AJ5" s="101"/>
      <c r="AM5" s="102"/>
    </row>
    <row r="6" spans="1:39" ht="20.100000000000001" customHeight="1">
      <c r="A6" s="94" t="s">
        <v>56</v>
      </c>
      <c r="B6" s="212">
        <v>2139161</v>
      </c>
      <c r="C6" s="212">
        <v>2141954</v>
      </c>
      <c r="D6" s="212">
        <v>2144923</v>
      </c>
      <c r="E6" s="212">
        <v>2148233</v>
      </c>
      <c r="F6" s="212">
        <v>2151571</v>
      </c>
      <c r="G6" s="212">
        <v>2154916</v>
      </c>
      <c r="H6" s="212">
        <v>2158231</v>
      </c>
      <c r="I6" s="212">
        <v>2161428</v>
      </c>
      <c r="J6" s="212">
        <v>2164297</v>
      </c>
      <c r="K6" s="212">
        <v>2167240</v>
      </c>
      <c r="L6" s="212">
        <v>2170799</v>
      </c>
      <c r="M6" s="212">
        <v>2174489</v>
      </c>
      <c r="N6" s="212">
        <v>2178130</v>
      </c>
      <c r="O6" s="212">
        <v>2181763</v>
      </c>
      <c r="P6" s="212">
        <v>2185199</v>
      </c>
      <c r="Q6" s="212">
        <v>2188192</v>
      </c>
      <c r="R6" s="212">
        <v>2191304</v>
      </c>
      <c r="S6" s="212">
        <v>2194495</v>
      </c>
      <c r="T6" s="212">
        <v>2197632</v>
      </c>
      <c r="U6" s="212">
        <v>2200798</v>
      </c>
      <c r="V6" s="212">
        <v>2203945</v>
      </c>
      <c r="W6" s="212">
        <v>2207031</v>
      </c>
      <c r="X6" s="212">
        <v>2209915</v>
      </c>
      <c r="Y6" s="212">
        <v>2212977</v>
      </c>
      <c r="Z6" s="212">
        <v>2216138</v>
      </c>
      <c r="AA6" s="212">
        <v>2219332</v>
      </c>
      <c r="AB6" s="212">
        <v>2222554</v>
      </c>
      <c r="AC6" s="212">
        <v>2225837</v>
      </c>
      <c r="AD6" s="212">
        <v>2229158</v>
      </c>
      <c r="AE6" s="212">
        <v>2232099</v>
      </c>
      <c r="AF6" s="212">
        <v>2235335</v>
      </c>
      <c r="AG6" s="195"/>
      <c r="AH6" s="212">
        <v>2135976</v>
      </c>
      <c r="AI6" s="101"/>
      <c r="AJ6" s="101"/>
      <c r="AM6" s="102"/>
    </row>
    <row r="7" spans="1:39" ht="20.100000000000001" customHeight="1">
      <c r="A7" s="94" t="s">
        <v>57</v>
      </c>
      <c r="B7" s="212">
        <v>6204812</v>
      </c>
      <c r="C7" s="212">
        <v>6204959</v>
      </c>
      <c r="D7" s="212">
        <v>6205037</v>
      </c>
      <c r="E7" s="212">
        <v>6205113</v>
      </c>
      <c r="F7" s="212">
        <v>6205189</v>
      </c>
      <c r="G7" s="212">
        <v>6205266</v>
      </c>
      <c r="H7" s="212">
        <v>6205344</v>
      </c>
      <c r="I7" s="212">
        <v>6205422</v>
      </c>
      <c r="J7" s="212">
        <v>6206486</v>
      </c>
      <c r="K7" s="212">
        <v>6213030</v>
      </c>
      <c r="L7" s="212">
        <v>6219636</v>
      </c>
      <c r="M7" s="212">
        <v>6226463</v>
      </c>
      <c r="N7" s="212">
        <v>6233125</v>
      </c>
      <c r="O7" s="212">
        <v>6240200</v>
      </c>
      <c r="P7" s="212">
        <v>6246614</v>
      </c>
      <c r="Q7" s="212">
        <v>6254188</v>
      </c>
      <c r="R7" s="212">
        <v>6267473</v>
      </c>
      <c r="S7" s="212">
        <v>6279760</v>
      </c>
      <c r="T7" s="212">
        <v>6292020</v>
      </c>
      <c r="U7" s="212">
        <v>6302822</v>
      </c>
      <c r="V7" s="212">
        <v>6315134</v>
      </c>
      <c r="W7" s="212">
        <v>6327262</v>
      </c>
      <c r="X7" s="212">
        <v>6336622</v>
      </c>
      <c r="Y7" s="212">
        <v>6343280</v>
      </c>
      <c r="Z7" s="212">
        <v>6350507</v>
      </c>
      <c r="AA7" s="212">
        <v>6357236</v>
      </c>
      <c r="AB7" s="212">
        <v>6363620</v>
      </c>
      <c r="AC7" s="212">
        <v>6370528</v>
      </c>
      <c r="AD7" s="212">
        <v>6377372</v>
      </c>
      <c r="AE7" s="212">
        <v>6382976</v>
      </c>
      <c r="AF7" s="212">
        <v>6383054</v>
      </c>
      <c r="AG7" s="195"/>
      <c r="AH7" s="212">
        <v>6203898</v>
      </c>
      <c r="AI7" s="101"/>
      <c r="AJ7" s="101"/>
      <c r="AM7" s="102"/>
    </row>
    <row r="8" spans="1:39" ht="20.100000000000001" customHeight="1">
      <c r="A8" s="94" t="s">
        <v>58</v>
      </c>
      <c r="B8" s="212">
        <v>1986921</v>
      </c>
      <c r="C8" s="212">
        <v>1991117</v>
      </c>
      <c r="D8" s="212">
        <v>1995832</v>
      </c>
      <c r="E8" s="212">
        <v>2001114</v>
      </c>
      <c r="F8" s="212">
        <v>2005922</v>
      </c>
      <c r="G8" s="212">
        <v>2010779</v>
      </c>
      <c r="H8" s="212">
        <v>2015548</v>
      </c>
      <c r="I8" s="212">
        <v>2020478</v>
      </c>
      <c r="J8" s="212">
        <v>2024479</v>
      </c>
      <c r="K8" s="212">
        <v>2026482</v>
      </c>
      <c r="L8" s="212">
        <v>2028259</v>
      </c>
      <c r="M8" s="212">
        <v>2030335</v>
      </c>
      <c r="N8" s="212">
        <v>2032451</v>
      </c>
      <c r="O8" s="212">
        <v>2034593</v>
      </c>
      <c r="P8" s="212">
        <v>2036603</v>
      </c>
      <c r="Q8" s="212">
        <v>2038338</v>
      </c>
      <c r="R8" s="212">
        <v>2038338</v>
      </c>
      <c r="S8" s="212">
        <v>2038748</v>
      </c>
      <c r="T8" s="212">
        <v>2038805</v>
      </c>
      <c r="U8" s="212">
        <v>2039327</v>
      </c>
      <c r="V8" s="212">
        <v>2039327</v>
      </c>
      <c r="W8" s="212">
        <v>2039327</v>
      </c>
      <c r="X8" s="212">
        <v>2039618</v>
      </c>
      <c r="Y8" s="212">
        <v>2040619</v>
      </c>
      <c r="Z8" s="212">
        <v>2041826</v>
      </c>
      <c r="AA8" s="212">
        <v>2042930</v>
      </c>
      <c r="AB8" s="212">
        <v>2043924</v>
      </c>
      <c r="AC8" s="212">
        <v>2044959</v>
      </c>
      <c r="AD8" s="212">
        <v>2046024</v>
      </c>
      <c r="AE8" s="212">
        <v>2047353</v>
      </c>
      <c r="AF8" s="212">
        <v>2051301</v>
      </c>
      <c r="AG8" s="195"/>
      <c r="AH8" s="212">
        <v>1982715</v>
      </c>
      <c r="AI8" s="101"/>
      <c r="AJ8" s="101"/>
      <c r="AM8" s="102"/>
    </row>
    <row r="9" spans="1:39" ht="20.100000000000001" customHeight="1">
      <c r="A9" s="94" t="s">
        <v>59</v>
      </c>
      <c r="B9" s="214">
        <v>12810817</v>
      </c>
      <c r="C9" s="214">
        <v>12824737</v>
      </c>
      <c r="D9" s="214">
        <v>12839402</v>
      </c>
      <c r="E9" s="214">
        <v>12854298</v>
      </c>
      <c r="F9" s="214">
        <v>12869238</v>
      </c>
      <c r="G9" s="214">
        <v>12884245</v>
      </c>
      <c r="H9" s="214">
        <v>12899074</v>
      </c>
      <c r="I9" s="214">
        <v>12913914</v>
      </c>
      <c r="J9" s="214">
        <v>12927967</v>
      </c>
      <c r="K9" s="214">
        <v>12941465</v>
      </c>
      <c r="L9" s="214">
        <v>12954828</v>
      </c>
      <c r="M9" s="214">
        <v>12969348</v>
      </c>
      <c r="N9" s="214">
        <v>12983634</v>
      </c>
      <c r="O9" s="214">
        <v>12997987</v>
      </c>
      <c r="P9" s="214">
        <v>13011790</v>
      </c>
      <c r="Q9" s="214">
        <v>13025887</v>
      </c>
      <c r="R9" s="214">
        <v>13040241</v>
      </c>
      <c r="S9" s="214">
        <v>13054497</v>
      </c>
      <c r="T9" s="214">
        <v>13068238</v>
      </c>
      <c r="U9" s="214">
        <v>13081812</v>
      </c>
      <c r="V9" s="214">
        <v>13094979</v>
      </c>
      <c r="W9" s="214">
        <v>13107945</v>
      </c>
      <c r="X9" s="214">
        <v>13119530</v>
      </c>
      <c r="Y9" s="214">
        <v>13130600</v>
      </c>
      <c r="Z9" s="214">
        <v>13142412</v>
      </c>
      <c r="AA9" s="214">
        <v>13153766</v>
      </c>
      <c r="AB9" s="214">
        <v>13164703</v>
      </c>
      <c r="AC9" s="214">
        <v>13175454</v>
      </c>
      <c r="AD9" s="214">
        <v>13186492</v>
      </c>
      <c r="AE9" s="214">
        <v>13197331</v>
      </c>
      <c r="AF9" s="214">
        <v>13210101</v>
      </c>
      <c r="AG9" s="197"/>
      <c r="AH9" s="214">
        <v>12796018</v>
      </c>
      <c r="AI9" s="101"/>
      <c r="AJ9" s="101"/>
      <c r="AM9" s="102"/>
    </row>
    <row r="10" spans="1:39" ht="20.100000000000001" customHeight="1">
      <c r="A10" s="94" t="s">
        <v>60</v>
      </c>
      <c r="B10" s="212">
        <v>3397917</v>
      </c>
      <c r="C10" s="212">
        <v>3403877</v>
      </c>
      <c r="D10" s="212">
        <v>3410049</v>
      </c>
      <c r="E10" s="212">
        <v>3416487</v>
      </c>
      <c r="F10" s="212">
        <v>3422934</v>
      </c>
      <c r="G10" s="212">
        <v>3429396</v>
      </c>
      <c r="H10" s="212">
        <v>3435836</v>
      </c>
      <c r="I10" s="212">
        <v>3442166</v>
      </c>
      <c r="J10" s="212">
        <v>3448166</v>
      </c>
      <c r="K10" s="212">
        <v>3454238</v>
      </c>
      <c r="L10" s="212">
        <v>3460865</v>
      </c>
      <c r="M10" s="212">
        <v>3467572</v>
      </c>
      <c r="N10" s="212">
        <v>3474265</v>
      </c>
      <c r="O10" s="212">
        <v>3481090</v>
      </c>
      <c r="P10" s="212">
        <v>3487532</v>
      </c>
      <c r="Q10" s="212">
        <v>3493525</v>
      </c>
      <c r="R10" s="212">
        <v>3499637</v>
      </c>
      <c r="S10" s="212">
        <v>3505816</v>
      </c>
      <c r="T10" s="212">
        <v>3512062</v>
      </c>
      <c r="U10" s="212">
        <v>3518236</v>
      </c>
      <c r="V10" s="212">
        <v>3524446</v>
      </c>
      <c r="W10" s="212">
        <v>3530531</v>
      </c>
      <c r="X10" s="212">
        <v>3536566</v>
      </c>
      <c r="Y10" s="212">
        <v>3542678</v>
      </c>
      <c r="Z10" s="212">
        <v>3548962</v>
      </c>
      <c r="AA10" s="212">
        <v>3554814</v>
      </c>
      <c r="AB10" s="212">
        <v>3560725</v>
      </c>
      <c r="AC10" s="212">
        <v>3566708</v>
      </c>
      <c r="AD10" s="212">
        <v>3572867</v>
      </c>
      <c r="AE10" s="212">
        <v>3578469</v>
      </c>
      <c r="AF10" s="212">
        <v>3584514</v>
      </c>
      <c r="AG10" s="195"/>
      <c r="AH10" s="212">
        <v>3391414</v>
      </c>
      <c r="AI10" s="101"/>
      <c r="AJ10" s="101"/>
      <c r="AM10" s="102"/>
    </row>
    <row r="11" spans="1:39" ht="22.5" customHeight="1">
      <c r="A11" s="94" t="s">
        <v>61</v>
      </c>
      <c r="B11" s="212">
        <v>145905</v>
      </c>
      <c r="C11" s="212">
        <v>146055</v>
      </c>
      <c r="D11" s="212">
        <v>146221</v>
      </c>
      <c r="E11" s="212">
        <v>146404</v>
      </c>
      <c r="F11" s="212">
        <v>146584</v>
      </c>
      <c r="G11" s="212">
        <v>146757</v>
      </c>
      <c r="H11" s="212">
        <v>146923</v>
      </c>
      <c r="I11" s="212">
        <v>147088</v>
      </c>
      <c r="J11" s="212">
        <v>147235</v>
      </c>
      <c r="K11" s="212">
        <v>147389</v>
      </c>
      <c r="L11" s="212">
        <v>147566</v>
      </c>
      <c r="M11" s="212">
        <v>147755</v>
      </c>
      <c r="N11" s="212">
        <v>147951</v>
      </c>
      <c r="O11" s="212">
        <v>148140</v>
      </c>
      <c r="P11" s="212">
        <v>148329</v>
      </c>
      <c r="Q11" s="212">
        <v>148503</v>
      </c>
      <c r="R11" s="212">
        <v>148670</v>
      </c>
      <c r="S11" s="212">
        <v>148829</v>
      </c>
      <c r="T11" s="212">
        <v>148988</v>
      </c>
      <c r="U11" s="212">
        <v>149153</v>
      </c>
      <c r="V11" s="212">
        <v>149315</v>
      </c>
      <c r="W11" s="212">
        <v>149467</v>
      </c>
      <c r="X11" s="212">
        <v>149615</v>
      </c>
      <c r="Y11" s="212">
        <v>149777</v>
      </c>
      <c r="Z11" s="212">
        <v>149943</v>
      </c>
      <c r="AA11" s="212">
        <v>150099</v>
      </c>
      <c r="AB11" s="212">
        <v>150256</v>
      </c>
      <c r="AC11" s="212">
        <v>150418</v>
      </c>
      <c r="AD11" s="212">
        <v>150577</v>
      </c>
      <c r="AE11" s="212">
        <v>150725</v>
      </c>
      <c r="AF11" s="212">
        <v>150883</v>
      </c>
      <c r="AG11" s="195"/>
      <c r="AH11" s="212">
        <v>145725</v>
      </c>
      <c r="AI11" s="101"/>
      <c r="AJ11" s="101"/>
      <c r="AM11" s="102"/>
    </row>
    <row r="12" spans="1:39"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98"/>
      <c r="AH12" s="162"/>
    </row>
    <row r="13" spans="1:39" ht="21.95" customHeight="1">
      <c r="A13" s="87"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215" t="s">
        <v>106</v>
      </c>
      <c r="AC13" s="215" t="s">
        <v>106</v>
      </c>
      <c r="AD13" s="215" t="s">
        <v>106</v>
      </c>
      <c r="AE13" s="215" t="s">
        <v>106</v>
      </c>
      <c r="AF13" s="181" t="s">
        <v>106</v>
      </c>
      <c r="AG13" s="192"/>
      <c r="AH13" s="181" t="s">
        <v>106</v>
      </c>
    </row>
    <row r="14" spans="1:39" ht="26.1" customHeight="1">
      <c r="A14" s="87" t="s">
        <v>66</v>
      </c>
      <c r="B14" s="182">
        <v>190262.55</v>
      </c>
      <c r="C14" s="182">
        <v>191853.81</v>
      </c>
      <c r="D14" s="182">
        <v>191853.81</v>
      </c>
      <c r="E14" s="182">
        <v>191853.81</v>
      </c>
      <c r="F14" s="182">
        <v>191853.81</v>
      </c>
      <c r="G14" s="182">
        <v>191853.81</v>
      </c>
      <c r="H14" s="182">
        <v>191853.81</v>
      </c>
      <c r="I14" s="182">
        <v>191853.81</v>
      </c>
      <c r="J14" s="182">
        <v>193745.66</v>
      </c>
      <c r="K14" s="182">
        <v>193745.66</v>
      </c>
      <c r="L14" s="182">
        <v>193745.66</v>
      </c>
      <c r="M14" s="182">
        <v>193745.66</v>
      </c>
      <c r="N14" s="182">
        <v>193745.66</v>
      </c>
      <c r="O14" s="182">
        <v>193745.66</v>
      </c>
      <c r="P14" s="182">
        <v>193745.66</v>
      </c>
      <c r="Q14" s="186">
        <v>196121.7</v>
      </c>
      <c r="R14" s="186">
        <v>196121.7</v>
      </c>
      <c r="S14" s="186">
        <v>196121.7</v>
      </c>
      <c r="T14" s="186">
        <v>196121.7</v>
      </c>
      <c r="U14" s="186">
        <v>196121.7</v>
      </c>
      <c r="V14" s="186">
        <v>196121.7</v>
      </c>
      <c r="W14" s="186">
        <v>196121.7</v>
      </c>
      <c r="X14" s="182">
        <v>198108.32</v>
      </c>
      <c r="Y14" s="182">
        <v>198108.32</v>
      </c>
      <c r="Z14" s="182">
        <v>198108.32</v>
      </c>
      <c r="AA14" s="182">
        <v>198108.32</v>
      </c>
      <c r="AB14" s="182">
        <v>198108.32</v>
      </c>
      <c r="AC14" s="182">
        <v>198108.32</v>
      </c>
      <c r="AD14" s="182">
        <v>198108.32</v>
      </c>
      <c r="AE14" s="182">
        <v>199872.86</v>
      </c>
      <c r="AF14" s="182">
        <v>199872.86</v>
      </c>
      <c r="AG14" s="200"/>
      <c r="AH14" s="182">
        <v>190262.55</v>
      </c>
    </row>
    <row r="15" spans="1:39" ht="26.1" customHeight="1">
      <c r="A15" s="87" t="s">
        <v>67</v>
      </c>
      <c r="B15" s="183">
        <v>1132</v>
      </c>
      <c r="C15" s="183">
        <v>1132</v>
      </c>
      <c r="D15" s="183">
        <v>1132</v>
      </c>
      <c r="E15" s="183">
        <v>1132</v>
      </c>
      <c r="F15" s="183">
        <v>1132</v>
      </c>
      <c r="G15" s="183">
        <v>1132</v>
      </c>
      <c r="H15" s="183">
        <v>1132</v>
      </c>
      <c r="I15" s="183">
        <v>1132</v>
      </c>
      <c r="J15" s="183">
        <v>1132</v>
      </c>
      <c r="K15" s="183">
        <v>1132</v>
      </c>
      <c r="L15" s="183">
        <v>1132</v>
      </c>
      <c r="M15" s="183">
        <v>1132</v>
      </c>
      <c r="N15" s="183">
        <v>1132</v>
      </c>
      <c r="O15" s="183">
        <v>1132</v>
      </c>
      <c r="P15" s="183">
        <v>1132</v>
      </c>
      <c r="Q15" s="183">
        <v>1132</v>
      </c>
      <c r="R15" s="183">
        <v>1132</v>
      </c>
      <c r="S15" s="183">
        <v>1132</v>
      </c>
      <c r="T15" s="183">
        <v>1132</v>
      </c>
      <c r="U15" s="183">
        <v>1132</v>
      </c>
      <c r="V15" s="183">
        <v>1132</v>
      </c>
      <c r="W15" s="183">
        <v>1132</v>
      </c>
      <c r="X15" s="183">
        <v>1132</v>
      </c>
      <c r="Y15" s="183">
        <v>1132</v>
      </c>
      <c r="Z15" s="183">
        <v>1132</v>
      </c>
      <c r="AA15" s="183">
        <v>1132</v>
      </c>
      <c r="AB15" s="183">
        <v>1132</v>
      </c>
      <c r="AC15" s="183">
        <v>1132</v>
      </c>
      <c r="AD15" s="183">
        <v>1132</v>
      </c>
      <c r="AE15" s="183">
        <v>1132</v>
      </c>
      <c r="AF15" s="183">
        <v>1132</v>
      </c>
      <c r="AG15" s="202"/>
      <c r="AH15" s="183">
        <v>1132</v>
      </c>
    </row>
    <row r="16" spans="1:39" ht="25.5">
      <c r="A16" s="87" t="s">
        <v>68</v>
      </c>
      <c r="B16" s="183">
        <v>4587</v>
      </c>
      <c r="C16" s="183">
        <v>4587</v>
      </c>
      <c r="D16" s="183">
        <v>4587</v>
      </c>
      <c r="E16" s="183">
        <v>4587</v>
      </c>
      <c r="F16" s="183">
        <v>4587</v>
      </c>
      <c r="G16" s="183">
        <v>4587</v>
      </c>
      <c r="H16" s="183">
        <v>4587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183">
        <v>4587</v>
      </c>
      <c r="AE16" s="183">
        <v>4587</v>
      </c>
      <c r="AF16" s="183">
        <v>4587</v>
      </c>
      <c r="AG16" s="202"/>
      <c r="AH16" s="183">
        <v>4587</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203"/>
      <c r="AH17" s="162"/>
    </row>
    <row r="18" spans="1:34" ht="21.6" customHeight="1">
      <c r="A18" s="87"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215" t="s">
        <v>106</v>
      </c>
      <c r="AC18" s="215" t="s">
        <v>106</v>
      </c>
      <c r="AD18" s="215" t="s">
        <v>106</v>
      </c>
      <c r="AE18" s="215" t="s">
        <v>106</v>
      </c>
      <c r="AF18" s="181" t="s">
        <v>106</v>
      </c>
      <c r="AG18" s="192"/>
      <c r="AH18" s="181" t="s">
        <v>106</v>
      </c>
    </row>
    <row r="19" spans="1:34" ht="26.1" customHeight="1">
      <c r="A19" s="127" t="s">
        <v>70</v>
      </c>
      <c r="B19" s="186">
        <v>54386.1</v>
      </c>
      <c r="C19" s="186">
        <v>54428.5</v>
      </c>
      <c r="D19" s="186">
        <v>54476.1</v>
      </c>
      <c r="E19" s="186">
        <v>54546.3</v>
      </c>
      <c r="F19" s="186">
        <v>54615.8</v>
      </c>
      <c r="G19" s="186">
        <v>54687.7</v>
      </c>
      <c r="H19" s="186">
        <v>54752.4</v>
      </c>
      <c r="I19" s="186">
        <v>54821.3</v>
      </c>
      <c r="J19" s="186">
        <v>54865.8</v>
      </c>
      <c r="K19" s="186">
        <v>54934.7</v>
      </c>
      <c r="L19" s="186">
        <v>54978.8</v>
      </c>
      <c r="M19" s="186">
        <v>55031.1</v>
      </c>
      <c r="N19" s="186">
        <v>55079.199999999997</v>
      </c>
      <c r="O19" s="186">
        <v>55138.1</v>
      </c>
      <c r="P19" s="186">
        <v>55195.199999999997</v>
      </c>
      <c r="Q19" s="186">
        <v>55237.599999999999</v>
      </c>
      <c r="R19" s="186">
        <v>55278.8</v>
      </c>
      <c r="S19" s="186">
        <v>55335.5</v>
      </c>
      <c r="T19" s="186">
        <v>55394.1</v>
      </c>
      <c r="U19" s="186">
        <v>55442.5</v>
      </c>
      <c r="V19" s="186">
        <v>55498.8</v>
      </c>
      <c r="W19" s="186">
        <v>55548.800000000003</v>
      </c>
      <c r="X19" s="186">
        <v>55582.9</v>
      </c>
      <c r="Y19" s="186">
        <v>55618.8</v>
      </c>
      <c r="Z19" s="186">
        <v>55673.7</v>
      </c>
      <c r="AA19" s="186">
        <v>55724.1</v>
      </c>
      <c r="AB19" s="186">
        <v>55761.1</v>
      </c>
      <c r="AC19" s="186">
        <v>55796.9</v>
      </c>
      <c r="AD19" s="186">
        <v>55844.5</v>
      </c>
      <c r="AE19" s="186">
        <v>55880.4</v>
      </c>
      <c r="AF19" s="186">
        <v>55918.5</v>
      </c>
      <c r="AG19" s="201"/>
      <c r="AH19" s="186">
        <v>54315.1</v>
      </c>
    </row>
    <row r="20" spans="1:34" ht="39" customHeight="1">
      <c r="A20" s="87" t="s">
        <v>71</v>
      </c>
      <c r="B20" s="183">
        <v>2443993</v>
      </c>
      <c r="C20" s="183">
        <v>2560351</v>
      </c>
      <c r="D20" s="183">
        <v>2616135</v>
      </c>
      <c r="E20" s="183">
        <v>2670370</v>
      </c>
      <c r="F20" s="183">
        <v>2722193</v>
      </c>
      <c r="G20" s="183">
        <v>2773117</v>
      </c>
      <c r="H20" s="183">
        <v>2826667</v>
      </c>
      <c r="I20" s="183">
        <v>2883012</v>
      </c>
      <c r="J20" s="183">
        <v>2944894</v>
      </c>
      <c r="K20" s="183">
        <v>3008199</v>
      </c>
      <c r="L20" s="183">
        <v>3075064</v>
      </c>
      <c r="M20" s="183">
        <v>3147013</v>
      </c>
      <c r="N20" s="183">
        <v>3224055</v>
      </c>
      <c r="O20" s="183">
        <v>3303852</v>
      </c>
      <c r="P20" s="183">
        <v>3386662</v>
      </c>
      <c r="Q20" s="183">
        <v>3477012</v>
      </c>
      <c r="R20" s="183">
        <v>3565305</v>
      </c>
      <c r="S20" s="183">
        <v>3657865</v>
      </c>
      <c r="T20" s="183">
        <v>3752550</v>
      </c>
      <c r="U20" s="183">
        <v>3847136</v>
      </c>
      <c r="V20" s="183">
        <v>3945020</v>
      </c>
      <c r="W20" s="183">
        <v>4045883</v>
      </c>
      <c r="X20" s="183">
        <v>4147196</v>
      </c>
      <c r="Y20" s="183">
        <v>4251183</v>
      </c>
      <c r="Z20" s="183">
        <v>4357178</v>
      </c>
      <c r="AA20" s="183">
        <v>4465320</v>
      </c>
      <c r="AB20" s="183">
        <v>4576010</v>
      </c>
      <c r="AC20" s="183">
        <v>4682591</v>
      </c>
      <c r="AD20" s="183">
        <v>4792020</v>
      </c>
      <c r="AE20" s="183">
        <v>4912388</v>
      </c>
      <c r="AF20" s="183">
        <v>4912388</v>
      </c>
      <c r="AG20" s="206"/>
      <c r="AH20" s="183">
        <v>2443993</v>
      </c>
    </row>
    <row r="21" spans="1:34" ht="25.5">
      <c r="A21" s="87" t="s">
        <v>72</v>
      </c>
      <c r="B21" s="183">
        <v>58877</v>
      </c>
      <c r="C21" s="183">
        <v>60241</v>
      </c>
      <c r="D21" s="183">
        <v>60241</v>
      </c>
      <c r="E21" s="183">
        <v>60241</v>
      </c>
      <c r="F21" s="183">
        <v>60241</v>
      </c>
      <c r="G21" s="183">
        <v>60241</v>
      </c>
      <c r="H21" s="183">
        <v>60241</v>
      </c>
      <c r="I21" s="183">
        <v>60241</v>
      </c>
      <c r="J21" s="183">
        <v>61755</v>
      </c>
      <c r="K21" s="183">
        <v>61755</v>
      </c>
      <c r="L21" s="183">
        <v>61755</v>
      </c>
      <c r="M21" s="183">
        <v>61755</v>
      </c>
      <c r="N21" s="183">
        <v>61755</v>
      </c>
      <c r="O21" s="183">
        <v>61755</v>
      </c>
      <c r="P21" s="183">
        <v>61755</v>
      </c>
      <c r="Q21" s="183">
        <v>63094</v>
      </c>
      <c r="R21" s="183">
        <v>63094</v>
      </c>
      <c r="S21" s="183">
        <v>63094</v>
      </c>
      <c r="T21" s="183">
        <v>63094</v>
      </c>
      <c r="U21" s="183">
        <v>63094</v>
      </c>
      <c r="V21" s="183">
        <v>63094</v>
      </c>
      <c r="W21" s="183">
        <v>63094</v>
      </c>
      <c r="X21" s="183">
        <v>63094</v>
      </c>
      <c r="Y21" s="183">
        <v>63094</v>
      </c>
      <c r="Z21" s="183">
        <v>63094</v>
      </c>
      <c r="AA21" s="183">
        <v>63094</v>
      </c>
      <c r="AB21" s="183">
        <v>63094</v>
      </c>
      <c r="AC21" s="183">
        <v>63094</v>
      </c>
      <c r="AD21" s="183">
        <v>63094</v>
      </c>
      <c r="AE21" s="183">
        <v>65411</v>
      </c>
      <c r="AF21" s="183">
        <v>65411</v>
      </c>
      <c r="AG21" s="201"/>
      <c r="AH21" s="183">
        <v>58877</v>
      </c>
    </row>
    <row r="22" spans="1:34" ht="25.5">
      <c r="A22" s="87" t="s">
        <v>73</v>
      </c>
      <c r="B22" s="183">
        <v>128947</v>
      </c>
      <c r="C22" s="183">
        <v>129203</v>
      </c>
      <c r="D22" s="183">
        <v>129327</v>
      </c>
      <c r="E22" s="183">
        <v>129456</v>
      </c>
      <c r="F22" s="183">
        <v>129592</v>
      </c>
      <c r="G22" s="183">
        <v>129735</v>
      </c>
      <c r="H22" s="183">
        <v>129850</v>
      </c>
      <c r="I22" s="183">
        <v>129850</v>
      </c>
      <c r="J22" s="183">
        <v>129850</v>
      </c>
      <c r="K22" s="183">
        <v>129850</v>
      </c>
      <c r="L22" s="183">
        <v>130355</v>
      </c>
      <c r="M22" s="183">
        <v>130469</v>
      </c>
      <c r="N22" s="183">
        <v>130587</v>
      </c>
      <c r="O22" s="183">
        <v>130708</v>
      </c>
      <c r="P22" s="183">
        <v>130823</v>
      </c>
      <c r="Q22" s="183">
        <v>130934</v>
      </c>
      <c r="R22" s="183">
        <v>131045</v>
      </c>
      <c r="S22" s="183">
        <v>131164</v>
      </c>
      <c r="T22" s="183">
        <v>131281</v>
      </c>
      <c r="U22" s="183">
        <v>131392</v>
      </c>
      <c r="V22" s="183">
        <v>131510</v>
      </c>
      <c r="W22" s="183">
        <v>131510</v>
      </c>
      <c r="X22" s="183">
        <v>131713</v>
      </c>
      <c r="Y22" s="183">
        <v>131795</v>
      </c>
      <c r="Z22" s="183">
        <v>131901</v>
      </c>
      <c r="AA22" s="183">
        <v>132001</v>
      </c>
      <c r="AB22" s="183">
        <v>132081</v>
      </c>
      <c r="AC22" s="183">
        <v>132182</v>
      </c>
      <c r="AD22" s="183">
        <v>132274</v>
      </c>
      <c r="AE22" s="183">
        <v>132386</v>
      </c>
      <c r="AF22" s="183">
        <v>132386</v>
      </c>
      <c r="AG22" s="201">
        <f>AF22-AH22</f>
        <v>3439</v>
      </c>
      <c r="AH22" s="183">
        <v>128947</v>
      </c>
    </row>
    <row r="23" spans="1:34">
      <c r="A23" s="189" t="s">
        <v>136</v>
      </c>
      <c r="B23" s="183">
        <v>1752</v>
      </c>
      <c r="C23" s="183">
        <v>1806</v>
      </c>
      <c r="D23" s="183">
        <v>1806</v>
      </c>
      <c r="E23" s="183">
        <v>1806</v>
      </c>
      <c r="F23" s="183">
        <v>1806</v>
      </c>
      <c r="G23" s="183">
        <v>1806</v>
      </c>
      <c r="H23" s="183">
        <v>1806</v>
      </c>
      <c r="I23" s="183">
        <v>1806</v>
      </c>
      <c r="J23" s="183">
        <v>1856</v>
      </c>
      <c r="K23" s="183">
        <v>1856</v>
      </c>
      <c r="L23" s="183">
        <v>1856</v>
      </c>
      <c r="M23" s="183">
        <v>1856</v>
      </c>
      <c r="N23" s="183">
        <v>1856</v>
      </c>
      <c r="O23" s="183">
        <v>1856</v>
      </c>
      <c r="P23" s="183">
        <v>1856</v>
      </c>
      <c r="Q23" s="183">
        <v>1906</v>
      </c>
      <c r="R23" s="183">
        <v>1906</v>
      </c>
      <c r="S23" s="183">
        <v>1906</v>
      </c>
      <c r="T23" s="183">
        <v>1906</v>
      </c>
      <c r="U23" s="183">
        <v>1906</v>
      </c>
      <c r="V23" s="183">
        <v>1906</v>
      </c>
      <c r="W23" s="183">
        <v>1906</v>
      </c>
      <c r="X23" s="183">
        <v>1955</v>
      </c>
      <c r="Y23" s="183">
        <v>1955</v>
      </c>
      <c r="Z23" s="183">
        <v>1955</v>
      </c>
      <c r="AA23" s="183">
        <v>1955</v>
      </c>
      <c r="AB23" s="183">
        <v>1955</v>
      </c>
      <c r="AC23" s="183">
        <v>1955</v>
      </c>
      <c r="AD23" s="183">
        <v>1955</v>
      </c>
      <c r="AE23" s="183">
        <v>2003</v>
      </c>
      <c r="AF23" s="183">
        <v>2003</v>
      </c>
      <c r="AG23" s="205"/>
      <c r="AH23" s="183">
        <v>1752</v>
      </c>
    </row>
    <row r="24" spans="1:34">
      <c r="A24" s="189" t="s">
        <v>139</v>
      </c>
      <c r="B24" s="183">
        <v>1736</v>
      </c>
      <c r="C24" s="183">
        <v>1784</v>
      </c>
      <c r="D24" s="183">
        <v>1784</v>
      </c>
      <c r="E24" s="183">
        <v>1784</v>
      </c>
      <c r="F24" s="183">
        <v>1784</v>
      </c>
      <c r="G24" s="183">
        <v>1784</v>
      </c>
      <c r="H24" s="183">
        <v>1784</v>
      </c>
      <c r="I24" s="183">
        <v>1784</v>
      </c>
      <c r="J24" s="183">
        <v>1829</v>
      </c>
      <c r="K24" s="183">
        <v>1829</v>
      </c>
      <c r="L24" s="183">
        <v>1829</v>
      </c>
      <c r="M24" s="183">
        <v>1829</v>
      </c>
      <c r="N24" s="183">
        <v>1829</v>
      </c>
      <c r="O24" s="183">
        <v>1829</v>
      </c>
      <c r="P24" s="183">
        <v>1829</v>
      </c>
      <c r="Q24" s="183">
        <v>1874</v>
      </c>
      <c r="R24" s="183">
        <v>1874</v>
      </c>
      <c r="S24" s="183">
        <v>1874</v>
      </c>
      <c r="T24" s="183">
        <v>1874</v>
      </c>
      <c r="U24" s="183">
        <v>1874</v>
      </c>
      <c r="V24" s="183">
        <v>1874</v>
      </c>
      <c r="W24" s="183">
        <v>1874</v>
      </c>
      <c r="X24" s="183">
        <v>1963</v>
      </c>
      <c r="Y24" s="183">
        <v>1963</v>
      </c>
      <c r="Z24" s="183">
        <v>1963</v>
      </c>
      <c r="AA24" s="183">
        <v>1963</v>
      </c>
      <c r="AB24" s="183">
        <v>1963</v>
      </c>
      <c r="AC24" s="183">
        <v>1963</v>
      </c>
      <c r="AD24" s="183">
        <v>1963</v>
      </c>
      <c r="AE24" s="183">
        <v>2052</v>
      </c>
      <c r="AF24" s="183">
        <v>2052</v>
      </c>
      <c r="AG24" s="205"/>
      <c r="AH24" s="183">
        <v>1736</v>
      </c>
    </row>
    <row r="25" spans="1:34">
      <c r="A25" s="189" t="s">
        <v>142</v>
      </c>
      <c r="B25" s="183">
        <v>521</v>
      </c>
      <c r="C25" s="183">
        <v>536</v>
      </c>
      <c r="D25" s="183">
        <v>536</v>
      </c>
      <c r="E25" s="183">
        <v>536</v>
      </c>
      <c r="F25" s="183">
        <v>536</v>
      </c>
      <c r="G25" s="183">
        <v>536</v>
      </c>
      <c r="H25" s="183">
        <v>536</v>
      </c>
      <c r="I25" s="183">
        <v>536</v>
      </c>
      <c r="J25" s="183">
        <v>553</v>
      </c>
      <c r="K25" s="183">
        <v>553</v>
      </c>
      <c r="L25" s="183">
        <v>553</v>
      </c>
      <c r="M25" s="183">
        <v>553</v>
      </c>
      <c r="N25" s="183">
        <v>553</v>
      </c>
      <c r="O25" s="183">
        <v>553</v>
      </c>
      <c r="P25" s="183">
        <v>553</v>
      </c>
      <c r="Q25" s="183">
        <v>571</v>
      </c>
      <c r="R25" s="183">
        <v>571</v>
      </c>
      <c r="S25" s="183">
        <v>571</v>
      </c>
      <c r="T25" s="183">
        <v>571</v>
      </c>
      <c r="U25" s="183">
        <v>571</v>
      </c>
      <c r="V25" s="183">
        <v>571</v>
      </c>
      <c r="W25" s="183">
        <v>571</v>
      </c>
      <c r="X25" s="183">
        <v>586</v>
      </c>
      <c r="Y25" s="183">
        <v>586</v>
      </c>
      <c r="Z25" s="183">
        <v>586</v>
      </c>
      <c r="AA25" s="183">
        <v>586</v>
      </c>
      <c r="AB25" s="183">
        <v>586</v>
      </c>
      <c r="AC25" s="183">
        <v>586</v>
      </c>
      <c r="AD25" s="183">
        <v>586</v>
      </c>
      <c r="AE25" s="183">
        <v>599</v>
      </c>
      <c r="AF25" s="183">
        <v>599</v>
      </c>
      <c r="AG25" s="205"/>
      <c r="AH25" s="183">
        <v>521</v>
      </c>
    </row>
    <row r="26" spans="1:34">
      <c r="A26" s="189" t="s">
        <v>145</v>
      </c>
      <c r="B26" s="183">
        <v>117</v>
      </c>
      <c r="C26" s="183">
        <v>117</v>
      </c>
      <c r="D26" s="183">
        <v>117</v>
      </c>
      <c r="E26" s="183">
        <v>117</v>
      </c>
      <c r="F26" s="183">
        <v>117</v>
      </c>
      <c r="G26" s="183">
        <v>117</v>
      </c>
      <c r="H26" s="183">
        <v>117</v>
      </c>
      <c r="I26" s="183">
        <v>117</v>
      </c>
      <c r="J26" s="183">
        <v>120</v>
      </c>
      <c r="K26" s="183">
        <v>120</v>
      </c>
      <c r="L26" s="183">
        <v>120</v>
      </c>
      <c r="M26" s="183">
        <v>120</v>
      </c>
      <c r="N26" s="183">
        <v>120</v>
      </c>
      <c r="O26" s="183">
        <v>120</v>
      </c>
      <c r="P26" s="183">
        <v>120</v>
      </c>
      <c r="Q26" s="183">
        <v>120</v>
      </c>
      <c r="R26" s="183">
        <v>120</v>
      </c>
      <c r="S26" s="183">
        <v>120</v>
      </c>
      <c r="T26" s="183">
        <v>120</v>
      </c>
      <c r="U26" s="183">
        <v>120</v>
      </c>
      <c r="V26" s="183">
        <v>120</v>
      </c>
      <c r="W26" s="183">
        <v>120</v>
      </c>
      <c r="X26" s="183">
        <v>121</v>
      </c>
      <c r="Y26" s="183">
        <v>121</v>
      </c>
      <c r="Z26" s="183">
        <v>121</v>
      </c>
      <c r="AA26" s="183">
        <v>121</v>
      </c>
      <c r="AB26" s="183">
        <v>121</v>
      </c>
      <c r="AC26" s="183">
        <v>121</v>
      </c>
      <c r="AD26" s="183">
        <v>121</v>
      </c>
      <c r="AE26" s="183">
        <v>121</v>
      </c>
      <c r="AF26" s="183">
        <v>121</v>
      </c>
      <c r="AG26" s="205"/>
      <c r="AH26" s="183">
        <v>117</v>
      </c>
    </row>
    <row r="27" spans="1:34">
      <c r="A27" s="189" t="s">
        <v>148</v>
      </c>
      <c r="B27" s="183">
        <v>2052</v>
      </c>
      <c r="C27" s="183">
        <v>2129</v>
      </c>
      <c r="D27" s="183">
        <v>2129</v>
      </c>
      <c r="E27" s="183">
        <v>2129</v>
      </c>
      <c r="F27" s="183">
        <v>2129</v>
      </c>
      <c r="G27" s="183">
        <v>2129</v>
      </c>
      <c r="H27" s="183">
        <v>2129</v>
      </c>
      <c r="I27" s="183">
        <v>2129</v>
      </c>
      <c r="J27" s="183">
        <v>2197</v>
      </c>
      <c r="K27" s="183">
        <v>2197</v>
      </c>
      <c r="L27" s="183">
        <v>2197</v>
      </c>
      <c r="M27" s="183">
        <v>2197</v>
      </c>
      <c r="N27" s="183">
        <v>2197</v>
      </c>
      <c r="O27" s="183">
        <v>2197</v>
      </c>
      <c r="P27" s="183">
        <v>2197</v>
      </c>
      <c r="Q27" s="183">
        <v>2265</v>
      </c>
      <c r="R27" s="183">
        <v>2265</v>
      </c>
      <c r="S27" s="183">
        <v>2265</v>
      </c>
      <c r="T27" s="183">
        <v>2265</v>
      </c>
      <c r="U27" s="183">
        <v>2265</v>
      </c>
      <c r="V27" s="183">
        <v>2265</v>
      </c>
      <c r="W27" s="183">
        <v>2265</v>
      </c>
      <c r="X27" s="183">
        <v>2336</v>
      </c>
      <c r="Y27" s="183">
        <v>2336</v>
      </c>
      <c r="Z27" s="183">
        <v>2336</v>
      </c>
      <c r="AA27" s="183">
        <v>2336</v>
      </c>
      <c r="AB27" s="183">
        <v>2336</v>
      </c>
      <c r="AC27" s="183">
        <v>2336</v>
      </c>
      <c r="AD27" s="183">
        <v>2336</v>
      </c>
      <c r="AE27" s="183">
        <v>2404</v>
      </c>
      <c r="AF27" s="183">
        <v>2404</v>
      </c>
      <c r="AG27" s="205"/>
      <c r="AH27" s="183">
        <v>2052</v>
      </c>
    </row>
    <row r="28" spans="1:34" ht="15.6" customHeight="1">
      <c r="A28" s="189" t="s">
        <v>151</v>
      </c>
      <c r="B28" s="183">
        <v>382</v>
      </c>
      <c r="C28" s="183">
        <v>394</v>
      </c>
      <c r="D28" s="183">
        <v>394</v>
      </c>
      <c r="E28" s="183">
        <v>394</v>
      </c>
      <c r="F28" s="183">
        <v>394</v>
      </c>
      <c r="G28" s="183">
        <v>394</v>
      </c>
      <c r="H28" s="183">
        <v>394</v>
      </c>
      <c r="I28" s="183">
        <v>394</v>
      </c>
      <c r="J28" s="183">
        <v>405</v>
      </c>
      <c r="K28" s="183">
        <v>405</v>
      </c>
      <c r="L28" s="183">
        <v>405</v>
      </c>
      <c r="M28" s="183">
        <v>405</v>
      </c>
      <c r="N28" s="183">
        <v>405</v>
      </c>
      <c r="O28" s="183">
        <v>405</v>
      </c>
      <c r="P28" s="183">
        <v>405</v>
      </c>
      <c r="Q28" s="183">
        <v>415</v>
      </c>
      <c r="R28" s="183">
        <v>415</v>
      </c>
      <c r="S28" s="183">
        <v>415</v>
      </c>
      <c r="T28" s="183">
        <v>415</v>
      </c>
      <c r="U28" s="183">
        <v>415</v>
      </c>
      <c r="V28" s="183">
        <v>415</v>
      </c>
      <c r="W28" s="183">
        <v>415</v>
      </c>
      <c r="X28" s="183">
        <v>427</v>
      </c>
      <c r="Y28" s="183">
        <v>427</v>
      </c>
      <c r="Z28" s="183">
        <v>427</v>
      </c>
      <c r="AA28" s="183">
        <v>427</v>
      </c>
      <c r="AB28" s="183">
        <v>427</v>
      </c>
      <c r="AC28" s="183">
        <v>427</v>
      </c>
      <c r="AD28" s="183">
        <v>427</v>
      </c>
      <c r="AE28" s="183">
        <v>439</v>
      </c>
      <c r="AF28" s="183">
        <v>439</v>
      </c>
      <c r="AG28" s="205"/>
      <c r="AH28" s="183">
        <v>382</v>
      </c>
    </row>
    <row r="29" spans="1:34">
      <c r="A29" s="189" t="s">
        <v>154</v>
      </c>
      <c r="B29" s="183">
        <v>118</v>
      </c>
      <c r="C29" s="183">
        <v>123</v>
      </c>
      <c r="D29" s="183">
        <v>123</v>
      </c>
      <c r="E29" s="183">
        <v>123</v>
      </c>
      <c r="F29" s="183">
        <v>123</v>
      </c>
      <c r="G29" s="183">
        <v>123</v>
      </c>
      <c r="H29" s="183">
        <v>123</v>
      </c>
      <c r="I29" s="183">
        <v>123</v>
      </c>
      <c r="J29" s="183">
        <v>129</v>
      </c>
      <c r="K29" s="183">
        <v>129</v>
      </c>
      <c r="L29" s="183">
        <v>129</v>
      </c>
      <c r="M29" s="183">
        <v>129</v>
      </c>
      <c r="N29" s="183">
        <v>129</v>
      </c>
      <c r="O29" s="183">
        <v>129</v>
      </c>
      <c r="P29" s="183">
        <v>129</v>
      </c>
      <c r="Q29" s="183">
        <v>139</v>
      </c>
      <c r="R29" s="183">
        <v>139</v>
      </c>
      <c r="S29" s="183">
        <v>139</v>
      </c>
      <c r="T29" s="183">
        <v>139</v>
      </c>
      <c r="U29" s="183">
        <v>139</v>
      </c>
      <c r="V29" s="183">
        <v>139</v>
      </c>
      <c r="W29" s="183">
        <v>139</v>
      </c>
      <c r="X29" s="183">
        <v>143</v>
      </c>
      <c r="Y29" s="183">
        <v>143</v>
      </c>
      <c r="Z29" s="183">
        <v>143</v>
      </c>
      <c r="AA29" s="183">
        <v>143</v>
      </c>
      <c r="AB29" s="183">
        <v>143</v>
      </c>
      <c r="AC29" s="183">
        <v>143</v>
      </c>
      <c r="AD29" s="183">
        <v>143</v>
      </c>
      <c r="AE29" s="183">
        <v>147</v>
      </c>
      <c r="AF29" s="183">
        <v>147</v>
      </c>
      <c r="AG29" s="205"/>
      <c r="AH29" s="183">
        <v>118</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207"/>
      <c r="AH30" s="162"/>
    </row>
    <row r="31" spans="1:34" ht="21.95" customHeight="1">
      <c r="A31" s="87"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215" t="s">
        <v>157</v>
      </c>
      <c r="AC31" s="215" t="s">
        <v>157</v>
      </c>
      <c r="AD31" s="215" t="s">
        <v>157</v>
      </c>
      <c r="AE31" s="215" t="s">
        <v>157</v>
      </c>
      <c r="AF31" s="181" t="s">
        <v>157</v>
      </c>
      <c r="AG31" s="192"/>
      <c r="AH31" s="181" t="s">
        <v>157</v>
      </c>
    </row>
    <row r="32" spans="1:34" ht="25.5">
      <c r="A32" s="127" t="s">
        <v>77</v>
      </c>
      <c r="B32" s="191" t="s">
        <v>158</v>
      </c>
      <c r="C32" s="191" t="s">
        <v>158</v>
      </c>
      <c r="D32" s="191" t="s">
        <v>158</v>
      </c>
      <c r="E32" s="191" t="s">
        <v>158</v>
      </c>
      <c r="F32" s="191" t="s">
        <v>158</v>
      </c>
      <c r="G32" s="191" t="s">
        <v>158</v>
      </c>
      <c r="H32" s="191" t="s">
        <v>158</v>
      </c>
      <c r="I32" s="191" t="s">
        <v>158</v>
      </c>
      <c r="J32" s="191" t="s">
        <v>158</v>
      </c>
      <c r="K32" s="191" t="s">
        <v>158</v>
      </c>
      <c r="L32" s="191" t="s">
        <v>158</v>
      </c>
      <c r="M32" s="191" t="s">
        <v>158</v>
      </c>
      <c r="N32" s="191" t="s">
        <v>158</v>
      </c>
      <c r="O32" s="191" t="s">
        <v>158</v>
      </c>
      <c r="P32" s="191" t="s">
        <v>158</v>
      </c>
      <c r="Q32" s="191" t="s">
        <v>158</v>
      </c>
      <c r="R32" s="191" t="s">
        <v>158</v>
      </c>
      <c r="S32" s="191" t="s">
        <v>158</v>
      </c>
      <c r="T32" s="191" t="s">
        <v>158</v>
      </c>
      <c r="U32" s="191" t="s">
        <v>158</v>
      </c>
      <c r="V32" s="191" t="s">
        <v>158</v>
      </c>
      <c r="W32" s="191" t="s">
        <v>158</v>
      </c>
      <c r="X32" s="191" t="s">
        <v>158</v>
      </c>
      <c r="Y32" s="191" t="s">
        <v>158</v>
      </c>
      <c r="Z32" s="191" t="s">
        <v>158</v>
      </c>
      <c r="AA32" s="191" t="s">
        <v>158</v>
      </c>
      <c r="AB32" s="190" t="s">
        <v>158</v>
      </c>
      <c r="AC32" s="190" t="s">
        <v>158</v>
      </c>
      <c r="AD32" s="190" t="s">
        <v>158</v>
      </c>
      <c r="AE32" s="190" t="s">
        <v>158</v>
      </c>
      <c r="AF32" s="191" t="s">
        <v>158</v>
      </c>
      <c r="AG32" s="209"/>
      <c r="AH32" s="191" t="s">
        <v>158</v>
      </c>
    </row>
    <row r="33" spans="1:34" ht="25.5">
      <c r="A33" s="87" t="s">
        <v>80</v>
      </c>
      <c r="B33" s="187" t="s">
        <v>597</v>
      </c>
      <c r="C33" s="188" t="s">
        <v>501</v>
      </c>
      <c r="D33" s="188" t="s">
        <v>502</v>
      </c>
      <c r="E33" s="188" t="s">
        <v>503</v>
      </c>
      <c r="F33" s="188" t="s">
        <v>503</v>
      </c>
      <c r="G33" s="188" t="s">
        <v>504</v>
      </c>
      <c r="H33" s="188" t="s">
        <v>505</v>
      </c>
      <c r="I33" s="188" t="s">
        <v>507</v>
      </c>
      <c r="J33" s="188" t="s">
        <v>508</v>
      </c>
      <c r="K33" s="188" t="s">
        <v>509</v>
      </c>
      <c r="L33" s="188" t="s">
        <v>511</v>
      </c>
      <c r="M33" s="188" t="s">
        <v>512</v>
      </c>
      <c r="N33" s="188" t="s">
        <v>513</v>
      </c>
      <c r="O33" s="188" t="s">
        <v>514</v>
      </c>
      <c r="P33" s="188" t="s">
        <v>515</v>
      </c>
      <c r="Q33" s="188" t="s">
        <v>515</v>
      </c>
      <c r="R33" s="188" t="s">
        <v>516</v>
      </c>
      <c r="S33" s="188" t="s">
        <v>516</v>
      </c>
      <c r="T33" s="188" t="s">
        <v>517</v>
      </c>
      <c r="U33" s="188" t="s">
        <v>518</v>
      </c>
      <c r="V33" s="188" t="s">
        <v>519</v>
      </c>
      <c r="W33" s="188" t="s">
        <v>520</v>
      </c>
      <c r="X33" s="188" t="s">
        <v>521</v>
      </c>
      <c r="Y33" s="188" t="s">
        <v>522</v>
      </c>
      <c r="Z33" s="188" t="s">
        <v>522</v>
      </c>
      <c r="AA33" s="188" t="s">
        <v>523</v>
      </c>
      <c r="AB33" s="187" t="s">
        <v>524</v>
      </c>
      <c r="AC33" s="187" t="s">
        <v>525</v>
      </c>
      <c r="AD33" s="187" t="s">
        <v>526</v>
      </c>
      <c r="AE33" s="187" t="s">
        <v>527</v>
      </c>
      <c r="AF33" s="187" t="s">
        <v>751</v>
      </c>
      <c r="AG33" s="206"/>
      <c r="AH33" s="188" t="s">
        <v>500</v>
      </c>
    </row>
    <row r="34" spans="1:34" ht="15.75" thickBot="1">
      <c r="A34" s="139" t="s">
        <v>81</v>
      </c>
      <c r="B34" s="187" t="s">
        <v>598</v>
      </c>
      <c r="C34" s="188" t="s">
        <v>478</v>
      </c>
      <c r="D34" s="188" t="s">
        <v>478</v>
      </c>
      <c r="E34" s="188" t="s">
        <v>478</v>
      </c>
      <c r="F34" s="188" t="s">
        <v>478</v>
      </c>
      <c r="G34" s="188" t="s">
        <v>478</v>
      </c>
      <c r="H34" s="188" t="s">
        <v>506</v>
      </c>
      <c r="I34" s="188" t="s">
        <v>506</v>
      </c>
      <c r="J34" s="188" t="s">
        <v>506</v>
      </c>
      <c r="K34" s="188" t="s">
        <v>506</v>
      </c>
      <c r="L34" s="188" t="s">
        <v>506</v>
      </c>
      <c r="M34" s="188" t="s">
        <v>479</v>
      </c>
      <c r="N34" s="188" t="s">
        <v>479</v>
      </c>
      <c r="O34" s="188" t="s">
        <v>529</v>
      </c>
      <c r="P34" s="188" t="s">
        <v>530</v>
      </c>
      <c r="Q34" s="188" t="s">
        <v>530</v>
      </c>
      <c r="R34" s="188" t="s">
        <v>530</v>
      </c>
      <c r="S34" s="188" t="s">
        <v>530</v>
      </c>
      <c r="T34" s="188" t="s">
        <v>530</v>
      </c>
      <c r="U34" s="188" t="s">
        <v>530</v>
      </c>
      <c r="V34" s="188" t="s">
        <v>530</v>
      </c>
      <c r="W34" s="188" t="s">
        <v>530</v>
      </c>
      <c r="X34" s="188" t="s">
        <v>530</v>
      </c>
      <c r="Y34" s="188" t="s">
        <v>530</v>
      </c>
      <c r="Z34" s="188" t="s">
        <v>530</v>
      </c>
      <c r="AA34" s="188" t="s">
        <v>531</v>
      </c>
      <c r="AB34" s="187" t="s">
        <v>531</v>
      </c>
      <c r="AC34" s="187" t="s">
        <v>531</v>
      </c>
      <c r="AD34" s="187" t="s">
        <v>531</v>
      </c>
      <c r="AE34" s="187" t="s">
        <v>531</v>
      </c>
      <c r="AF34" s="188" t="s">
        <v>530</v>
      </c>
      <c r="AG34" s="206"/>
      <c r="AH34" s="188" t="s">
        <v>477</v>
      </c>
    </row>
    <row r="35" spans="1:34">
      <c r="AG35" s="211"/>
    </row>
    <row r="36" spans="1:34">
      <c r="AG36" s="211"/>
    </row>
  </sheetData>
  <mergeCells count="1">
    <mergeCell ref="A1:AH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79954-2D06-41C0-8BEB-903F92529D39}">
  <dimension ref="A1:AL36"/>
  <sheetViews>
    <sheetView topLeftCell="I18" workbookViewId="0">
      <selection activeCell="AF22" sqref="AF22"/>
    </sheetView>
  </sheetViews>
  <sheetFormatPr defaultRowHeight="15"/>
  <cols>
    <col min="1" max="1" width="30.42578125" style="20" customWidth="1"/>
    <col min="2" max="2" width="9.42578125" style="20" customWidth="1"/>
    <col min="3" max="6" width="8.7109375" style="20"/>
    <col min="7" max="7" width="9.28515625" style="20" customWidth="1"/>
    <col min="8" max="17" width="8.7109375" style="20"/>
    <col min="18" max="18" width="9.42578125" style="20" bestFit="1" customWidth="1"/>
    <col min="19" max="19" width="8.7109375" style="174"/>
    <col min="20" max="31" width="8.7109375" style="20"/>
    <col min="32" max="32" width="8.7109375" style="144"/>
    <col min="33" max="33" width="8.7109375" style="20"/>
    <col min="34" max="34" width="11" customWidth="1"/>
    <col min="35" max="35" width="11.42578125" customWidth="1"/>
  </cols>
  <sheetData>
    <row r="1" spans="1:38" ht="15" customHeight="1"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row>
    <row r="2" spans="1:38" ht="14.45" customHeight="1">
      <c r="A2" s="82"/>
      <c r="B2" s="83">
        <v>44501</v>
      </c>
      <c r="C2" s="83">
        <v>44502</v>
      </c>
      <c r="D2" s="83">
        <v>44503</v>
      </c>
      <c r="E2" s="83">
        <v>44504</v>
      </c>
      <c r="F2" s="83">
        <v>44505</v>
      </c>
      <c r="G2" s="83">
        <v>44506</v>
      </c>
      <c r="H2" s="83">
        <v>44507</v>
      </c>
      <c r="I2" s="83">
        <v>44508</v>
      </c>
      <c r="J2" s="83">
        <v>44509</v>
      </c>
      <c r="K2" s="83">
        <v>44510</v>
      </c>
      <c r="L2" s="83">
        <v>44511</v>
      </c>
      <c r="M2" s="83">
        <v>44512</v>
      </c>
      <c r="N2" s="83">
        <v>44513</v>
      </c>
      <c r="O2" s="83">
        <v>44514</v>
      </c>
      <c r="P2" s="83">
        <v>44515</v>
      </c>
      <c r="Q2" s="83">
        <v>44516</v>
      </c>
      <c r="R2" s="83">
        <v>44517</v>
      </c>
      <c r="S2" s="83">
        <v>44518</v>
      </c>
      <c r="T2" s="83">
        <v>44519</v>
      </c>
      <c r="U2" s="83">
        <v>44520</v>
      </c>
      <c r="V2" s="83">
        <v>44521</v>
      </c>
      <c r="W2" s="83">
        <v>44522</v>
      </c>
      <c r="X2" s="83">
        <v>44523</v>
      </c>
      <c r="Y2" s="83">
        <v>44524</v>
      </c>
      <c r="Z2" s="83">
        <v>44525</v>
      </c>
      <c r="AA2" s="83">
        <v>44526</v>
      </c>
      <c r="AB2" s="83">
        <v>44527</v>
      </c>
      <c r="AC2" s="83">
        <v>44528</v>
      </c>
      <c r="AD2" s="83">
        <v>44529</v>
      </c>
      <c r="AE2" s="83">
        <v>44530</v>
      </c>
      <c r="AF2" s="83"/>
      <c r="AG2" s="83">
        <v>44500</v>
      </c>
    </row>
    <row r="3" spans="1:38" ht="12.95" customHeight="1">
      <c r="A3" s="87" t="s">
        <v>51</v>
      </c>
      <c r="B3" s="88" t="s">
        <v>53</v>
      </c>
      <c r="C3" s="88" t="s">
        <v>53</v>
      </c>
      <c r="D3" s="88" t="s">
        <v>53</v>
      </c>
      <c r="E3" s="88" t="s">
        <v>53</v>
      </c>
      <c r="F3" s="88" t="s">
        <v>53</v>
      </c>
      <c r="G3" s="88" t="s">
        <v>53</v>
      </c>
      <c r="H3" s="88" t="s">
        <v>53</v>
      </c>
      <c r="I3" s="88" t="s">
        <v>53</v>
      </c>
      <c r="J3" s="88" t="s">
        <v>53</v>
      </c>
      <c r="K3" s="88" t="s">
        <v>53</v>
      </c>
      <c r="L3" s="88" t="s">
        <v>53</v>
      </c>
      <c r="M3" s="90" t="s">
        <v>53</v>
      </c>
      <c r="N3" s="88" t="s">
        <v>53</v>
      </c>
      <c r="O3" s="88" t="s">
        <v>53</v>
      </c>
      <c r="P3" s="88" t="s">
        <v>53</v>
      </c>
      <c r="Q3" s="88" t="s">
        <v>53</v>
      </c>
      <c r="R3" s="88" t="s">
        <v>53</v>
      </c>
      <c r="S3" s="88" t="s">
        <v>53</v>
      </c>
      <c r="T3" s="88" t="s">
        <v>53</v>
      </c>
      <c r="U3" s="88" t="s">
        <v>53</v>
      </c>
      <c r="V3" s="88" t="s">
        <v>53</v>
      </c>
      <c r="W3" s="88" t="s">
        <v>53</v>
      </c>
      <c r="X3" s="88" t="s">
        <v>52</v>
      </c>
      <c r="Y3" s="88" t="s">
        <v>52</v>
      </c>
      <c r="Z3" s="88" t="s">
        <v>53</v>
      </c>
      <c r="AA3" s="88" t="s">
        <v>52</v>
      </c>
      <c r="AB3" s="88" t="s">
        <v>53</v>
      </c>
      <c r="AC3" s="88" t="s">
        <v>53</v>
      </c>
      <c r="AD3" s="88" t="s">
        <v>53</v>
      </c>
      <c r="AE3" s="88" t="s">
        <v>53</v>
      </c>
      <c r="AF3" s="271"/>
      <c r="AG3" s="88" t="s">
        <v>53</v>
      </c>
    </row>
    <row r="4" spans="1:38" ht="20.100000000000001" customHeight="1">
      <c r="A4" s="94" t="s">
        <v>54</v>
      </c>
      <c r="B4" s="212">
        <v>190817</v>
      </c>
      <c r="C4" s="212">
        <v>191026</v>
      </c>
      <c r="D4" s="212">
        <v>191236</v>
      </c>
      <c r="E4" s="212">
        <v>191435</v>
      </c>
      <c r="F4" s="212">
        <v>191649</v>
      </c>
      <c r="G4" s="212">
        <v>191845</v>
      </c>
      <c r="H4" s="212">
        <v>192038</v>
      </c>
      <c r="I4" s="212">
        <v>192250</v>
      </c>
      <c r="J4" s="212">
        <v>192450</v>
      </c>
      <c r="K4" s="212">
        <v>192664</v>
      </c>
      <c r="L4" s="212">
        <v>192867</v>
      </c>
      <c r="M4" s="212">
        <v>193065</v>
      </c>
      <c r="N4" s="212">
        <v>193258</v>
      </c>
      <c r="O4" s="212">
        <v>193455</v>
      </c>
      <c r="P4" s="212">
        <v>193660</v>
      </c>
      <c r="Q4" s="212">
        <v>193864</v>
      </c>
      <c r="R4" s="212">
        <v>194069</v>
      </c>
      <c r="S4" s="212">
        <v>194273</v>
      </c>
      <c r="T4" s="212">
        <v>194470</v>
      </c>
      <c r="U4" s="212">
        <v>194660</v>
      </c>
      <c r="V4" s="212">
        <v>194858</v>
      </c>
      <c r="W4" s="212">
        <v>195063</v>
      </c>
      <c r="X4" s="212">
        <v>195267</v>
      </c>
      <c r="Y4" s="212">
        <v>195468</v>
      </c>
      <c r="Z4" s="212">
        <v>195672</v>
      </c>
      <c r="AA4" s="212">
        <v>195885</v>
      </c>
      <c r="AB4" s="212">
        <v>196058</v>
      </c>
      <c r="AC4" s="212">
        <v>196261</v>
      </c>
      <c r="AD4" s="212">
        <v>196465</v>
      </c>
      <c r="AE4" s="212">
        <v>196667</v>
      </c>
      <c r="AF4" s="195"/>
      <c r="AG4" s="212">
        <v>190605</v>
      </c>
      <c r="AH4" s="101"/>
      <c r="AI4" s="101"/>
      <c r="AL4" s="102"/>
    </row>
    <row r="5" spans="1:38" ht="20.100000000000001" customHeight="1">
      <c r="A5" s="94" t="s">
        <v>55</v>
      </c>
      <c r="B5" s="212">
        <v>4538590</v>
      </c>
      <c r="C5" s="212">
        <v>4546508</v>
      </c>
      <c r="D5" s="212">
        <v>4554395</v>
      </c>
      <c r="E5" s="212">
        <v>4561804</v>
      </c>
      <c r="F5" s="212">
        <v>4569987</v>
      </c>
      <c r="G5" s="212">
        <v>4577322</v>
      </c>
      <c r="H5" s="212">
        <v>4584591</v>
      </c>
      <c r="I5" s="212">
        <v>4592866</v>
      </c>
      <c r="J5" s="212">
        <v>4600669</v>
      </c>
      <c r="K5" s="212">
        <v>4608941</v>
      </c>
      <c r="L5" s="212">
        <v>4616678</v>
      </c>
      <c r="M5" s="212">
        <v>4623984</v>
      </c>
      <c r="N5" s="212">
        <v>4631166</v>
      </c>
      <c r="O5" s="212">
        <v>4638518</v>
      </c>
      <c r="P5" s="212">
        <v>4646225</v>
      </c>
      <c r="Q5" s="212">
        <v>4653630</v>
      </c>
      <c r="R5" s="212">
        <v>4661736</v>
      </c>
      <c r="S5" s="212">
        <v>4669273</v>
      </c>
      <c r="T5" s="212">
        <v>4676578</v>
      </c>
      <c r="U5" s="212">
        <v>4683692</v>
      </c>
      <c r="V5" s="212">
        <v>4690843</v>
      </c>
      <c r="W5" s="212">
        <v>4698455</v>
      </c>
      <c r="X5" s="212">
        <v>4705841</v>
      </c>
      <c r="Y5" s="212">
        <v>4713210</v>
      </c>
      <c r="Z5" s="212">
        <v>4720579</v>
      </c>
      <c r="AA5" s="212">
        <v>4728628</v>
      </c>
      <c r="AB5" s="212">
        <v>4735742</v>
      </c>
      <c r="AC5" s="212">
        <v>4742247</v>
      </c>
      <c r="AD5" s="212">
        <v>4748746</v>
      </c>
      <c r="AE5" s="212">
        <v>4756951</v>
      </c>
      <c r="AF5" s="195"/>
      <c r="AG5" s="212">
        <v>4530735</v>
      </c>
      <c r="AH5" s="101"/>
      <c r="AI5" s="101"/>
      <c r="AL5" s="102"/>
    </row>
    <row r="6" spans="1:38" ht="20.100000000000001" customHeight="1">
      <c r="A6" s="94" t="s">
        <v>56</v>
      </c>
      <c r="B6" s="212">
        <v>2238679</v>
      </c>
      <c r="C6" s="212">
        <v>2242094</v>
      </c>
      <c r="D6" s="212">
        <v>2245543</v>
      </c>
      <c r="E6" s="212">
        <v>2248546</v>
      </c>
      <c r="F6" s="212">
        <v>2251824</v>
      </c>
      <c r="G6" s="212">
        <v>2254722</v>
      </c>
      <c r="H6" s="212">
        <v>2257637</v>
      </c>
      <c r="I6" s="212">
        <v>2260905</v>
      </c>
      <c r="J6" s="212">
        <v>2263957</v>
      </c>
      <c r="K6" s="212">
        <v>2267233</v>
      </c>
      <c r="L6" s="212">
        <v>2270391</v>
      </c>
      <c r="M6" s="212">
        <v>2273534</v>
      </c>
      <c r="N6" s="212">
        <v>2276541</v>
      </c>
      <c r="O6" s="212">
        <v>2279612</v>
      </c>
      <c r="P6" s="212">
        <v>2282964</v>
      </c>
      <c r="Q6" s="212">
        <v>2286274</v>
      </c>
      <c r="R6" s="212">
        <v>2289600</v>
      </c>
      <c r="S6" s="212">
        <v>2292985</v>
      </c>
      <c r="T6" s="212">
        <v>2296494</v>
      </c>
      <c r="U6" s="212">
        <v>2299704</v>
      </c>
      <c r="V6" s="212">
        <v>2302843</v>
      </c>
      <c r="W6" s="212">
        <v>2306198</v>
      </c>
      <c r="X6" s="212">
        <v>2309451</v>
      </c>
      <c r="Y6" s="212">
        <v>2312664</v>
      </c>
      <c r="Z6" s="212">
        <v>2315900</v>
      </c>
      <c r="AA6" s="212">
        <v>2319302</v>
      </c>
      <c r="AB6" s="212">
        <v>2321926</v>
      </c>
      <c r="AC6" s="212">
        <v>2325085</v>
      </c>
      <c r="AD6" s="212">
        <v>2328294</v>
      </c>
      <c r="AE6" s="212">
        <v>2331398</v>
      </c>
      <c r="AF6" s="195"/>
      <c r="AG6" s="212">
        <v>2235335</v>
      </c>
      <c r="AH6" s="101"/>
      <c r="AI6" s="101"/>
      <c r="AL6" s="102"/>
    </row>
    <row r="7" spans="1:38" ht="20.100000000000001" customHeight="1">
      <c r="A7" s="94" t="s">
        <v>57</v>
      </c>
      <c r="B7" s="212">
        <v>6383134</v>
      </c>
      <c r="C7" s="212">
        <v>6383213</v>
      </c>
      <c r="D7" s="212">
        <v>6383292</v>
      </c>
      <c r="E7" s="212">
        <v>6383367</v>
      </c>
      <c r="F7" s="212">
        <v>6383448</v>
      </c>
      <c r="G7" s="212">
        <v>6384387</v>
      </c>
      <c r="H7" s="212">
        <v>6389916</v>
      </c>
      <c r="I7" s="212">
        <v>6396180</v>
      </c>
      <c r="J7" s="212">
        <v>6401898</v>
      </c>
      <c r="K7" s="212">
        <v>6408043</v>
      </c>
      <c r="L7" s="212">
        <v>6413543</v>
      </c>
      <c r="M7" s="212">
        <v>6419120</v>
      </c>
      <c r="N7" s="212">
        <v>6425521</v>
      </c>
      <c r="O7" s="212">
        <v>6434846</v>
      </c>
      <c r="P7" s="212">
        <v>6444631</v>
      </c>
      <c r="Q7" s="212">
        <v>6454317</v>
      </c>
      <c r="R7" s="212">
        <v>6464161</v>
      </c>
      <c r="S7" s="212">
        <v>6473745</v>
      </c>
      <c r="T7" s="212">
        <v>6482126</v>
      </c>
      <c r="U7" s="212">
        <v>6490514</v>
      </c>
      <c r="V7" s="212">
        <v>6497031</v>
      </c>
      <c r="W7" s="212">
        <v>6503701</v>
      </c>
      <c r="X7" s="212">
        <v>6510392</v>
      </c>
      <c r="Y7" s="212">
        <v>6516872</v>
      </c>
      <c r="Z7" s="212">
        <v>6523052</v>
      </c>
      <c r="AA7" s="212">
        <v>6529927</v>
      </c>
      <c r="AB7" s="212">
        <v>6534678</v>
      </c>
      <c r="AC7" s="212">
        <v>6534760</v>
      </c>
      <c r="AD7" s="212">
        <v>6534841</v>
      </c>
      <c r="AE7" s="212">
        <v>6534919</v>
      </c>
      <c r="AF7" s="195"/>
      <c r="AG7" s="212">
        <v>6383054</v>
      </c>
      <c r="AH7" s="101"/>
      <c r="AI7" s="101"/>
      <c r="AL7" s="102"/>
    </row>
    <row r="8" spans="1:38" ht="20.100000000000001" customHeight="1">
      <c r="A8" s="94" t="s">
        <v>58</v>
      </c>
      <c r="B8" s="212">
        <v>2055436</v>
      </c>
      <c r="C8" s="212">
        <v>2059549</v>
      </c>
      <c r="D8" s="212">
        <v>2063533</v>
      </c>
      <c r="E8" s="212">
        <v>2067218</v>
      </c>
      <c r="F8" s="212">
        <v>2071283</v>
      </c>
      <c r="G8" s="212">
        <v>2074750</v>
      </c>
      <c r="H8" s="212">
        <v>2076483</v>
      </c>
      <c r="I8" s="212">
        <v>2078433</v>
      </c>
      <c r="J8" s="212">
        <v>2080228</v>
      </c>
      <c r="K8" s="212">
        <v>2082123</v>
      </c>
      <c r="L8" s="212">
        <v>2083815</v>
      </c>
      <c r="M8" s="212">
        <v>2085532</v>
      </c>
      <c r="N8" s="212">
        <v>2087025</v>
      </c>
      <c r="O8" s="212">
        <v>2087025</v>
      </c>
      <c r="P8" s="212">
        <v>2087025</v>
      </c>
      <c r="Q8" s="212">
        <v>2087025</v>
      </c>
      <c r="R8" s="212">
        <v>2087025</v>
      </c>
      <c r="S8" s="212">
        <v>2087025</v>
      </c>
      <c r="T8" s="212">
        <v>2087025</v>
      </c>
      <c r="U8" s="212">
        <v>2087025</v>
      </c>
      <c r="V8" s="212">
        <v>2087434</v>
      </c>
      <c r="W8" s="212">
        <v>2088504</v>
      </c>
      <c r="X8" s="212">
        <v>2089546</v>
      </c>
      <c r="Y8" s="212">
        <v>2090553</v>
      </c>
      <c r="Z8" s="212">
        <v>2091541</v>
      </c>
      <c r="AA8" s="212">
        <v>2092249</v>
      </c>
      <c r="AB8" s="212">
        <v>2092916</v>
      </c>
      <c r="AC8" s="212">
        <v>2095999</v>
      </c>
      <c r="AD8" s="212">
        <v>2099119</v>
      </c>
      <c r="AE8" s="212">
        <v>2102170</v>
      </c>
      <c r="AF8" s="195"/>
      <c r="AG8" s="212">
        <v>2051301</v>
      </c>
      <c r="AH8" s="101"/>
      <c r="AI8" s="101"/>
      <c r="AL8" s="102"/>
    </row>
    <row r="9" spans="1:38" ht="20.100000000000001" customHeight="1">
      <c r="A9" s="94" t="s">
        <v>59</v>
      </c>
      <c r="B9" s="214">
        <v>13223085</v>
      </c>
      <c r="C9" s="214">
        <v>13235832</v>
      </c>
      <c r="D9" s="214">
        <v>13248616</v>
      </c>
      <c r="E9" s="214">
        <v>13261133</v>
      </c>
      <c r="F9" s="214">
        <v>13275015</v>
      </c>
      <c r="G9" s="214">
        <v>13288179</v>
      </c>
      <c r="H9" s="214">
        <v>13300816</v>
      </c>
      <c r="I9" s="214">
        <v>13314251</v>
      </c>
      <c r="J9" s="214">
        <v>13326484</v>
      </c>
      <c r="K9" s="214">
        <v>13339597</v>
      </c>
      <c r="L9" s="214">
        <v>13352606</v>
      </c>
      <c r="M9" s="214">
        <v>13365326</v>
      </c>
      <c r="N9" s="214">
        <v>13378494</v>
      </c>
      <c r="O9" s="214">
        <v>13389054</v>
      </c>
      <c r="P9" s="214">
        <v>13400249</v>
      </c>
      <c r="Q9" s="214">
        <v>13411311</v>
      </c>
      <c r="R9" s="214">
        <v>13422419</v>
      </c>
      <c r="S9" s="214">
        <v>13433134</v>
      </c>
      <c r="T9" s="214">
        <v>13443590</v>
      </c>
      <c r="U9" s="214">
        <v>13453669</v>
      </c>
      <c r="V9" s="214">
        <v>13463107</v>
      </c>
      <c r="W9" s="214">
        <v>13474003</v>
      </c>
      <c r="X9" s="214">
        <v>13484816</v>
      </c>
      <c r="Y9" s="214">
        <v>13495587</v>
      </c>
      <c r="Z9" s="214">
        <v>13505826</v>
      </c>
      <c r="AA9" s="214">
        <v>13516056</v>
      </c>
      <c r="AB9" s="214">
        <v>13524307</v>
      </c>
      <c r="AC9" s="214">
        <v>13534750</v>
      </c>
      <c r="AD9" s="214">
        <v>13545338</v>
      </c>
      <c r="AE9" s="214">
        <v>13555351</v>
      </c>
      <c r="AF9" s="197"/>
      <c r="AG9" s="214">
        <v>13210101</v>
      </c>
      <c r="AH9" s="101"/>
      <c r="AI9" s="101"/>
      <c r="AL9" s="102"/>
    </row>
    <row r="10" spans="1:38" ht="20.100000000000001" customHeight="1">
      <c r="A10" s="94" t="s">
        <v>60</v>
      </c>
      <c r="B10" s="212">
        <v>3590814</v>
      </c>
      <c r="C10" s="212">
        <v>3596964</v>
      </c>
      <c r="D10" s="212">
        <v>3603091</v>
      </c>
      <c r="E10" s="212">
        <v>3608842</v>
      </c>
      <c r="F10" s="212">
        <v>3615045</v>
      </c>
      <c r="G10" s="212">
        <v>3621127</v>
      </c>
      <c r="H10" s="212">
        <v>3627048</v>
      </c>
      <c r="I10" s="212">
        <v>3633160</v>
      </c>
      <c r="J10" s="212">
        <v>3639201</v>
      </c>
      <c r="K10" s="212">
        <v>3645565</v>
      </c>
      <c r="L10" s="212">
        <v>3651631</v>
      </c>
      <c r="M10" s="212">
        <v>3657496</v>
      </c>
      <c r="N10" s="212">
        <v>3663306</v>
      </c>
      <c r="O10" s="212">
        <v>3669071</v>
      </c>
      <c r="P10" s="212">
        <v>3675093</v>
      </c>
      <c r="Q10" s="212">
        <v>3680985</v>
      </c>
      <c r="R10" s="212">
        <v>3687343</v>
      </c>
      <c r="S10" s="212">
        <v>3693426</v>
      </c>
      <c r="T10" s="212">
        <v>3699324</v>
      </c>
      <c r="U10" s="212">
        <v>3705017</v>
      </c>
      <c r="V10" s="212">
        <v>3710769</v>
      </c>
      <c r="W10" s="212">
        <v>3716835</v>
      </c>
      <c r="X10" s="212">
        <v>3722747</v>
      </c>
      <c r="Y10" s="212">
        <v>3728632</v>
      </c>
      <c r="Z10" s="212">
        <v>3734326</v>
      </c>
      <c r="AA10" s="212">
        <v>3734326</v>
      </c>
      <c r="AB10" s="212">
        <v>3739926</v>
      </c>
      <c r="AC10" s="212">
        <v>3752233</v>
      </c>
      <c r="AD10" s="212">
        <v>3758235</v>
      </c>
      <c r="AE10" s="212">
        <v>3764106</v>
      </c>
      <c r="AF10" s="195"/>
      <c r="AG10" s="212">
        <v>3584514</v>
      </c>
      <c r="AH10" s="101"/>
      <c r="AI10" s="101"/>
      <c r="AL10" s="102"/>
    </row>
    <row r="11" spans="1:38" ht="22.5" customHeight="1">
      <c r="A11" s="94" t="s">
        <v>61</v>
      </c>
      <c r="B11" s="212">
        <v>151046</v>
      </c>
      <c r="C11" s="212">
        <v>151222</v>
      </c>
      <c r="D11" s="212">
        <v>151403</v>
      </c>
      <c r="E11" s="212">
        <v>151574</v>
      </c>
      <c r="F11" s="212">
        <v>151737</v>
      </c>
      <c r="G11" s="212">
        <v>151889</v>
      </c>
      <c r="H11" s="212">
        <v>152033</v>
      </c>
      <c r="I11" s="212">
        <v>152197</v>
      </c>
      <c r="J11" s="212">
        <v>152351</v>
      </c>
      <c r="K11" s="212">
        <v>152518</v>
      </c>
      <c r="L11" s="212">
        <v>152671</v>
      </c>
      <c r="M11" s="212">
        <v>152822</v>
      </c>
      <c r="N11" s="212">
        <v>152966</v>
      </c>
      <c r="O11" s="212">
        <v>153114</v>
      </c>
      <c r="P11" s="212">
        <v>153272</v>
      </c>
      <c r="Q11" s="212">
        <v>153423</v>
      </c>
      <c r="R11" s="212">
        <v>153598</v>
      </c>
      <c r="S11" s="212">
        <v>153750</v>
      </c>
      <c r="T11" s="212">
        <v>153893</v>
      </c>
      <c r="U11" s="212">
        <v>154029</v>
      </c>
      <c r="V11" s="212">
        <v>154173</v>
      </c>
      <c r="W11" s="212">
        <v>154335</v>
      </c>
      <c r="X11" s="212">
        <v>154489</v>
      </c>
      <c r="Y11" s="212">
        <v>154644</v>
      </c>
      <c r="Z11" s="212">
        <v>154802</v>
      </c>
      <c r="AA11" s="212">
        <v>154965</v>
      </c>
      <c r="AB11" s="212">
        <v>155088</v>
      </c>
      <c r="AC11" s="212">
        <v>155246</v>
      </c>
      <c r="AD11" s="212">
        <v>155403</v>
      </c>
      <c r="AE11" s="212">
        <v>155560</v>
      </c>
      <c r="AF11" s="195"/>
      <c r="AG11" s="212">
        <v>150883</v>
      </c>
      <c r="AH11" s="101"/>
      <c r="AI11" s="101"/>
      <c r="AL11" s="102"/>
    </row>
    <row r="12" spans="1:38" s="109" customFormat="1" ht="18" customHeight="1">
      <c r="A12" s="103" t="s">
        <v>62</v>
      </c>
      <c r="B12" s="162"/>
      <c r="C12" s="162"/>
      <c r="D12" s="162"/>
      <c r="E12" s="162"/>
      <c r="F12" s="162"/>
      <c r="G12" s="162"/>
      <c r="H12" s="162"/>
      <c r="I12" s="162"/>
      <c r="J12" s="162"/>
      <c r="K12" s="162"/>
      <c r="L12" s="232"/>
      <c r="M12" s="162"/>
      <c r="N12" s="162"/>
      <c r="O12" s="162"/>
      <c r="P12" s="162"/>
      <c r="Q12" s="162"/>
      <c r="R12" s="162"/>
      <c r="S12" s="162"/>
      <c r="T12" s="162"/>
      <c r="U12" s="162"/>
      <c r="V12" s="162"/>
      <c r="W12" s="162"/>
      <c r="X12" s="162"/>
      <c r="Y12" s="162"/>
      <c r="Z12" s="162"/>
      <c r="AA12" s="162"/>
      <c r="AB12" s="162"/>
      <c r="AC12" s="162"/>
      <c r="AD12" s="162"/>
      <c r="AE12" s="162"/>
      <c r="AF12" s="198"/>
      <c r="AG12" s="162"/>
    </row>
    <row r="13" spans="1:38" ht="36.6" customHeight="1">
      <c r="A13" s="87" t="s">
        <v>63</v>
      </c>
      <c r="B13" s="262" t="s">
        <v>64</v>
      </c>
      <c r="C13" s="262" t="s">
        <v>64</v>
      </c>
      <c r="D13" s="262" t="s">
        <v>64</v>
      </c>
      <c r="E13" s="262" t="s">
        <v>64</v>
      </c>
      <c r="F13" s="262" t="s">
        <v>64</v>
      </c>
      <c r="G13" s="262" t="s">
        <v>64</v>
      </c>
      <c r="H13" s="262" t="s">
        <v>64</v>
      </c>
      <c r="I13" s="262" t="s">
        <v>64</v>
      </c>
      <c r="J13" s="262" t="s">
        <v>64</v>
      </c>
      <c r="K13" s="262" t="s">
        <v>64</v>
      </c>
      <c r="L13" s="262" t="s">
        <v>64</v>
      </c>
      <c r="M13" s="262" t="s">
        <v>64</v>
      </c>
      <c r="N13" s="262" t="s">
        <v>64</v>
      </c>
      <c r="O13" s="262" t="s">
        <v>64</v>
      </c>
      <c r="P13" s="262" t="s">
        <v>64</v>
      </c>
      <c r="Q13" s="262" t="s">
        <v>64</v>
      </c>
      <c r="R13" s="262" t="s">
        <v>64</v>
      </c>
      <c r="S13" s="262" t="s">
        <v>64</v>
      </c>
      <c r="T13" s="262" t="s">
        <v>64</v>
      </c>
      <c r="U13" s="262" t="s">
        <v>64</v>
      </c>
      <c r="V13" s="262" t="s">
        <v>64</v>
      </c>
      <c r="W13" s="262" t="s">
        <v>64</v>
      </c>
      <c r="X13" s="262" t="s">
        <v>64</v>
      </c>
      <c r="Y13" s="262" t="s">
        <v>64</v>
      </c>
      <c r="Z13" s="262" t="s">
        <v>64</v>
      </c>
      <c r="AA13" s="262" t="s">
        <v>64</v>
      </c>
      <c r="AB13" s="262" t="s">
        <v>64</v>
      </c>
      <c r="AC13" s="181" t="s">
        <v>106</v>
      </c>
      <c r="AD13" s="272" t="s">
        <v>106</v>
      </c>
      <c r="AE13" s="181" t="s">
        <v>106</v>
      </c>
      <c r="AF13" s="263"/>
      <c r="AG13" s="262" t="s">
        <v>64</v>
      </c>
    </row>
    <row r="14" spans="1:38" ht="26.1" customHeight="1">
      <c r="A14" s="87" t="s">
        <v>66</v>
      </c>
      <c r="B14" s="182">
        <v>199872.86</v>
      </c>
      <c r="C14" s="182">
        <v>199872.86</v>
      </c>
      <c r="D14" s="182">
        <v>199872.86</v>
      </c>
      <c r="E14" s="182">
        <v>199872.86</v>
      </c>
      <c r="F14" s="182">
        <v>199872.86</v>
      </c>
      <c r="G14" s="186">
        <v>201599.9</v>
      </c>
      <c r="H14" s="186">
        <v>201599.9</v>
      </c>
      <c r="I14" s="186">
        <v>201599.9</v>
      </c>
      <c r="J14" s="186">
        <v>201599.9</v>
      </c>
      <c r="K14" s="186">
        <v>201599.9</v>
      </c>
      <c r="L14" s="186">
        <v>201599.9</v>
      </c>
      <c r="M14" s="186">
        <v>201599.9</v>
      </c>
      <c r="N14" s="182">
        <v>203358.99</v>
      </c>
      <c r="O14" s="182">
        <v>203358.99</v>
      </c>
      <c r="P14" s="182">
        <v>203358.99</v>
      </c>
      <c r="Q14" s="182">
        <v>203358.99</v>
      </c>
      <c r="R14" s="182">
        <v>203358.99</v>
      </c>
      <c r="S14" s="182">
        <v>203358.99</v>
      </c>
      <c r="T14" s="182">
        <v>203358.99</v>
      </c>
      <c r="U14" s="182">
        <v>204858.56</v>
      </c>
      <c r="V14" s="182">
        <v>204858.56</v>
      </c>
      <c r="W14" s="182">
        <v>204858.56</v>
      </c>
      <c r="X14" s="182">
        <v>204858.56</v>
      </c>
      <c r="Y14" s="182">
        <v>204858.56</v>
      </c>
      <c r="Z14" s="182">
        <v>204858.56</v>
      </c>
      <c r="AA14" s="182">
        <v>204858.56</v>
      </c>
      <c r="AB14" s="182">
        <v>206355.78</v>
      </c>
      <c r="AC14" s="182">
        <v>206355.78</v>
      </c>
      <c r="AD14" s="182">
        <v>206355.78</v>
      </c>
      <c r="AE14" s="182">
        <v>206355.78</v>
      </c>
      <c r="AF14" s="200"/>
      <c r="AG14" s="182">
        <v>199872.86</v>
      </c>
    </row>
    <row r="15" spans="1:38" ht="26.1" customHeight="1">
      <c r="A15" s="87" t="s">
        <v>67</v>
      </c>
      <c r="B15" s="183">
        <v>1132</v>
      </c>
      <c r="C15" s="183">
        <v>1132</v>
      </c>
      <c r="D15" s="183">
        <v>1132</v>
      </c>
      <c r="E15" s="183">
        <v>1132</v>
      </c>
      <c r="F15" s="183">
        <v>1132</v>
      </c>
      <c r="G15" s="183">
        <v>1132</v>
      </c>
      <c r="H15" s="183">
        <v>1132</v>
      </c>
      <c r="I15" s="183">
        <v>1132</v>
      </c>
      <c r="J15" s="183">
        <v>1132</v>
      </c>
      <c r="K15" s="183">
        <v>1132</v>
      </c>
      <c r="L15" s="183">
        <v>1132</v>
      </c>
      <c r="M15" s="183">
        <v>1132</v>
      </c>
      <c r="N15" s="183">
        <v>1132</v>
      </c>
      <c r="O15" s="183">
        <v>1132</v>
      </c>
      <c r="P15" s="183">
        <v>1132</v>
      </c>
      <c r="Q15" s="183">
        <v>1132</v>
      </c>
      <c r="R15" s="183">
        <v>1132</v>
      </c>
      <c r="S15" s="183">
        <v>1132</v>
      </c>
      <c r="T15" s="183">
        <v>1132</v>
      </c>
      <c r="U15" s="183">
        <v>1132</v>
      </c>
      <c r="V15" s="183">
        <v>1132</v>
      </c>
      <c r="W15" s="183">
        <v>1132</v>
      </c>
      <c r="X15" s="183">
        <v>1132</v>
      </c>
      <c r="Y15" s="183">
        <v>1132</v>
      </c>
      <c r="Z15" s="183">
        <v>1132</v>
      </c>
      <c r="AA15" s="183">
        <v>1132</v>
      </c>
      <c r="AB15" s="183">
        <v>1132</v>
      </c>
      <c r="AC15" s="183">
        <v>1132</v>
      </c>
      <c r="AD15" s="183">
        <v>1132</v>
      </c>
      <c r="AE15" s="183">
        <v>1132</v>
      </c>
      <c r="AF15" s="202"/>
      <c r="AG15" s="183">
        <v>1132</v>
      </c>
    </row>
    <row r="16" spans="1:38" ht="25.5">
      <c r="A16" s="87" t="s">
        <v>68</v>
      </c>
      <c r="B16" s="183">
        <v>4587</v>
      </c>
      <c r="C16" s="183">
        <v>4587</v>
      </c>
      <c r="D16" s="183">
        <v>4587</v>
      </c>
      <c r="E16" s="183">
        <v>4587</v>
      </c>
      <c r="F16" s="183">
        <v>4587</v>
      </c>
      <c r="G16" s="183">
        <v>4587</v>
      </c>
      <c r="H16" s="183">
        <v>4587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183">
        <v>4587</v>
      </c>
      <c r="AE16" s="183">
        <v>4587</v>
      </c>
      <c r="AF16" s="202"/>
      <c r="AG16" s="183">
        <v>4587</v>
      </c>
    </row>
    <row r="17" spans="1:33" ht="20.100000000000001" customHeight="1">
      <c r="A17" s="121"/>
      <c r="B17" s="162"/>
      <c r="C17" s="162"/>
      <c r="D17" s="162"/>
      <c r="E17" s="162"/>
      <c r="F17" s="162"/>
      <c r="G17" s="162"/>
      <c r="H17" s="162"/>
      <c r="I17" s="162"/>
      <c r="J17" s="162"/>
      <c r="K17" s="162"/>
      <c r="L17" s="232"/>
      <c r="M17" s="162"/>
      <c r="N17" s="162"/>
      <c r="O17" s="162"/>
      <c r="P17" s="162"/>
      <c r="Q17" s="162"/>
      <c r="R17" s="162"/>
      <c r="S17" s="162"/>
      <c r="T17" s="162"/>
      <c r="U17" s="162"/>
      <c r="V17" s="162"/>
      <c r="W17" s="162"/>
      <c r="X17" s="162"/>
      <c r="Y17" s="162"/>
      <c r="Z17" s="162"/>
      <c r="AA17" s="162"/>
      <c r="AB17" s="162"/>
      <c r="AC17" s="162"/>
      <c r="AD17" s="162"/>
      <c r="AE17" s="162"/>
      <c r="AF17" s="203"/>
      <c r="AG17" s="162"/>
    </row>
    <row r="18" spans="1:33" ht="21.6" customHeight="1">
      <c r="A18" s="87" t="s">
        <v>69</v>
      </c>
      <c r="B18" s="262" t="s">
        <v>64</v>
      </c>
      <c r="C18" s="262" t="s">
        <v>64</v>
      </c>
      <c r="D18" s="262" t="s">
        <v>64</v>
      </c>
      <c r="E18" s="262" t="s">
        <v>64</v>
      </c>
      <c r="F18" s="262" t="s">
        <v>64</v>
      </c>
      <c r="G18" s="262" t="s">
        <v>64</v>
      </c>
      <c r="H18" s="262" t="s">
        <v>64</v>
      </c>
      <c r="I18" s="262" t="s">
        <v>64</v>
      </c>
      <c r="J18" s="262" t="s">
        <v>64</v>
      </c>
      <c r="K18" s="262" t="s">
        <v>64</v>
      </c>
      <c r="L18" s="264" t="s">
        <v>64</v>
      </c>
      <c r="M18" s="262" t="s">
        <v>64</v>
      </c>
      <c r="N18" s="262" t="s">
        <v>64</v>
      </c>
      <c r="O18" s="262" t="s">
        <v>64</v>
      </c>
      <c r="P18" s="262" t="s">
        <v>64</v>
      </c>
      <c r="Q18" s="262" t="s">
        <v>64</v>
      </c>
      <c r="R18" s="262" t="s">
        <v>64</v>
      </c>
      <c r="S18" s="262" t="s">
        <v>64</v>
      </c>
      <c r="T18" s="262" t="s">
        <v>64</v>
      </c>
      <c r="U18" s="262" t="s">
        <v>64</v>
      </c>
      <c r="V18" s="262" t="s">
        <v>64</v>
      </c>
      <c r="W18" s="262" t="s">
        <v>64</v>
      </c>
      <c r="X18" s="262" t="s">
        <v>64</v>
      </c>
      <c r="Y18" s="262" t="s">
        <v>64</v>
      </c>
      <c r="Z18" s="262" t="s">
        <v>64</v>
      </c>
      <c r="AA18" s="262" t="s">
        <v>64</v>
      </c>
      <c r="AB18" s="262" t="s">
        <v>64</v>
      </c>
      <c r="AC18" s="181" t="s">
        <v>106</v>
      </c>
      <c r="AD18" s="272" t="s">
        <v>106</v>
      </c>
      <c r="AE18" s="181" t="s">
        <v>106</v>
      </c>
      <c r="AF18" s="263"/>
      <c r="AG18" s="262" t="s">
        <v>64</v>
      </c>
    </row>
    <row r="19" spans="1:33" ht="26.1" customHeight="1">
      <c r="A19" s="127" t="s">
        <v>70</v>
      </c>
      <c r="B19" s="186">
        <v>55963.6</v>
      </c>
      <c r="C19" s="186">
        <v>56003.7</v>
      </c>
      <c r="D19" s="186">
        <v>56064.3</v>
      </c>
      <c r="E19" s="186">
        <v>56103.7</v>
      </c>
      <c r="F19" s="186">
        <v>56143.9</v>
      </c>
      <c r="G19" s="186">
        <v>56180.1</v>
      </c>
      <c r="H19" s="186">
        <v>56214.2</v>
      </c>
      <c r="I19" s="186">
        <v>56267.199999999997</v>
      </c>
      <c r="J19" s="186">
        <v>56317.4</v>
      </c>
      <c r="K19" s="186">
        <v>56350.5</v>
      </c>
      <c r="L19" s="186">
        <v>56384.9</v>
      </c>
      <c r="M19" s="186">
        <v>56384.9</v>
      </c>
      <c r="N19" s="186">
        <v>56448.6</v>
      </c>
      <c r="O19" s="186">
        <v>56487.199999999997</v>
      </c>
      <c r="P19" s="186">
        <v>56536.5</v>
      </c>
      <c r="Q19" s="186">
        <v>56568.6</v>
      </c>
      <c r="R19" s="186">
        <v>56607.7</v>
      </c>
      <c r="S19" s="186">
        <v>56643.9</v>
      </c>
      <c r="T19" s="186">
        <v>56679.3</v>
      </c>
      <c r="U19" s="186">
        <v>56716.3</v>
      </c>
      <c r="V19" s="186">
        <v>56738.7</v>
      </c>
      <c r="W19" s="186">
        <v>56777.1</v>
      </c>
      <c r="X19" s="186">
        <v>56823.1</v>
      </c>
      <c r="Y19" s="186">
        <v>56856.1</v>
      </c>
      <c r="Z19" s="186">
        <v>56890.400000000001</v>
      </c>
      <c r="AA19" s="186">
        <v>56919.5</v>
      </c>
      <c r="AB19" s="186">
        <v>56935.3</v>
      </c>
      <c r="AC19" s="186">
        <v>56956.4</v>
      </c>
      <c r="AD19" s="186">
        <v>56980.9</v>
      </c>
      <c r="AE19" s="186">
        <v>57017.7</v>
      </c>
      <c r="AF19" s="201"/>
      <c r="AG19" s="186">
        <v>55918.5</v>
      </c>
    </row>
    <row r="20" spans="1:33" ht="39" customHeight="1">
      <c r="A20" s="87" t="s">
        <v>71</v>
      </c>
      <c r="B20" s="183">
        <v>5113876</v>
      </c>
      <c r="C20" s="183">
        <v>5217553</v>
      </c>
      <c r="D20" s="183">
        <v>5321250</v>
      </c>
      <c r="E20" s="183">
        <v>5421657</v>
      </c>
      <c r="F20" s="183">
        <v>5521873</v>
      </c>
      <c r="G20" s="183">
        <v>5628847</v>
      </c>
      <c r="H20" s="183">
        <v>5720376</v>
      </c>
      <c r="I20" s="183">
        <v>5817413</v>
      </c>
      <c r="J20" s="183">
        <v>5912564</v>
      </c>
      <c r="K20" s="183">
        <v>6008687</v>
      </c>
      <c r="L20" s="183">
        <v>6100459</v>
      </c>
      <c r="M20" s="183">
        <v>6193385</v>
      </c>
      <c r="N20" s="183">
        <v>6219783</v>
      </c>
      <c r="O20" s="183">
        <v>6303102</v>
      </c>
      <c r="P20" s="183">
        <v>6341378</v>
      </c>
      <c r="Q20" s="183">
        <v>6423640</v>
      </c>
      <c r="R20" s="183">
        <v>6511521</v>
      </c>
      <c r="S20" s="183">
        <v>6600819</v>
      </c>
      <c r="T20" s="183">
        <v>6688444</v>
      </c>
      <c r="U20" s="183">
        <v>6779295</v>
      </c>
      <c r="V20" s="183">
        <v>6869198</v>
      </c>
      <c r="W20" s="183">
        <v>6955160</v>
      </c>
      <c r="X20" s="183">
        <v>7044642</v>
      </c>
      <c r="Y20" s="183">
        <v>7133078</v>
      </c>
      <c r="Z20" s="183">
        <v>7219509</v>
      </c>
      <c r="AA20" s="183">
        <v>7386911</v>
      </c>
      <c r="AB20" s="183">
        <v>7409002</v>
      </c>
      <c r="AC20" s="183">
        <v>7481762</v>
      </c>
      <c r="AD20" s="183">
        <v>7565977</v>
      </c>
      <c r="AE20" s="183">
        <v>7649410</v>
      </c>
      <c r="AF20" s="206"/>
      <c r="AG20" s="183">
        <v>4912388</v>
      </c>
    </row>
    <row r="21" spans="1:33" ht="25.5">
      <c r="A21" s="87" t="s">
        <v>72</v>
      </c>
      <c r="B21" s="183">
        <v>65411</v>
      </c>
      <c r="C21" s="183">
        <v>65411</v>
      </c>
      <c r="D21" s="183">
        <v>65411</v>
      </c>
      <c r="E21" s="183">
        <v>65411</v>
      </c>
      <c r="F21" s="183">
        <v>65411</v>
      </c>
      <c r="G21" s="183">
        <v>66503</v>
      </c>
      <c r="H21" s="183">
        <v>66503</v>
      </c>
      <c r="I21" s="183">
        <v>66503</v>
      </c>
      <c r="J21" s="183">
        <v>66503</v>
      </c>
      <c r="K21" s="183">
        <v>66503</v>
      </c>
      <c r="L21" s="183">
        <v>66503</v>
      </c>
      <c r="M21" s="183">
        <v>66503</v>
      </c>
      <c r="N21" s="183">
        <v>67479</v>
      </c>
      <c r="O21" s="183">
        <v>67479</v>
      </c>
      <c r="P21" s="183">
        <v>67479</v>
      </c>
      <c r="Q21" s="183">
        <v>67479</v>
      </c>
      <c r="R21" s="183">
        <v>67479</v>
      </c>
      <c r="S21" s="183">
        <v>67479</v>
      </c>
      <c r="T21" s="183">
        <v>67479</v>
      </c>
      <c r="U21" s="183">
        <v>68440</v>
      </c>
      <c r="V21" s="183">
        <v>68440</v>
      </c>
      <c r="W21" s="183">
        <v>68440</v>
      </c>
      <c r="X21" s="183">
        <v>68440</v>
      </c>
      <c r="Y21" s="183">
        <v>68440</v>
      </c>
      <c r="Z21" s="183">
        <v>68440</v>
      </c>
      <c r="AA21" s="183">
        <v>68440</v>
      </c>
      <c r="AB21" s="183">
        <v>69378</v>
      </c>
      <c r="AC21" s="183">
        <v>69378</v>
      </c>
      <c r="AD21" s="183">
        <v>69378</v>
      </c>
      <c r="AE21" s="183">
        <v>69378</v>
      </c>
      <c r="AF21" s="201"/>
      <c r="AG21" s="183">
        <v>65411</v>
      </c>
    </row>
    <row r="22" spans="1:33" ht="25.5">
      <c r="A22" s="87" t="s">
        <v>73</v>
      </c>
      <c r="B22" s="183">
        <v>132565</v>
      </c>
      <c r="C22" s="183">
        <v>132668</v>
      </c>
      <c r="D22" s="183">
        <v>132770</v>
      </c>
      <c r="E22" s="183">
        <v>132866</v>
      </c>
      <c r="F22" s="183">
        <v>132866</v>
      </c>
      <c r="G22" s="183">
        <v>133039</v>
      </c>
      <c r="H22" s="183">
        <v>133132</v>
      </c>
      <c r="I22" s="183">
        <v>133238</v>
      </c>
      <c r="J22" s="183">
        <v>133317</v>
      </c>
      <c r="K22" s="183">
        <v>133406</v>
      </c>
      <c r="L22" s="183">
        <v>133406</v>
      </c>
      <c r="M22" s="183">
        <v>133572</v>
      </c>
      <c r="N22" s="183">
        <v>133657</v>
      </c>
      <c r="O22" s="183">
        <v>133735</v>
      </c>
      <c r="P22" s="183">
        <v>133809</v>
      </c>
      <c r="Q22" s="183">
        <v>133883</v>
      </c>
      <c r="R22" s="183">
        <v>133966</v>
      </c>
      <c r="S22" s="183">
        <v>134042</v>
      </c>
      <c r="T22" s="183">
        <v>134115</v>
      </c>
      <c r="U22" s="183">
        <v>134188</v>
      </c>
      <c r="V22" s="183">
        <v>134253</v>
      </c>
      <c r="W22" s="183">
        <v>134344</v>
      </c>
      <c r="X22" s="183">
        <v>134429</v>
      </c>
      <c r="Y22" s="183">
        <v>134516</v>
      </c>
      <c r="Z22" s="183">
        <v>134595</v>
      </c>
      <c r="AA22" s="183">
        <v>134654</v>
      </c>
      <c r="AB22" s="183">
        <v>134729</v>
      </c>
      <c r="AC22" s="183">
        <v>134780</v>
      </c>
      <c r="AD22" s="183">
        <v>134855</v>
      </c>
      <c r="AE22" s="183">
        <v>134933</v>
      </c>
      <c r="AF22" s="201">
        <f>AE22-AG22</f>
        <v>2547</v>
      </c>
      <c r="AG22" s="183">
        <v>132386</v>
      </c>
    </row>
    <row r="23" spans="1:33">
      <c r="A23" s="189" t="s">
        <v>136</v>
      </c>
      <c r="B23" s="183">
        <v>2003</v>
      </c>
      <c r="C23" s="183">
        <v>2003</v>
      </c>
      <c r="D23" s="183">
        <v>2003</v>
      </c>
      <c r="E23" s="183">
        <v>2003</v>
      </c>
      <c r="F23" s="183">
        <v>2003</v>
      </c>
      <c r="G23" s="183">
        <v>2061</v>
      </c>
      <c r="H23" s="183">
        <v>2061</v>
      </c>
      <c r="I23" s="183">
        <v>2061</v>
      </c>
      <c r="J23" s="183">
        <v>2061</v>
      </c>
      <c r="K23" s="183">
        <v>2061</v>
      </c>
      <c r="L23" s="183">
        <v>2061</v>
      </c>
      <c r="M23" s="183">
        <v>2061</v>
      </c>
      <c r="N23" s="183">
        <v>2115</v>
      </c>
      <c r="O23" s="183">
        <v>2115</v>
      </c>
      <c r="P23" s="183">
        <v>2115</v>
      </c>
      <c r="Q23" s="183">
        <v>2115</v>
      </c>
      <c r="R23" s="183">
        <v>2115</v>
      </c>
      <c r="S23" s="183">
        <v>2115</v>
      </c>
      <c r="T23" s="183">
        <v>2115</v>
      </c>
      <c r="U23" s="183">
        <v>2185</v>
      </c>
      <c r="V23" s="183">
        <v>2185</v>
      </c>
      <c r="W23" s="183">
        <v>2185</v>
      </c>
      <c r="X23" s="183">
        <v>2185</v>
      </c>
      <c r="Y23" s="183">
        <v>2185</v>
      </c>
      <c r="Z23" s="183">
        <v>2185</v>
      </c>
      <c r="AA23" s="183">
        <v>2185</v>
      </c>
      <c r="AB23" s="183">
        <v>2232</v>
      </c>
      <c r="AC23" s="183">
        <v>2232</v>
      </c>
      <c r="AD23" s="183">
        <v>2232</v>
      </c>
      <c r="AE23" s="183">
        <v>2232</v>
      </c>
      <c r="AF23" s="205"/>
      <c r="AG23" s="183">
        <v>2003</v>
      </c>
    </row>
    <row r="24" spans="1:33">
      <c r="A24" s="189" t="s">
        <v>139</v>
      </c>
      <c r="B24" s="183">
        <v>2052</v>
      </c>
      <c r="C24" s="183">
        <v>2052</v>
      </c>
      <c r="D24" s="183">
        <v>2052</v>
      </c>
      <c r="E24" s="183">
        <v>2052</v>
      </c>
      <c r="F24" s="183">
        <v>2052</v>
      </c>
      <c r="G24" s="183">
        <v>2126</v>
      </c>
      <c r="H24" s="183">
        <v>2126</v>
      </c>
      <c r="I24" s="183">
        <v>2126</v>
      </c>
      <c r="J24" s="183">
        <v>2126</v>
      </c>
      <c r="K24" s="183">
        <v>2126</v>
      </c>
      <c r="L24" s="183">
        <v>2126</v>
      </c>
      <c r="M24" s="183">
        <v>2126</v>
      </c>
      <c r="N24" s="183">
        <v>2209</v>
      </c>
      <c r="O24" s="183">
        <v>2209</v>
      </c>
      <c r="P24" s="183">
        <v>2209</v>
      </c>
      <c r="Q24" s="183">
        <v>2209</v>
      </c>
      <c r="R24" s="183">
        <v>2209</v>
      </c>
      <c r="S24" s="183">
        <v>2209</v>
      </c>
      <c r="T24" s="183">
        <v>2209</v>
      </c>
      <c r="U24" s="183">
        <v>2297</v>
      </c>
      <c r="V24" s="183">
        <v>2297</v>
      </c>
      <c r="W24" s="183">
        <v>2297</v>
      </c>
      <c r="X24" s="183">
        <v>2297</v>
      </c>
      <c r="Y24" s="183">
        <v>2297</v>
      </c>
      <c r="Z24" s="183">
        <v>2297</v>
      </c>
      <c r="AA24" s="183">
        <v>2297</v>
      </c>
      <c r="AB24" s="183">
        <v>2398</v>
      </c>
      <c r="AC24" s="183">
        <v>2398</v>
      </c>
      <c r="AD24" s="183">
        <v>2398</v>
      </c>
      <c r="AE24" s="183">
        <v>2398</v>
      </c>
      <c r="AF24" s="205"/>
      <c r="AG24" s="183">
        <v>2052</v>
      </c>
    </row>
    <row r="25" spans="1:33">
      <c r="A25" s="189" t="s">
        <v>142</v>
      </c>
      <c r="B25" s="183">
        <v>599</v>
      </c>
      <c r="C25" s="183">
        <v>599</v>
      </c>
      <c r="D25" s="183">
        <v>599</v>
      </c>
      <c r="E25" s="183">
        <v>599</v>
      </c>
      <c r="F25" s="183">
        <v>599</v>
      </c>
      <c r="G25" s="183">
        <v>616</v>
      </c>
      <c r="H25" s="183">
        <v>616</v>
      </c>
      <c r="I25" s="183">
        <v>616</v>
      </c>
      <c r="J25" s="183">
        <v>616</v>
      </c>
      <c r="K25" s="183">
        <v>616</v>
      </c>
      <c r="L25" s="183">
        <v>616</v>
      </c>
      <c r="M25" s="183">
        <v>616</v>
      </c>
      <c r="N25" s="183">
        <v>635</v>
      </c>
      <c r="O25" s="183">
        <v>635</v>
      </c>
      <c r="P25" s="183">
        <v>635</v>
      </c>
      <c r="Q25" s="183">
        <v>635</v>
      </c>
      <c r="R25" s="183">
        <v>635</v>
      </c>
      <c r="S25" s="183">
        <v>635</v>
      </c>
      <c r="T25" s="183">
        <v>635</v>
      </c>
      <c r="U25" s="183">
        <v>652</v>
      </c>
      <c r="V25" s="183">
        <v>652</v>
      </c>
      <c r="W25" s="183">
        <v>652</v>
      </c>
      <c r="X25" s="183">
        <v>652</v>
      </c>
      <c r="Y25" s="183">
        <v>652</v>
      </c>
      <c r="Z25" s="183">
        <v>652</v>
      </c>
      <c r="AA25" s="183">
        <v>652</v>
      </c>
      <c r="AB25" s="183">
        <v>671</v>
      </c>
      <c r="AC25" s="183">
        <v>671</v>
      </c>
      <c r="AD25" s="183">
        <v>671</v>
      </c>
      <c r="AE25" s="183">
        <v>671</v>
      </c>
      <c r="AF25" s="205"/>
      <c r="AG25" s="183">
        <v>599</v>
      </c>
    </row>
    <row r="26" spans="1:33">
      <c r="A26" s="189" t="s">
        <v>145</v>
      </c>
      <c r="B26" s="183">
        <v>121</v>
      </c>
      <c r="C26" s="183">
        <v>121</v>
      </c>
      <c r="D26" s="183">
        <v>121</v>
      </c>
      <c r="E26" s="183">
        <v>121</v>
      </c>
      <c r="F26" s="183">
        <v>121</v>
      </c>
      <c r="G26" s="183">
        <v>123</v>
      </c>
      <c r="H26" s="183">
        <v>123</v>
      </c>
      <c r="I26" s="183">
        <v>123</v>
      </c>
      <c r="J26" s="183">
        <v>123</v>
      </c>
      <c r="K26" s="183">
        <v>123</v>
      </c>
      <c r="L26" s="183">
        <v>123</v>
      </c>
      <c r="M26" s="183">
        <v>123</v>
      </c>
      <c r="N26" s="183">
        <v>124</v>
      </c>
      <c r="O26" s="183">
        <v>124</v>
      </c>
      <c r="P26" s="183">
        <v>124</v>
      </c>
      <c r="Q26" s="183">
        <v>124</v>
      </c>
      <c r="R26" s="183">
        <v>124</v>
      </c>
      <c r="S26" s="183">
        <v>124</v>
      </c>
      <c r="T26" s="183">
        <v>124</v>
      </c>
      <c r="U26" s="183">
        <v>128</v>
      </c>
      <c r="V26" s="183">
        <v>128</v>
      </c>
      <c r="W26" s="183">
        <v>128</v>
      </c>
      <c r="X26" s="183">
        <v>128</v>
      </c>
      <c r="Y26" s="183">
        <v>128</v>
      </c>
      <c r="Z26" s="183">
        <v>128</v>
      </c>
      <c r="AA26" s="183">
        <v>128</v>
      </c>
      <c r="AB26" s="183">
        <v>129</v>
      </c>
      <c r="AC26" s="183">
        <v>129</v>
      </c>
      <c r="AD26" s="183">
        <v>129</v>
      </c>
      <c r="AE26" s="183">
        <v>129</v>
      </c>
      <c r="AF26" s="205"/>
      <c r="AG26" s="183">
        <v>121</v>
      </c>
    </row>
    <row r="27" spans="1:33">
      <c r="A27" s="189" t="s">
        <v>148</v>
      </c>
      <c r="B27" s="183">
        <v>2404</v>
      </c>
      <c r="C27" s="183">
        <v>2404</v>
      </c>
      <c r="D27" s="183">
        <v>2404</v>
      </c>
      <c r="E27" s="183">
        <v>2404</v>
      </c>
      <c r="F27" s="183">
        <v>2404</v>
      </c>
      <c r="G27" s="183">
        <v>2475</v>
      </c>
      <c r="H27" s="183">
        <v>2475</v>
      </c>
      <c r="I27" s="183">
        <v>2475</v>
      </c>
      <c r="J27" s="183">
        <v>2475</v>
      </c>
      <c r="K27" s="183">
        <v>2475</v>
      </c>
      <c r="L27" s="183">
        <v>2475</v>
      </c>
      <c r="M27" s="183">
        <v>2475</v>
      </c>
      <c r="N27" s="183">
        <v>2533</v>
      </c>
      <c r="O27" s="183">
        <v>2533</v>
      </c>
      <c r="P27" s="183">
        <v>2533</v>
      </c>
      <c r="Q27" s="183">
        <v>2533</v>
      </c>
      <c r="R27" s="183">
        <v>2533</v>
      </c>
      <c r="S27" s="183">
        <v>2533</v>
      </c>
      <c r="T27" s="183">
        <v>2533</v>
      </c>
      <c r="U27" s="183">
        <v>2592</v>
      </c>
      <c r="V27" s="183">
        <v>2592</v>
      </c>
      <c r="W27" s="183">
        <v>2592</v>
      </c>
      <c r="X27" s="183">
        <v>2592</v>
      </c>
      <c r="Y27" s="183">
        <v>2592</v>
      </c>
      <c r="Z27" s="183">
        <v>2592</v>
      </c>
      <c r="AA27" s="183">
        <v>2592</v>
      </c>
      <c r="AB27" s="183">
        <v>2661</v>
      </c>
      <c r="AC27" s="183">
        <v>2661</v>
      </c>
      <c r="AD27" s="183">
        <v>2661</v>
      </c>
      <c r="AE27" s="183">
        <v>2661</v>
      </c>
      <c r="AF27" s="205"/>
      <c r="AG27" s="183">
        <v>2404</v>
      </c>
    </row>
    <row r="28" spans="1:33" ht="15.6" customHeight="1">
      <c r="A28" s="189" t="s">
        <v>151</v>
      </c>
      <c r="B28" s="183">
        <v>439</v>
      </c>
      <c r="C28" s="183">
        <v>439</v>
      </c>
      <c r="D28" s="183">
        <v>439</v>
      </c>
      <c r="E28" s="183">
        <v>439</v>
      </c>
      <c r="F28" s="183">
        <v>439</v>
      </c>
      <c r="G28" s="183">
        <v>449</v>
      </c>
      <c r="H28" s="183">
        <v>449</v>
      </c>
      <c r="I28" s="183">
        <v>449</v>
      </c>
      <c r="J28" s="183">
        <v>449</v>
      </c>
      <c r="K28" s="183">
        <v>449</v>
      </c>
      <c r="L28" s="183">
        <v>449</v>
      </c>
      <c r="M28" s="183">
        <v>449</v>
      </c>
      <c r="N28" s="183">
        <v>459</v>
      </c>
      <c r="O28" s="183">
        <v>459</v>
      </c>
      <c r="P28" s="183">
        <v>459</v>
      </c>
      <c r="Q28" s="183">
        <v>459</v>
      </c>
      <c r="R28" s="183">
        <v>459</v>
      </c>
      <c r="S28" s="183">
        <v>459</v>
      </c>
      <c r="T28" s="183">
        <v>459</v>
      </c>
      <c r="U28" s="183">
        <v>479</v>
      </c>
      <c r="V28" s="183">
        <v>479</v>
      </c>
      <c r="W28" s="183">
        <v>479</v>
      </c>
      <c r="X28" s="183">
        <v>479</v>
      </c>
      <c r="Y28" s="183">
        <v>479</v>
      </c>
      <c r="Z28" s="183">
        <v>479</v>
      </c>
      <c r="AA28" s="183">
        <v>479</v>
      </c>
      <c r="AB28" s="183">
        <v>481</v>
      </c>
      <c r="AC28" s="183">
        <v>481</v>
      </c>
      <c r="AD28" s="183">
        <v>481</v>
      </c>
      <c r="AE28" s="183">
        <v>481</v>
      </c>
      <c r="AF28" s="205"/>
      <c r="AG28" s="183">
        <v>439</v>
      </c>
    </row>
    <row r="29" spans="1:33">
      <c r="A29" s="189" t="s">
        <v>154</v>
      </c>
      <c r="B29" s="183">
        <v>147</v>
      </c>
      <c r="C29" s="183">
        <v>147</v>
      </c>
      <c r="D29" s="183">
        <v>147</v>
      </c>
      <c r="E29" s="183">
        <v>147</v>
      </c>
      <c r="F29" s="183">
        <v>147</v>
      </c>
      <c r="G29" s="183">
        <v>149</v>
      </c>
      <c r="H29" s="183">
        <v>149</v>
      </c>
      <c r="I29" s="183">
        <v>149</v>
      </c>
      <c r="J29" s="183">
        <v>149</v>
      </c>
      <c r="K29" s="183">
        <v>149</v>
      </c>
      <c r="L29" s="183">
        <v>149</v>
      </c>
      <c r="M29" s="183">
        <v>149</v>
      </c>
      <c r="N29" s="183">
        <v>150</v>
      </c>
      <c r="O29" s="183">
        <v>150</v>
      </c>
      <c r="P29" s="183">
        <v>150</v>
      </c>
      <c r="Q29" s="183">
        <v>150</v>
      </c>
      <c r="R29" s="183">
        <v>150</v>
      </c>
      <c r="S29" s="183">
        <v>150</v>
      </c>
      <c r="T29" s="183">
        <v>150</v>
      </c>
      <c r="U29" s="183">
        <v>157</v>
      </c>
      <c r="V29" s="183">
        <v>157</v>
      </c>
      <c r="W29" s="183">
        <v>157</v>
      </c>
      <c r="X29" s="183">
        <v>157</v>
      </c>
      <c r="Y29" s="183">
        <v>157</v>
      </c>
      <c r="Z29" s="183">
        <v>157</v>
      </c>
      <c r="AA29" s="183">
        <v>157</v>
      </c>
      <c r="AB29" s="183">
        <v>157</v>
      </c>
      <c r="AC29" s="183">
        <v>157</v>
      </c>
      <c r="AD29" s="183">
        <v>157</v>
      </c>
      <c r="AE29" s="183">
        <v>157</v>
      </c>
      <c r="AF29" s="205"/>
      <c r="AG29" s="183">
        <v>147</v>
      </c>
    </row>
    <row r="30" spans="1:33">
      <c r="A30" s="138"/>
      <c r="B30" s="162"/>
      <c r="C30" s="162"/>
      <c r="D30" s="162"/>
      <c r="E30" s="162"/>
      <c r="F30" s="162"/>
      <c r="G30" s="162"/>
      <c r="H30" s="162"/>
      <c r="I30" s="162"/>
      <c r="J30" s="162"/>
      <c r="K30" s="162"/>
      <c r="L30" s="232"/>
      <c r="M30" s="162"/>
      <c r="N30" s="162"/>
      <c r="O30" s="162"/>
      <c r="P30" s="162"/>
      <c r="Q30" s="162"/>
      <c r="R30" s="162"/>
      <c r="S30" s="162"/>
      <c r="T30" s="162"/>
      <c r="U30" s="162"/>
      <c r="V30" s="162"/>
      <c r="W30" s="162"/>
      <c r="X30" s="162"/>
      <c r="Y30" s="162"/>
      <c r="Z30" s="162"/>
      <c r="AA30" s="162"/>
      <c r="AB30" s="162"/>
      <c r="AC30" s="162"/>
      <c r="AD30" s="162"/>
      <c r="AE30" s="162"/>
      <c r="AF30" s="207"/>
      <c r="AG30" s="162"/>
    </row>
    <row r="31" spans="1:33" ht="21.95" customHeight="1">
      <c r="A31" s="87" t="s">
        <v>74</v>
      </c>
      <c r="B31" s="262" t="s">
        <v>75</v>
      </c>
      <c r="C31" s="262" t="s">
        <v>75</v>
      </c>
      <c r="D31" s="262" t="s">
        <v>75</v>
      </c>
      <c r="E31" s="262" t="s">
        <v>75</v>
      </c>
      <c r="F31" s="262" t="s">
        <v>75</v>
      </c>
      <c r="G31" s="262" t="s">
        <v>75</v>
      </c>
      <c r="H31" s="262" t="s">
        <v>75</v>
      </c>
      <c r="I31" s="262" t="s">
        <v>75</v>
      </c>
      <c r="J31" s="262" t="s">
        <v>75</v>
      </c>
      <c r="K31" s="262" t="s">
        <v>75</v>
      </c>
      <c r="L31" s="264" t="s">
        <v>75</v>
      </c>
      <c r="M31" s="262" t="s">
        <v>75</v>
      </c>
      <c r="N31" s="262" t="s">
        <v>75</v>
      </c>
      <c r="O31" s="262" t="s">
        <v>75</v>
      </c>
      <c r="P31" s="262" t="s">
        <v>75</v>
      </c>
      <c r="Q31" s="262" t="s">
        <v>75</v>
      </c>
      <c r="R31" s="262" t="s">
        <v>75</v>
      </c>
      <c r="S31" s="262" t="s">
        <v>75</v>
      </c>
      <c r="T31" s="262" t="s">
        <v>75</v>
      </c>
      <c r="U31" s="262" t="s">
        <v>75</v>
      </c>
      <c r="V31" s="262" t="s">
        <v>75</v>
      </c>
      <c r="W31" s="262" t="s">
        <v>75</v>
      </c>
      <c r="X31" s="262" t="s">
        <v>75</v>
      </c>
      <c r="Y31" s="262" t="s">
        <v>75</v>
      </c>
      <c r="Z31" s="262" t="s">
        <v>75</v>
      </c>
      <c r="AA31" s="262" t="s">
        <v>75</v>
      </c>
      <c r="AB31" s="262" t="s">
        <v>75</v>
      </c>
      <c r="AC31" s="181" t="s">
        <v>157</v>
      </c>
      <c r="AD31" s="272" t="s">
        <v>157</v>
      </c>
      <c r="AE31" s="181" t="s">
        <v>157</v>
      </c>
      <c r="AF31" s="263"/>
      <c r="AG31" s="262" t="s">
        <v>75</v>
      </c>
    </row>
    <row r="32" spans="1:33" ht="25.5">
      <c r="A32" s="127" t="s">
        <v>77</v>
      </c>
      <c r="B32" s="273" t="s">
        <v>158</v>
      </c>
      <c r="C32" s="273" t="s">
        <v>158</v>
      </c>
      <c r="D32" s="273" t="s">
        <v>158</v>
      </c>
      <c r="E32" s="273" t="s">
        <v>158</v>
      </c>
      <c r="F32" s="273" t="s">
        <v>158</v>
      </c>
      <c r="G32" s="273" t="s">
        <v>158</v>
      </c>
      <c r="H32" s="273" t="s">
        <v>158</v>
      </c>
      <c r="I32" s="273" t="s">
        <v>158</v>
      </c>
      <c r="J32" s="273" t="s">
        <v>158</v>
      </c>
      <c r="K32" s="273" t="s">
        <v>158</v>
      </c>
      <c r="L32" s="276" t="s">
        <v>158</v>
      </c>
      <c r="M32" s="273" t="s">
        <v>158</v>
      </c>
      <c r="N32" s="273" t="s">
        <v>158</v>
      </c>
      <c r="O32" s="273" t="s">
        <v>158</v>
      </c>
      <c r="P32" s="273" t="s">
        <v>158</v>
      </c>
      <c r="Q32" s="273" t="s">
        <v>158</v>
      </c>
      <c r="R32" s="273" t="s">
        <v>158</v>
      </c>
      <c r="S32" s="273" t="s">
        <v>158</v>
      </c>
      <c r="T32" s="273" t="s">
        <v>158</v>
      </c>
      <c r="U32" s="273" t="s">
        <v>158</v>
      </c>
      <c r="V32" s="273" t="s">
        <v>158</v>
      </c>
      <c r="W32" s="273" t="s">
        <v>158</v>
      </c>
      <c r="X32" s="273" t="s">
        <v>158</v>
      </c>
      <c r="Y32" s="273" t="s">
        <v>158</v>
      </c>
      <c r="Z32" s="273" t="s">
        <v>158</v>
      </c>
      <c r="AA32" s="273" t="s">
        <v>158</v>
      </c>
      <c r="AB32" s="273" t="s">
        <v>158</v>
      </c>
      <c r="AC32" s="190" t="s">
        <v>158</v>
      </c>
      <c r="AD32" s="273" t="s">
        <v>158</v>
      </c>
      <c r="AE32" s="190" t="s">
        <v>158</v>
      </c>
      <c r="AF32" s="209"/>
      <c r="AG32" s="273" t="s">
        <v>158</v>
      </c>
    </row>
    <row r="33" spans="1:33" ht="25.5">
      <c r="A33" s="87" t="s">
        <v>80</v>
      </c>
      <c r="B33" s="187" t="s">
        <v>749</v>
      </c>
      <c r="C33" s="274" t="s">
        <v>532</v>
      </c>
      <c r="D33" s="274" t="s">
        <v>533</v>
      </c>
      <c r="E33" s="274" t="s">
        <v>534</v>
      </c>
      <c r="F33" s="274" t="s">
        <v>535</v>
      </c>
      <c r="G33" s="274" t="s">
        <v>536</v>
      </c>
      <c r="H33" s="274" t="s">
        <v>537</v>
      </c>
      <c r="I33" s="274" t="s">
        <v>538</v>
      </c>
      <c r="J33" s="274" t="s">
        <v>539</v>
      </c>
      <c r="K33" s="274" t="s">
        <v>539</v>
      </c>
      <c r="L33" s="277" t="s">
        <v>540</v>
      </c>
      <c r="M33" s="274" t="s">
        <v>541</v>
      </c>
      <c r="N33" s="274" t="s">
        <v>542</v>
      </c>
      <c r="O33" s="274" t="s">
        <v>542</v>
      </c>
      <c r="P33" s="274" t="s">
        <v>542</v>
      </c>
      <c r="Q33" s="274" t="s">
        <v>543</v>
      </c>
      <c r="R33" s="274" t="s">
        <v>543</v>
      </c>
      <c r="S33" s="274" t="s">
        <v>544</v>
      </c>
      <c r="T33" s="274" t="s">
        <v>545</v>
      </c>
      <c r="U33" s="274" t="s">
        <v>546</v>
      </c>
      <c r="V33" s="274" t="s">
        <v>547</v>
      </c>
      <c r="W33" s="274" t="s">
        <v>548</v>
      </c>
      <c r="X33" s="274" t="s">
        <v>549</v>
      </c>
      <c r="Y33" s="274" t="s">
        <v>550</v>
      </c>
      <c r="Z33" s="274" t="s">
        <v>551</v>
      </c>
      <c r="AA33" s="274" t="s">
        <v>552</v>
      </c>
      <c r="AB33" s="274" t="s">
        <v>553</v>
      </c>
      <c r="AC33" s="187" t="s">
        <v>554</v>
      </c>
      <c r="AD33" s="274" t="s">
        <v>554</v>
      </c>
      <c r="AE33" s="187" t="s">
        <v>555</v>
      </c>
      <c r="AF33" s="206"/>
      <c r="AG33" s="274" t="s">
        <v>528</v>
      </c>
    </row>
    <row r="34" spans="1:33" ht="15.75" thickBot="1">
      <c r="A34" s="139" t="s">
        <v>81</v>
      </c>
      <c r="B34" s="187" t="s">
        <v>750</v>
      </c>
      <c r="C34" s="274" t="s">
        <v>530</v>
      </c>
      <c r="D34" s="274" t="s">
        <v>530</v>
      </c>
      <c r="E34" s="274" t="s">
        <v>530</v>
      </c>
      <c r="F34" s="274" t="s">
        <v>530</v>
      </c>
      <c r="G34" s="274" t="s">
        <v>530</v>
      </c>
      <c r="H34" s="274" t="s">
        <v>530</v>
      </c>
      <c r="I34" s="274" t="s">
        <v>530</v>
      </c>
      <c r="J34" s="274" t="s">
        <v>530</v>
      </c>
      <c r="K34" s="274" t="s">
        <v>530</v>
      </c>
      <c r="L34" s="277" t="s">
        <v>530</v>
      </c>
      <c r="M34" s="274" t="s">
        <v>530</v>
      </c>
      <c r="N34" s="274" t="s">
        <v>530</v>
      </c>
      <c r="O34" s="274" t="s">
        <v>530</v>
      </c>
      <c r="P34" s="274" t="s">
        <v>530</v>
      </c>
      <c r="Q34" s="274" t="s">
        <v>530</v>
      </c>
      <c r="R34" s="274" t="s">
        <v>530</v>
      </c>
      <c r="S34" s="274" t="s">
        <v>530</v>
      </c>
      <c r="T34" s="274" t="s">
        <v>531</v>
      </c>
      <c r="U34" s="274" t="s">
        <v>530</v>
      </c>
      <c r="V34" s="274" t="s">
        <v>556</v>
      </c>
      <c r="W34" s="274" t="s">
        <v>556</v>
      </c>
      <c r="X34" s="274" t="s">
        <v>556</v>
      </c>
      <c r="Y34" s="274" t="s">
        <v>556</v>
      </c>
      <c r="Z34" s="274" t="s">
        <v>556</v>
      </c>
      <c r="AA34" s="274" t="s">
        <v>557</v>
      </c>
      <c r="AB34" s="274" t="s">
        <v>557</v>
      </c>
      <c r="AC34" s="187" t="s">
        <v>557</v>
      </c>
      <c r="AD34" s="274" t="s">
        <v>557</v>
      </c>
      <c r="AE34" s="187" t="s">
        <v>557</v>
      </c>
      <c r="AF34" s="206"/>
      <c r="AG34" s="274" t="s">
        <v>530</v>
      </c>
    </row>
    <row r="35" spans="1:33">
      <c r="AF35" s="211"/>
    </row>
    <row r="36" spans="1:33">
      <c r="AF36" s="211"/>
    </row>
  </sheetData>
  <mergeCells count="1">
    <mergeCell ref="A1:A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8B1B-D894-4D54-93C6-A3C52CC7B18A}">
  <dimension ref="A1:AM36"/>
  <sheetViews>
    <sheetView topLeftCell="R1" workbookViewId="0">
      <selection activeCell="AG23" sqref="AG23"/>
    </sheetView>
  </sheetViews>
  <sheetFormatPr defaultRowHeight="15"/>
  <cols>
    <col min="1" max="1" width="30.42578125" style="20" customWidth="1"/>
    <col min="2" max="2" width="13" style="20" customWidth="1"/>
    <col min="3" max="18" width="12.85546875" style="20" customWidth="1"/>
    <col min="19" max="19" width="12.85546875" style="174" customWidth="1"/>
    <col min="20" max="32" width="12.85546875" style="20" customWidth="1"/>
    <col min="33" max="33" width="8.7109375" style="144"/>
    <col min="34" max="34" width="11.42578125" style="20" customWidth="1"/>
    <col min="35" max="35" width="11" customWidth="1"/>
    <col min="36" max="36" width="11.42578125" customWidth="1"/>
  </cols>
  <sheetData>
    <row r="1" spans="1:39" ht="15" customHeight="1"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4.45" customHeight="1">
      <c r="A2" s="82"/>
      <c r="B2" s="83">
        <v>44531</v>
      </c>
      <c r="C2" s="83">
        <v>44532</v>
      </c>
      <c r="D2" s="83">
        <v>44533</v>
      </c>
      <c r="E2" s="83">
        <v>44534</v>
      </c>
      <c r="F2" s="83">
        <v>44535</v>
      </c>
      <c r="G2" s="83">
        <v>44536</v>
      </c>
      <c r="H2" s="83">
        <v>44537</v>
      </c>
      <c r="I2" s="83">
        <v>44538</v>
      </c>
      <c r="J2" s="83">
        <v>44539</v>
      </c>
      <c r="K2" s="83">
        <v>44540</v>
      </c>
      <c r="L2" s="83">
        <v>44541</v>
      </c>
      <c r="M2" s="83">
        <v>44542</v>
      </c>
      <c r="N2" s="83">
        <v>44543</v>
      </c>
      <c r="O2" s="83">
        <v>44544</v>
      </c>
      <c r="P2" s="83">
        <v>44545</v>
      </c>
      <c r="Q2" s="83">
        <v>44546</v>
      </c>
      <c r="R2" s="83">
        <v>44547</v>
      </c>
      <c r="S2" s="83">
        <v>44548</v>
      </c>
      <c r="T2" s="83">
        <v>44549</v>
      </c>
      <c r="U2" s="83">
        <v>44550</v>
      </c>
      <c r="V2" s="83">
        <v>44551</v>
      </c>
      <c r="W2" s="83">
        <v>44552</v>
      </c>
      <c r="X2" s="83">
        <v>44553</v>
      </c>
      <c r="Y2" s="83">
        <v>44554</v>
      </c>
      <c r="Z2" s="83">
        <v>44555</v>
      </c>
      <c r="AA2" s="83">
        <v>44556</v>
      </c>
      <c r="AB2" s="83">
        <v>44557</v>
      </c>
      <c r="AC2" s="83">
        <v>44558</v>
      </c>
      <c r="AD2" s="83">
        <v>44559</v>
      </c>
      <c r="AE2" s="83">
        <v>44560</v>
      </c>
      <c r="AF2" s="83">
        <v>44561</v>
      </c>
      <c r="AG2" s="83"/>
      <c r="AH2" s="83">
        <v>44530</v>
      </c>
    </row>
    <row r="3" spans="1:39" ht="12.95" customHeight="1">
      <c r="A3" s="87" t="s">
        <v>51</v>
      </c>
      <c r="B3" s="88" t="s">
        <v>53</v>
      </c>
      <c r="C3" s="88" t="s">
        <v>53</v>
      </c>
      <c r="D3" s="88" t="s">
        <v>53</v>
      </c>
      <c r="E3" s="88" t="s">
        <v>53</v>
      </c>
      <c r="F3" s="88" t="s">
        <v>53</v>
      </c>
      <c r="G3" s="88" t="s">
        <v>53</v>
      </c>
      <c r="H3" s="88" t="s">
        <v>53</v>
      </c>
      <c r="I3" s="88" t="s">
        <v>53</v>
      </c>
      <c r="J3" s="88" t="s">
        <v>53</v>
      </c>
      <c r="K3" s="88" t="s">
        <v>53</v>
      </c>
      <c r="L3" s="88" t="s">
        <v>53</v>
      </c>
      <c r="M3" s="90" t="s">
        <v>53</v>
      </c>
      <c r="N3" s="88" t="s">
        <v>53</v>
      </c>
      <c r="O3" s="88" t="s">
        <v>53</v>
      </c>
      <c r="P3" s="88" t="s">
        <v>53</v>
      </c>
      <c r="Q3" s="88" t="s">
        <v>53</v>
      </c>
      <c r="R3" s="88" t="s">
        <v>53</v>
      </c>
      <c r="S3" s="88" t="s">
        <v>53</v>
      </c>
      <c r="T3" s="88" t="s">
        <v>53</v>
      </c>
      <c r="U3" s="88" t="s">
        <v>53</v>
      </c>
      <c r="V3" s="88" t="s">
        <v>53</v>
      </c>
      <c r="W3" s="88" t="s">
        <v>53</v>
      </c>
      <c r="X3" s="88" t="s">
        <v>52</v>
      </c>
      <c r="Y3" s="88" t="s">
        <v>52</v>
      </c>
      <c r="Z3" s="88" t="s">
        <v>53</v>
      </c>
      <c r="AA3" s="88" t="s">
        <v>52</v>
      </c>
      <c r="AB3" s="88" t="s">
        <v>53</v>
      </c>
      <c r="AC3" s="88" t="s">
        <v>53</v>
      </c>
      <c r="AD3" s="88" t="s">
        <v>53</v>
      </c>
      <c r="AE3" s="88" t="s">
        <v>53</v>
      </c>
      <c r="AF3" s="88" t="s">
        <v>53</v>
      </c>
      <c r="AG3" s="271"/>
      <c r="AH3" s="88" t="s">
        <v>53</v>
      </c>
    </row>
    <row r="4" spans="1:39" ht="20.100000000000001" customHeight="1">
      <c r="A4" s="94" t="s">
        <v>54</v>
      </c>
      <c r="B4" s="212">
        <v>196869</v>
      </c>
      <c r="C4" s="212">
        <v>197071</v>
      </c>
      <c r="D4" s="212">
        <v>197267</v>
      </c>
      <c r="E4" s="212">
        <v>197449</v>
      </c>
      <c r="F4" s="212">
        <v>197645</v>
      </c>
      <c r="G4" s="212">
        <v>197846</v>
      </c>
      <c r="H4" s="212">
        <v>198045</v>
      </c>
      <c r="I4" s="212">
        <v>198245</v>
      </c>
      <c r="J4" s="212">
        <v>198446</v>
      </c>
      <c r="K4" s="212">
        <v>198639</v>
      </c>
      <c r="L4" s="212">
        <v>198832</v>
      </c>
      <c r="M4" s="212">
        <v>199035</v>
      </c>
      <c r="N4" s="212">
        <v>199232</v>
      </c>
      <c r="O4" s="212">
        <v>199430</v>
      </c>
      <c r="P4" s="212">
        <v>199626</v>
      </c>
      <c r="Q4" s="212">
        <v>199826</v>
      </c>
      <c r="R4" s="212">
        <v>200023</v>
      </c>
      <c r="S4" s="212">
        <v>200202</v>
      </c>
      <c r="T4" s="212">
        <v>200390</v>
      </c>
      <c r="U4" s="212">
        <v>200589</v>
      </c>
      <c r="V4" s="212">
        <v>200792</v>
      </c>
      <c r="W4" s="212">
        <v>200992</v>
      </c>
      <c r="X4" s="212">
        <v>201189</v>
      </c>
      <c r="Y4" s="212">
        <v>201379</v>
      </c>
      <c r="Z4" s="212">
        <v>201556</v>
      </c>
      <c r="AA4" s="212">
        <v>201752</v>
      </c>
      <c r="AB4" s="212">
        <v>201946</v>
      </c>
      <c r="AC4" s="212">
        <v>202138</v>
      </c>
      <c r="AD4" s="212">
        <v>202336</v>
      </c>
      <c r="AE4" s="212">
        <v>202524</v>
      </c>
      <c r="AF4" s="212">
        <v>202716</v>
      </c>
      <c r="AG4" s="195"/>
      <c r="AH4" s="212">
        <v>196667</v>
      </c>
      <c r="AI4" s="101"/>
      <c r="AJ4" s="101"/>
      <c r="AM4" s="102"/>
    </row>
    <row r="5" spans="1:39" ht="20.100000000000001" customHeight="1">
      <c r="A5" s="94" t="s">
        <v>55</v>
      </c>
      <c r="B5" s="212">
        <v>4764405</v>
      </c>
      <c r="C5" s="212">
        <v>4771850</v>
      </c>
      <c r="D5" s="212">
        <v>4779025</v>
      </c>
      <c r="E5" s="212">
        <v>4785731</v>
      </c>
      <c r="F5" s="212">
        <v>4792668</v>
      </c>
      <c r="G5" s="212">
        <v>4799816</v>
      </c>
      <c r="H5" s="212">
        <v>4806954</v>
      </c>
      <c r="I5" s="212">
        <v>4814132</v>
      </c>
      <c r="J5" s="212">
        <v>4821382</v>
      </c>
      <c r="K5" s="212">
        <v>4828441</v>
      </c>
      <c r="L5" s="212">
        <v>4835315</v>
      </c>
      <c r="M5" s="212">
        <v>4842287</v>
      </c>
      <c r="N5" s="212">
        <v>4849787</v>
      </c>
      <c r="O5" s="212">
        <v>4857073</v>
      </c>
      <c r="P5" s="212">
        <v>4864158</v>
      </c>
      <c r="Q5" s="212">
        <v>4871430</v>
      </c>
      <c r="R5" s="212">
        <v>4878388</v>
      </c>
      <c r="S5" s="212">
        <v>4884758</v>
      </c>
      <c r="T5" s="212">
        <v>4892320</v>
      </c>
      <c r="U5" s="212">
        <v>4899436</v>
      </c>
      <c r="V5" s="212">
        <v>4906624</v>
      </c>
      <c r="W5" s="212">
        <v>4913914</v>
      </c>
      <c r="X5" s="212">
        <v>4920892</v>
      </c>
      <c r="Y5" s="212">
        <v>4927770</v>
      </c>
      <c r="Z5" s="212">
        <v>4934057</v>
      </c>
      <c r="AA5" s="212">
        <v>4941203</v>
      </c>
      <c r="AB5" s="212">
        <v>4948185</v>
      </c>
      <c r="AC5" s="212">
        <v>4955112</v>
      </c>
      <c r="AD5" s="212">
        <v>4962380</v>
      </c>
      <c r="AE5" s="212">
        <v>4969243</v>
      </c>
      <c r="AF5" s="212">
        <v>4976129</v>
      </c>
      <c r="AG5" s="195"/>
      <c r="AH5" s="212">
        <v>4756951</v>
      </c>
      <c r="AI5" s="101"/>
      <c r="AJ5" s="101"/>
      <c r="AM5" s="102"/>
    </row>
    <row r="6" spans="1:39" ht="20.100000000000001" customHeight="1">
      <c r="A6" s="94" t="s">
        <v>56</v>
      </c>
      <c r="B6" s="212">
        <v>2334528</v>
      </c>
      <c r="C6" s="212">
        <v>2337677</v>
      </c>
      <c r="D6" s="212">
        <v>2340714</v>
      </c>
      <c r="E6" s="212">
        <v>2343561</v>
      </c>
      <c r="F6" s="212">
        <v>2346650</v>
      </c>
      <c r="G6" s="212">
        <v>2349821</v>
      </c>
      <c r="H6" s="212">
        <v>2353030</v>
      </c>
      <c r="I6" s="212">
        <v>2356191</v>
      </c>
      <c r="J6" s="212">
        <v>2359412</v>
      </c>
      <c r="K6" s="212">
        <v>2362465</v>
      </c>
      <c r="L6" s="212">
        <v>2365591</v>
      </c>
      <c r="M6" s="212">
        <v>2368804</v>
      </c>
      <c r="N6" s="212">
        <v>2371962</v>
      </c>
      <c r="O6" s="212">
        <v>2375181</v>
      </c>
      <c r="P6" s="212">
        <v>2378294</v>
      </c>
      <c r="Q6" s="212">
        <v>2381479</v>
      </c>
      <c r="R6" s="212">
        <v>2384537</v>
      </c>
      <c r="S6" s="212">
        <v>2387314</v>
      </c>
      <c r="T6" s="212">
        <v>2390157</v>
      </c>
      <c r="U6" s="212">
        <v>2393214</v>
      </c>
      <c r="V6" s="212">
        <v>2396399</v>
      </c>
      <c r="W6" s="212">
        <v>2399548</v>
      </c>
      <c r="X6" s="212">
        <v>2402598</v>
      </c>
      <c r="Y6" s="212">
        <v>2405586</v>
      </c>
      <c r="Z6" s="212">
        <v>2408279</v>
      </c>
      <c r="AA6" s="212">
        <v>2411190</v>
      </c>
      <c r="AB6" s="212">
        <v>2414187</v>
      </c>
      <c r="AC6" s="212">
        <v>2417197</v>
      </c>
      <c r="AD6" s="212">
        <v>2420273</v>
      </c>
      <c r="AE6" s="212">
        <v>2423238</v>
      </c>
      <c r="AF6" s="212">
        <v>2426235</v>
      </c>
      <c r="AG6" s="195"/>
      <c r="AH6" s="212">
        <v>2331398</v>
      </c>
      <c r="AI6" s="101"/>
      <c r="AJ6" s="101"/>
      <c r="AM6" s="102"/>
    </row>
    <row r="7" spans="1:39" ht="20.100000000000001" customHeight="1">
      <c r="A7" s="94" t="s">
        <v>57</v>
      </c>
      <c r="B7" s="212">
        <v>6535002</v>
      </c>
      <c r="C7" s="212">
        <v>6535080</v>
      </c>
      <c r="D7" s="212">
        <v>6535160</v>
      </c>
      <c r="E7" s="212">
        <v>6535834</v>
      </c>
      <c r="F7" s="212">
        <v>6538907</v>
      </c>
      <c r="G7" s="212">
        <v>6543951</v>
      </c>
      <c r="H7" s="212">
        <v>6548947</v>
      </c>
      <c r="I7" s="212">
        <v>6554021</v>
      </c>
      <c r="J7" s="212">
        <v>6559452</v>
      </c>
      <c r="K7" s="212">
        <v>6564781</v>
      </c>
      <c r="L7" s="212">
        <v>6570456</v>
      </c>
      <c r="M7" s="212">
        <v>6579473</v>
      </c>
      <c r="N7" s="212">
        <v>6587990</v>
      </c>
      <c r="O7" s="212">
        <v>6596668</v>
      </c>
      <c r="P7" s="212">
        <v>6605460</v>
      </c>
      <c r="Q7" s="212">
        <v>6614425</v>
      </c>
      <c r="R7" s="212">
        <v>6622722</v>
      </c>
      <c r="S7" s="212">
        <v>6630367</v>
      </c>
      <c r="T7" s="212">
        <v>6637722</v>
      </c>
      <c r="U7" s="212">
        <v>6643717</v>
      </c>
      <c r="V7" s="212">
        <v>6650065</v>
      </c>
      <c r="W7" s="212">
        <v>6656412</v>
      </c>
      <c r="X7" s="212">
        <v>6662850</v>
      </c>
      <c r="Y7" s="212">
        <v>6669258</v>
      </c>
      <c r="Z7" s="212">
        <v>6674580</v>
      </c>
      <c r="AA7" s="212">
        <v>6676502</v>
      </c>
      <c r="AB7" s="212">
        <v>6679101</v>
      </c>
      <c r="AC7" s="212">
        <v>6679178</v>
      </c>
      <c r="AD7" s="212">
        <v>6679258</v>
      </c>
      <c r="AE7" s="212">
        <v>6679333</v>
      </c>
      <c r="AF7" s="212">
        <v>6679410</v>
      </c>
      <c r="AG7" s="195"/>
      <c r="AH7" s="212">
        <v>6534919</v>
      </c>
      <c r="AI7" s="101"/>
      <c r="AJ7" s="101"/>
      <c r="AM7" s="102"/>
    </row>
    <row r="8" spans="1:39" ht="20.100000000000001" customHeight="1">
      <c r="A8" s="94" t="s">
        <v>58</v>
      </c>
      <c r="B8" s="212">
        <v>2105293</v>
      </c>
      <c r="C8" s="212">
        <v>2108350</v>
      </c>
      <c r="D8" s="212">
        <v>2111224</v>
      </c>
      <c r="E8" s="212">
        <v>2113689</v>
      </c>
      <c r="F8" s="212">
        <v>2115363</v>
      </c>
      <c r="G8" s="212">
        <v>2116936</v>
      </c>
      <c r="H8" s="212">
        <v>2118483</v>
      </c>
      <c r="I8" s="212">
        <v>2120058</v>
      </c>
      <c r="J8" s="212">
        <v>2121749</v>
      </c>
      <c r="K8" s="212">
        <v>2123393</v>
      </c>
      <c r="L8" s="212">
        <v>2124781</v>
      </c>
      <c r="M8" s="212">
        <v>2124781</v>
      </c>
      <c r="N8" s="212">
        <v>2124781</v>
      </c>
      <c r="O8" s="212">
        <v>2124781</v>
      </c>
      <c r="P8" s="212">
        <v>2124781</v>
      </c>
      <c r="Q8" s="212">
        <v>2124781</v>
      </c>
      <c r="R8" s="212">
        <v>2124781</v>
      </c>
      <c r="S8" s="212">
        <v>2124828</v>
      </c>
      <c r="T8" s="212">
        <v>2124928</v>
      </c>
      <c r="U8" s="212">
        <v>2125624</v>
      </c>
      <c r="V8" s="212">
        <v>2126551</v>
      </c>
      <c r="W8" s="212">
        <v>2127367</v>
      </c>
      <c r="X8" s="212">
        <v>2127709</v>
      </c>
      <c r="Y8" s="212">
        <v>2127856</v>
      </c>
      <c r="Z8" s="212">
        <v>2128119</v>
      </c>
      <c r="AA8" s="212">
        <v>2130230</v>
      </c>
      <c r="AB8" s="212">
        <v>2132017</v>
      </c>
      <c r="AC8" s="212">
        <v>2134455</v>
      </c>
      <c r="AD8" s="212">
        <v>2137082</v>
      </c>
      <c r="AE8" s="212">
        <v>2139646</v>
      </c>
      <c r="AF8" s="212">
        <v>2142393</v>
      </c>
      <c r="AG8" s="195"/>
      <c r="AH8" s="212">
        <v>2102170</v>
      </c>
      <c r="AI8" s="101"/>
      <c r="AJ8" s="101"/>
      <c r="AM8" s="102"/>
    </row>
    <row r="9" spans="1:39" ht="20.100000000000001" customHeight="1">
      <c r="A9" s="94" t="s">
        <v>59</v>
      </c>
      <c r="B9" s="214">
        <v>13565515</v>
      </c>
      <c r="C9" s="214">
        <v>13576327</v>
      </c>
      <c r="D9" s="214">
        <v>13587384</v>
      </c>
      <c r="E9" s="214">
        <v>13597677</v>
      </c>
      <c r="F9" s="214">
        <v>13608786</v>
      </c>
      <c r="G9" s="214">
        <v>13621343</v>
      </c>
      <c r="H9" s="214">
        <v>13633825</v>
      </c>
      <c r="I9" s="214">
        <v>13646401</v>
      </c>
      <c r="J9" s="214">
        <v>13659010</v>
      </c>
      <c r="K9" s="214">
        <v>13671797</v>
      </c>
      <c r="L9" s="214">
        <v>13684122</v>
      </c>
      <c r="M9" s="214">
        <v>13695386</v>
      </c>
      <c r="N9" s="214">
        <v>13706170</v>
      </c>
      <c r="O9" s="214">
        <v>13716977</v>
      </c>
      <c r="P9" s="214">
        <v>13727785</v>
      </c>
      <c r="Q9" s="214">
        <v>13738639</v>
      </c>
      <c r="R9" s="214">
        <v>13748732</v>
      </c>
      <c r="S9" s="214">
        <v>13758754</v>
      </c>
      <c r="T9" s="214">
        <v>13768236</v>
      </c>
      <c r="U9" s="214">
        <v>13778039</v>
      </c>
      <c r="V9" s="214">
        <v>13788480</v>
      </c>
      <c r="W9" s="214">
        <v>13798639</v>
      </c>
      <c r="X9" s="214">
        <v>13807287</v>
      </c>
      <c r="Y9" s="214">
        <v>13815624</v>
      </c>
      <c r="Z9" s="214">
        <v>13823377</v>
      </c>
      <c r="AA9" s="214">
        <v>13832905</v>
      </c>
      <c r="AB9" s="214">
        <v>13842758</v>
      </c>
      <c r="AC9" s="214">
        <v>13851907</v>
      </c>
      <c r="AD9" s="214">
        <v>13861429</v>
      </c>
      <c r="AE9" s="214">
        <v>13871319</v>
      </c>
      <c r="AF9" s="214">
        <v>13881300</v>
      </c>
      <c r="AG9" s="197"/>
      <c r="AH9" s="214">
        <v>13555351</v>
      </c>
      <c r="AI9" s="101"/>
      <c r="AJ9" s="101"/>
      <c r="AM9" s="102"/>
    </row>
    <row r="10" spans="1:39" ht="20.100000000000001" customHeight="1">
      <c r="A10" s="94" t="s">
        <v>60</v>
      </c>
      <c r="B10" s="212">
        <v>3770048</v>
      </c>
      <c r="C10" s="212">
        <v>3775979</v>
      </c>
      <c r="D10" s="212">
        <v>3781783</v>
      </c>
      <c r="E10" s="212">
        <v>3787312</v>
      </c>
      <c r="F10" s="212">
        <v>3793097</v>
      </c>
      <c r="G10" s="212">
        <v>3798946</v>
      </c>
      <c r="H10" s="212">
        <v>3804797</v>
      </c>
      <c r="I10" s="212">
        <v>3810749</v>
      </c>
      <c r="J10" s="212">
        <v>3816645</v>
      </c>
      <c r="K10" s="212">
        <v>3821854</v>
      </c>
      <c r="L10" s="212">
        <v>3826521</v>
      </c>
      <c r="M10" s="212">
        <v>3833958</v>
      </c>
      <c r="N10" s="212">
        <v>3839784</v>
      </c>
      <c r="O10" s="212">
        <v>3845593</v>
      </c>
      <c r="P10" s="212">
        <v>3851409</v>
      </c>
      <c r="Q10" s="212">
        <v>3857338</v>
      </c>
      <c r="R10" s="212">
        <v>3863128</v>
      </c>
      <c r="S10" s="212">
        <v>3868627</v>
      </c>
      <c r="T10" s="212">
        <v>3874232</v>
      </c>
      <c r="U10" s="212">
        <v>3880065</v>
      </c>
      <c r="V10" s="212">
        <v>3886057</v>
      </c>
      <c r="W10" s="212">
        <v>3892064</v>
      </c>
      <c r="X10" s="212">
        <v>3897918</v>
      </c>
      <c r="Y10" s="212">
        <v>3903650</v>
      </c>
      <c r="Z10" s="212">
        <v>3909092</v>
      </c>
      <c r="AA10" s="212">
        <v>3914855</v>
      </c>
      <c r="AB10" s="212">
        <v>3920602</v>
      </c>
      <c r="AC10" s="212">
        <v>3926312</v>
      </c>
      <c r="AD10" s="212">
        <v>3932152</v>
      </c>
      <c r="AE10" s="212">
        <v>3937698</v>
      </c>
      <c r="AF10" s="212">
        <v>3943332</v>
      </c>
      <c r="AG10" s="195"/>
      <c r="AH10" s="212">
        <v>3764106</v>
      </c>
      <c r="AI10" s="101"/>
      <c r="AJ10" s="101"/>
      <c r="AM10" s="102"/>
    </row>
    <row r="11" spans="1:39" ht="22.5" customHeight="1">
      <c r="A11" s="94" t="s">
        <v>61</v>
      </c>
      <c r="B11" s="212">
        <v>155718</v>
      </c>
      <c r="C11" s="212">
        <v>155874</v>
      </c>
      <c r="D11" s="212">
        <v>156018</v>
      </c>
      <c r="E11" s="212">
        <v>156149</v>
      </c>
      <c r="F11" s="212">
        <v>156298</v>
      </c>
      <c r="G11" s="212">
        <v>156458</v>
      </c>
      <c r="H11" s="212">
        <v>156614</v>
      </c>
      <c r="I11" s="212">
        <v>156769</v>
      </c>
      <c r="J11" s="212">
        <v>156934</v>
      </c>
      <c r="K11" s="212">
        <v>157103</v>
      </c>
      <c r="L11" s="212">
        <v>157265</v>
      </c>
      <c r="M11" s="212">
        <v>157442</v>
      </c>
      <c r="N11" s="212">
        <v>157618</v>
      </c>
      <c r="O11" s="212">
        <v>157790</v>
      </c>
      <c r="P11" s="212">
        <v>157967</v>
      </c>
      <c r="Q11" s="212">
        <v>158148</v>
      </c>
      <c r="R11" s="212">
        <v>158316</v>
      </c>
      <c r="S11" s="212">
        <v>158532</v>
      </c>
      <c r="T11" s="212">
        <v>158637</v>
      </c>
      <c r="U11" s="212">
        <v>158820</v>
      </c>
      <c r="V11" s="212">
        <v>159002</v>
      </c>
      <c r="W11" s="212">
        <v>159179</v>
      </c>
      <c r="X11" s="212">
        <v>159338</v>
      </c>
      <c r="Y11" s="212">
        <v>159489</v>
      </c>
      <c r="Z11" s="212">
        <v>159622</v>
      </c>
      <c r="AA11" s="212">
        <v>159786</v>
      </c>
      <c r="AB11" s="212">
        <v>159939</v>
      </c>
      <c r="AC11" s="212">
        <v>160091</v>
      </c>
      <c r="AD11" s="212">
        <v>160248</v>
      </c>
      <c r="AE11" s="212">
        <v>160395</v>
      </c>
      <c r="AF11" s="212">
        <v>160546</v>
      </c>
      <c r="AG11" s="195"/>
      <c r="AH11" s="212">
        <v>155560</v>
      </c>
      <c r="AI11" s="101"/>
      <c r="AJ11" s="101"/>
      <c r="AM11" s="102"/>
    </row>
    <row r="12" spans="1:39" s="109" customFormat="1" ht="18" customHeight="1">
      <c r="A12" s="103" t="s">
        <v>62</v>
      </c>
      <c r="B12" s="184">
        <f>SUM(B4:B11)</f>
        <v>33427378</v>
      </c>
      <c r="C12" s="184">
        <f t="shared" ref="C12:AF12" si="0">SUM(C4:C11)</f>
        <v>33458208</v>
      </c>
      <c r="D12" s="184">
        <f t="shared" si="0"/>
        <v>33488575</v>
      </c>
      <c r="E12" s="184">
        <f t="shared" si="0"/>
        <v>33517402</v>
      </c>
      <c r="F12" s="184">
        <f t="shared" si="0"/>
        <v>33549414</v>
      </c>
      <c r="G12" s="184">
        <f t="shared" si="0"/>
        <v>33585117</v>
      </c>
      <c r="H12" s="184">
        <f t="shared" si="0"/>
        <v>33620695</v>
      </c>
      <c r="I12" s="184">
        <f t="shared" si="0"/>
        <v>33656566</v>
      </c>
      <c r="J12" s="184">
        <f t="shared" si="0"/>
        <v>33693030</v>
      </c>
      <c r="K12" s="184">
        <f t="shared" si="0"/>
        <v>33728473</v>
      </c>
      <c r="L12" s="184">
        <f t="shared" si="0"/>
        <v>33762883</v>
      </c>
      <c r="M12" s="184">
        <f t="shared" si="0"/>
        <v>33801166</v>
      </c>
      <c r="N12" s="184">
        <f t="shared" si="0"/>
        <v>33837324</v>
      </c>
      <c r="O12" s="184">
        <f t="shared" si="0"/>
        <v>33873493</v>
      </c>
      <c r="P12" s="184">
        <f t="shared" si="0"/>
        <v>33909480</v>
      </c>
      <c r="Q12" s="184">
        <f t="shared" si="0"/>
        <v>33946066</v>
      </c>
      <c r="R12" s="184">
        <f t="shared" si="0"/>
        <v>33980627</v>
      </c>
      <c r="S12" s="184">
        <f t="shared" si="0"/>
        <v>34013382</v>
      </c>
      <c r="T12" s="184">
        <f t="shared" si="0"/>
        <v>34046622</v>
      </c>
      <c r="U12" s="184">
        <f t="shared" si="0"/>
        <v>34079504</v>
      </c>
      <c r="V12" s="184">
        <f t="shared" si="0"/>
        <v>34113970</v>
      </c>
      <c r="W12" s="184">
        <f t="shared" si="0"/>
        <v>34148115</v>
      </c>
      <c r="X12" s="184">
        <f t="shared" si="0"/>
        <v>34179781</v>
      </c>
      <c r="Y12" s="184">
        <f t="shared" si="0"/>
        <v>34210612</v>
      </c>
      <c r="Z12" s="184">
        <f t="shared" si="0"/>
        <v>34238682</v>
      </c>
      <c r="AA12" s="184">
        <f t="shared" si="0"/>
        <v>34268423</v>
      </c>
      <c r="AB12" s="184">
        <f t="shared" si="0"/>
        <v>34298735</v>
      </c>
      <c r="AC12" s="184">
        <f t="shared" si="0"/>
        <v>34326390</v>
      </c>
      <c r="AD12" s="184">
        <f t="shared" si="0"/>
        <v>34355158</v>
      </c>
      <c r="AE12" s="184">
        <f t="shared" si="0"/>
        <v>34383396</v>
      </c>
      <c r="AF12" s="184">
        <f t="shared" si="0"/>
        <v>34412061</v>
      </c>
      <c r="AG12" s="198"/>
      <c r="AH12" s="184">
        <f>SUM(AH4:AH11)</f>
        <v>33397122</v>
      </c>
    </row>
    <row r="13" spans="1:39" ht="36.6" customHeight="1">
      <c r="A13" s="87" t="s">
        <v>63</v>
      </c>
      <c r="B13" s="272" t="s">
        <v>106</v>
      </c>
      <c r="C13" s="272" t="s">
        <v>106</v>
      </c>
      <c r="D13" s="272" t="s">
        <v>106</v>
      </c>
      <c r="E13" s="272" t="s">
        <v>106</v>
      </c>
      <c r="F13" s="272" t="s">
        <v>106</v>
      </c>
      <c r="G13" s="272" t="s">
        <v>106</v>
      </c>
      <c r="H13" s="272" t="s">
        <v>106</v>
      </c>
      <c r="I13" s="272" t="s">
        <v>106</v>
      </c>
      <c r="J13" s="272" t="s">
        <v>106</v>
      </c>
      <c r="K13" s="272" t="s">
        <v>106</v>
      </c>
      <c r="L13" s="272" t="s">
        <v>106</v>
      </c>
      <c r="M13" s="272" t="s">
        <v>106</v>
      </c>
      <c r="N13" s="272" t="s">
        <v>106</v>
      </c>
      <c r="O13" s="272" t="s">
        <v>106</v>
      </c>
      <c r="P13" s="272" t="s">
        <v>106</v>
      </c>
      <c r="Q13" s="272" t="s">
        <v>106</v>
      </c>
      <c r="R13" s="272" t="s">
        <v>106</v>
      </c>
      <c r="S13" s="272" t="s">
        <v>106</v>
      </c>
      <c r="T13" s="272" t="s">
        <v>106</v>
      </c>
      <c r="U13" s="272" t="s">
        <v>106</v>
      </c>
      <c r="V13" s="181" t="s">
        <v>106</v>
      </c>
      <c r="W13" s="181" t="s">
        <v>106</v>
      </c>
      <c r="X13" s="181" t="s">
        <v>106</v>
      </c>
      <c r="Y13" s="262" t="s">
        <v>64</v>
      </c>
      <c r="Z13" s="262" t="s">
        <v>64</v>
      </c>
      <c r="AA13" s="262" t="s">
        <v>64</v>
      </c>
      <c r="AB13" s="181" t="s">
        <v>106</v>
      </c>
      <c r="AC13" s="181" t="s">
        <v>106</v>
      </c>
      <c r="AD13" s="181" t="s">
        <v>106</v>
      </c>
      <c r="AE13" s="181" t="s">
        <v>106</v>
      </c>
      <c r="AF13" s="181" t="s">
        <v>106</v>
      </c>
      <c r="AG13" s="263"/>
      <c r="AH13" s="181" t="s">
        <v>106</v>
      </c>
    </row>
    <row r="14" spans="1:39" ht="26.1" customHeight="1">
      <c r="A14" s="87" t="s">
        <v>66</v>
      </c>
      <c r="B14" s="182">
        <v>206355.78</v>
      </c>
      <c r="C14" s="182">
        <v>206355.78</v>
      </c>
      <c r="D14" s="182">
        <v>206355.78</v>
      </c>
      <c r="E14" s="182">
        <v>207616.32</v>
      </c>
      <c r="F14" s="182">
        <v>207616.32</v>
      </c>
      <c r="G14" s="182">
        <v>207616.32</v>
      </c>
      <c r="H14" s="182">
        <v>207616.32</v>
      </c>
      <c r="I14" s="182">
        <v>207616.32</v>
      </c>
      <c r="J14" s="182">
        <v>207616.32</v>
      </c>
      <c r="K14" s="182">
        <v>207616.32</v>
      </c>
      <c r="L14" s="182">
        <v>209020.83</v>
      </c>
      <c r="M14" s="182">
        <v>209020.83</v>
      </c>
      <c r="N14" s="182">
        <v>209020.83</v>
      </c>
      <c r="O14" s="182">
        <v>209020.83</v>
      </c>
      <c r="P14" s="182">
        <v>209020.83</v>
      </c>
      <c r="Q14" s="182">
        <v>209020.83</v>
      </c>
      <c r="R14" s="182">
        <v>209020.83</v>
      </c>
      <c r="S14" s="182">
        <v>210470.66</v>
      </c>
      <c r="T14" s="182">
        <v>210470.66</v>
      </c>
      <c r="U14" s="182">
        <v>210470.66</v>
      </c>
      <c r="V14" s="182">
        <v>210470.66</v>
      </c>
      <c r="W14" s="182">
        <v>210470.66</v>
      </c>
      <c r="X14" s="182">
        <v>210470.66</v>
      </c>
      <c r="Y14" s="267">
        <v>210470.66</v>
      </c>
      <c r="Z14" s="267">
        <v>211951.43</v>
      </c>
      <c r="AA14" s="267">
        <v>211951.43</v>
      </c>
      <c r="AB14" s="182">
        <v>211951.43</v>
      </c>
      <c r="AC14" s="182">
        <v>211951.43</v>
      </c>
      <c r="AD14" s="182">
        <v>211951.43</v>
      </c>
      <c r="AE14" s="182">
        <v>211951.43</v>
      </c>
      <c r="AF14" s="182">
        <v>211951.43</v>
      </c>
      <c r="AG14" s="200"/>
      <c r="AH14" s="182">
        <v>206355.78</v>
      </c>
    </row>
    <row r="15" spans="1:39" ht="26.1" customHeight="1">
      <c r="A15" s="87" t="s">
        <v>67</v>
      </c>
      <c r="B15" s="183">
        <v>1132</v>
      </c>
      <c r="C15" s="183">
        <v>1132</v>
      </c>
      <c r="D15" s="183">
        <v>1132</v>
      </c>
      <c r="E15" s="183">
        <v>1132</v>
      </c>
      <c r="F15" s="183">
        <v>1132</v>
      </c>
      <c r="G15" s="183">
        <v>1132</v>
      </c>
      <c r="H15" s="183">
        <v>1132</v>
      </c>
      <c r="I15" s="183">
        <v>1132</v>
      </c>
      <c r="J15" s="183">
        <v>1132</v>
      </c>
      <c r="K15" s="183">
        <v>1132</v>
      </c>
      <c r="L15" s="183">
        <v>1132</v>
      </c>
      <c r="M15" s="183">
        <v>1132</v>
      </c>
      <c r="N15" s="183">
        <v>1132</v>
      </c>
      <c r="O15" s="183">
        <v>1132</v>
      </c>
      <c r="P15" s="183">
        <v>1132</v>
      </c>
      <c r="Q15" s="183">
        <v>1132</v>
      </c>
      <c r="R15" s="183">
        <v>1132</v>
      </c>
      <c r="S15" s="183">
        <v>1132</v>
      </c>
      <c r="T15" s="183">
        <v>1132</v>
      </c>
      <c r="U15" s="183">
        <v>1132</v>
      </c>
      <c r="V15" s="183">
        <v>1132</v>
      </c>
      <c r="W15" s="183">
        <v>1132</v>
      </c>
      <c r="X15" s="183">
        <v>1132</v>
      </c>
      <c r="Y15" s="268">
        <v>1132</v>
      </c>
      <c r="Z15" s="268">
        <v>1132</v>
      </c>
      <c r="AA15" s="268">
        <v>1132</v>
      </c>
      <c r="AB15" s="183">
        <v>1132</v>
      </c>
      <c r="AC15" s="183">
        <v>1132</v>
      </c>
      <c r="AD15" s="183">
        <v>1132</v>
      </c>
      <c r="AE15" s="183">
        <v>1132</v>
      </c>
      <c r="AF15" s="183">
        <v>1132</v>
      </c>
      <c r="AG15" s="202"/>
      <c r="AH15" s="183">
        <v>1132</v>
      </c>
    </row>
    <row r="16" spans="1:39" ht="25.5">
      <c r="A16" s="87" t="s">
        <v>68</v>
      </c>
      <c r="B16" s="183">
        <v>4587</v>
      </c>
      <c r="C16" s="183">
        <v>4587</v>
      </c>
      <c r="D16" s="183">
        <v>4587</v>
      </c>
      <c r="E16" s="183">
        <v>4587</v>
      </c>
      <c r="F16" s="183">
        <v>4587</v>
      </c>
      <c r="G16" s="183">
        <v>4587</v>
      </c>
      <c r="H16" s="183">
        <v>4587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268">
        <v>4587</v>
      </c>
      <c r="Z16" s="268">
        <v>4587</v>
      </c>
      <c r="AA16" s="268">
        <v>4587</v>
      </c>
      <c r="AB16" s="183">
        <v>4587</v>
      </c>
      <c r="AC16" s="183">
        <v>4587</v>
      </c>
      <c r="AD16" s="183">
        <v>4587</v>
      </c>
      <c r="AE16" s="183">
        <v>4587</v>
      </c>
      <c r="AF16" s="183">
        <v>4587</v>
      </c>
      <c r="AG16" s="202"/>
      <c r="AH16" s="183">
        <v>4587</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265"/>
      <c r="W17" s="265"/>
      <c r="X17" s="265"/>
      <c r="Y17" s="266"/>
      <c r="Z17" s="266"/>
      <c r="AA17" s="266"/>
      <c r="AB17" s="162"/>
      <c r="AC17" s="162"/>
      <c r="AD17" s="162"/>
      <c r="AE17" s="162"/>
      <c r="AF17" s="162"/>
      <c r="AG17" s="203"/>
      <c r="AH17" s="162"/>
    </row>
    <row r="18" spans="1:34" ht="21.6" customHeight="1">
      <c r="A18" s="87" t="s">
        <v>69</v>
      </c>
      <c r="B18" s="272" t="s">
        <v>106</v>
      </c>
      <c r="C18" s="272" t="s">
        <v>106</v>
      </c>
      <c r="D18" s="272" t="s">
        <v>106</v>
      </c>
      <c r="E18" s="272" t="s">
        <v>106</v>
      </c>
      <c r="F18" s="272" t="s">
        <v>106</v>
      </c>
      <c r="G18" s="272" t="s">
        <v>106</v>
      </c>
      <c r="H18" s="272" t="s">
        <v>106</v>
      </c>
      <c r="I18" s="272" t="s">
        <v>106</v>
      </c>
      <c r="J18" s="272" t="s">
        <v>106</v>
      </c>
      <c r="K18" s="272" t="s">
        <v>106</v>
      </c>
      <c r="L18" s="272" t="s">
        <v>106</v>
      </c>
      <c r="M18" s="272" t="s">
        <v>106</v>
      </c>
      <c r="N18" s="272" t="s">
        <v>106</v>
      </c>
      <c r="O18" s="272" t="s">
        <v>106</v>
      </c>
      <c r="P18" s="272" t="s">
        <v>106</v>
      </c>
      <c r="Q18" s="272" t="s">
        <v>106</v>
      </c>
      <c r="R18" s="272" t="s">
        <v>106</v>
      </c>
      <c r="S18" s="272" t="s">
        <v>106</v>
      </c>
      <c r="T18" s="272" t="s">
        <v>106</v>
      </c>
      <c r="U18" s="272" t="s">
        <v>106</v>
      </c>
      <c r="V18" s="181" t="s">
        <v>106</v>
      </c>
      <c r="W18" s="181" t="s">
        <v>106</v>
      </c>
      <c r="X18" s="181" t="s">
        <v>106</v>
      </c>
      <c r="Y18" s="262" t="s">
        <v>64</v>
      </c>
      <c r="Z18" s="262" t="s">
        <v>64</v>
      </c>
      <c r="AA18" s="262" t="s">
        <v>64</v>
      </c>
      <c r="AB18" s="181" t="s">
        <v>106</v>
      </c>
      <c r="AC18" s="181" t="s">
        <v>106</v>
      </c>
      <c r="AD18" s="181" t="s">
        <v>106</v>
      </c>
      <c r="AE18" s="181" t="s">
        <v>106</v>
      </c>
      <c r="AF18" s="181" t="s">
        <v>106</v>
      </c>
      <c r="AG18" s="263"/>
      <c r="AH18" s="181" t="s">
        <v>106</v>
      </c>
    </row>
    <row r="19" spans="1:34" ht="26.1" customHeight="1">
      <c r="A19" s="127" t="s">
        <v>70</v>
      </c>
      <c r="B19" s="186">
        <v>57052.9</v>
      </c>
      <c r="C19" s="186">
        <v>57078.2</v>
      </c>
      <c r="D19" s="186">
        <v>57118.1</v>
      </c>
      <c r="E19" s="186">
        <v>57132.800000000003</v>
      </c>
      <c r="F19" s="186">
        <v>57174.5</v>
      </c>
      <c r="G19" s="186">
        <v>57174.5</v>
      </c>
      <c r="H19" s="186">
        <v>57207.8</v>
      </c>
      <c r="I19" s="186">
        <v>57207.8</v>
      </c>
      <c r="J19" s="186">
        <v>57223.8</v>
      </c>
      <c r="K19" s="186">
        <v>57254.3</v>
      </c>
      <c r="L19" s="186">
        <v>57275.9</v>
      </c>
      <c r="M19" s="186">
        <v>57296.3</v>
      </c>
      <c r="N19" s="186">
        <v>57306.5</v>
      </c>
      <c r="O19" s="186">
        <v>57332.800000000003</v>
      </c>
      <c r="P19" s="186">
        <v>57357.599999999999</v>
      </c>
      <c r="Q19" s="186">
        <v>57376.2</v>
      </c>
      <c r="R19" s="186">
        <v>57401.4</v>
      </c>
      <c r="S19" s="186">
        <v>57417.2</v>
      </c>
      <c r="T19" s="186">
        <v>57417.2</v>
      </c>
      <c r="U19" s="186">
        <v>57512.3</v>
      </c>
      <c r="V19" s="186">
        <v>57549.7</v>
      </c>
      <c r="W19" s="186">
        <v>57581.7</v>
      </c>
      <c r="X19" s="186">
        <v>57629.9</v>
      </c>
      <c r="Y19" s="269">
        <v>57686.8</v>
      </c>
      <c r="Z19" s="269">
        <v>57708.5</v>
      </c>
      <c r="AA19" s="269">
        <v>57717</v>
      </c>
      <c r="AB19" s="186">
        <v>57735.8</v>
      </c>
      <c r="AC19" s="186">
        <v>57762.8</v>
      </c>
      <c r="AD19" s="186">
        <v>57791.1</v>
      </c>
      <c r="AE19" s="186">
        <v>57811.1</v>
      </c>
      <c r="AF19" s="186">
        <v>57830.5</v>
      </c>
      <c r="AG19" s="201"/>
      <c r="AH19" s="186">
        <v>57017.7</v>
      </c>
    </row>
    <row r="20" spans="1:34" ht="39" customHeight="1">
      <c r="A20" s="87" t="s">
        <v>71</v>
      </c>
      <c r="B20" s="183">
        <v>7735292</v>
      </c>
      <c r="C20" s="183">
        <v>7816585</v>
      </c>
      <c r="D20" s="183">
        <v>7898186</v>
      </c>
      <c r="E20" s="183">
        <v>7974708</v>
      </c>
      <c r="F20" s="183">
        <v>8053610</v>
      </c>
      <c r="G20" s="183">
        <v>8131560</v>
      </c>
      <c r="H20" s="183">
        <v>8208533</v>
      </c>
      <c r="I20" s="183">
        <v>8283359</v>
      </c>
      <c r="J20" s="183">
        <v>8356229</v>
      </c>
      <c r="K20" s="183">
        <v>8457458</v>
      </c>
      <c r="L20" s="183">
        <v>8499060</v>
      </c>
      <c r="M20" s="183">
        <v>8566540</v>
      </c>
      <c r="N20" s="183">
        <v>8631184</v>
      </c>
      <c r="O20" s="183">
        <v>8693208</v>
      </c>
      <c r="P20" s="183">
        <v>8752358</v>
      </c>
      <c r="Q20" s="183">
        <v>8807948</v>
      </c>
      <c r="R20" s="183">
        <v>8860770</v>
      </c>
      <c r="S20" s="183">
        <v>8912276</v>
      </c>
      <c r="T20" s="183">
        <v>8960062</v>
      </c>
      <c r="U20" s="183">
        <v>9006668</v>
      </c>
      <c r="V20" s="183">
        <v>9048990</v>
      </c>
      <c r="W20" s="183">
        <v>9087114</v>
      </c>
      <c r="X20" s="183">
        <v>9095406</v>
      </c>
      <c r="Y20" s="270" t="s">
        <v>558</v>
      </c>
      <c r="Z20" s="270" t="s">
        <v>559</v>
      </c>
      <c r="AA20" s="270" t="s">
        <v>559</v>
      </c>
      <c r="AB20" s="183" t="s">
        <v>599</v>
      </c>
      <c r="AC20" s="183" t="s">
        <v>599</v>
      </c>
      <c r="AD20" s="183" t="s">
        <v>599</v>
      </c>
      <c r="AE20" s="183" t="s">
        <v>600</v>
      </c>
      <c r="AF20" s="183" t="s">
        <v>600</v>
      </c>
      <c r="AG20" s="206"/>
      <c r="AH20" s="183">
        <v>7649410</v>
      </c>
    </row>
    <row r="21" spans="1:34" ht="25.5">
      <c r="A21" s="87" t="s">
        <v>72</v>
      </c>
      <c r="B21" s="183">
        <v>69378</v>
      </c>
      <c r="C21" s="183">
        <v>69378</v>
      </c>
      <c r="D21" s="183">
        <v>69378</v>
      </c>
      <c r="E21" s="183">
        <v>70246</v>
      </c>
      <c r="F21" s="183">
        <v>70246</v>
      </c>
      <c r="G21" s="183">
        <v>70246</v>
      </c>
      <c r="H21" s="183">
        <v>70246</v>
      </c>
      <c r="I21" s="183">
        <v>70246</v>
      </c>
      <c r="J21" s="183">
        <v>70246</v>
      </c>
      <c r="K21" s="183">
        <v>70246</v>
      </c>
      <c r="L21" s="183">
        <v>71016</v>
      </c>
      <c r="M21" s="183">
        <v>71016</v>
      </c>
      <c r="N21" s="183">
        <v>71016</v>
      </c>
      <c r="O21" s="183">
        <v>71016</v>
      </c>
      <c r="P21" s="183">
        <v>71016</v>
      </c>
      <c r="Q21" s="183">
        <v>71016</v>
      </c>
      <c r="R21" s="183">
        <v>71016</v>
      </c>
      <c r="S21" s="183">
        <v>71740</v>
      </c>
      <c r="T21" s="183">
        <v>71740</v>
      </c>
      <c r="U21" s="183">
        <v>71740</v>
      </c>
      <c r="V21" s="183">
        <v>71740</v>
      </c>
      <c r="W21" s="183">
        <v>71740</v>
      </c>
      <c r="X21" s="183">
        <v>71740</v>
      </c>
      <c r="Y21" s="268">
        <v>71740</v>
      </c>
      <c r="Z21" s="268">
        <v>72660</v>
      </c>
      <c r="AA21" s="268">
        <v>72660</v>
      </c>
      <c r="AB21" s="268">
        <v>72660</v>
      </c>
      <c r="AC21" s="268">
        <v>72660</v>
      </c>
      <c r="AD21" s="268">
        <v>72660</v>
      </c>
      <c r="AE21" s="268">
        <v>72660</v>
      </c>
      <c r="AF21" s="268">
        <v>72660</v>
      </c>
      <c r="AG21" s="201"/>
      <c r="AH21" s="183">
        <v>69378</v>
      </c>
    </row>
    <row r="22" spans="1:34" ht="25.5">
      <c r="A22" s="87" t="s">
        <v>73</v>
      </c>
      <c r="B22" s="183">
        <v>135000</v>
      </c>
      <c r="C22" s="183">
        <v>135065</v>
      </c>
      <c r="D22" s="183">
        <v>135136</v>
      </c>
      <c r="E22" s="183">
        <v>135189</v>
      </c>
      <c r="F22" s="183">
        <v>135244</v>
      </c>
      <c r="G22" s="183">
        <v>135320</v>
      </c>
      <c r="H22" s="183">
        <v>135379</v>
      </c>
      <c r="I22" s="183">
        <v>135441</v>
      </c>
      <c r="J22" s="183">
        <v>135441</v>
      </c>
      <c r="K22" s="183">
        <v>135586</v>
      </c>
      <c r="L22" s="183">
        <v>135635</v>
      </c>
      <c r="M22" s="183">
        <v>135702</v>
      </c>
      <c r="N22" s="183">
        <v>135761</v>
      </c>
      <c r="O22" s="183">
        <v>135819</v>
      </c>
      <c r="P22" s="183">
        <v>135885</v>
      </c>
      <c r="Q22" s="183">
        <v>135943</v>
      </c>
      <c r="R22" s="183">
        <v>136003</v>
      </c>
      <c r="S22" s="183">
        <v>136058</v>
      </c>
      <c r="T22" s="183">
        <v>136116</v>
      </c>
      <c r="U22" s="183">
        <v>136194</v>
      </c>
      <c r="V22" s="183">
        <v>136256</v>
      </c>
      <c r="W22" s="183">
        <v>136337</v>
      </c>
      <c r="X22" s="183">
        <v>136388</v>
      </c>
      <c r="Y22" s="268">
        <v>136447</v>
      </c>
      <c r="Z22" s="268">
        <v>136491</v>
      </c>
      <c r="AA22" s="268">
        <v>136540</v>
      </c>
      <c r="AB22" s="183">
        <v>136591</v>
      </c>
      <c r="AC22" s="183">
        <v>136647</v>
      </c>
      <c r="AD22" s="183">
        <v>136695</v>
      </c>
      <c r="AE22" s="183">
        <v>136741</v>
      </c>
      <c r="AF22" s="183">
        <v>136789</v>
      </c>
      <c r="AG22" s="201">
        <f>AF22-AH22</f>
        <v>1856</v>
      </c>
      <c r="AH22" s="183">
        <v>134933</v>
      </c>
    </row>
    <row r="23" spans="1:34">
      <c r="A23" s="189" t="s">
        <v>136</v>
      </c>
      <c r="B23" s="183">
        <v>2232</v>
      </c>
      <c r="C23" s="183">
        <v>2232</v>
      </c>
      <c r="D23" s="183">
        <v>2232</v>
      </c>
      <c r="E23" s="183">
        <v>2269</v>
      </c>
      <c r="F23" s="183">
        <v>2269</v>
      </c>
      <c r="G23" s="183">
        <v>2269</v>
      </c>
      <c r="H23" s="183">
        <v>2269</v>
      </c>
      <c r="I23" s="183">
        <v>2269</v>
      </c>
      <c r="J23" s="183">
        <v>2269</v>
      </c>
      <c r="K23" s="183">
        <v>2269</v>
      </c>
      <c r="L23" s="183">
        <v>2325</v>
      </c>
      <c r="M23" s="183">
        <v>2325</v>
      </c>
      <c r="N23" s="183">
        <v>2325</v>
      </c>
      <c r="O23" s="183">
        <v>2325</v>
      </c>
      <c r="P23" s="183">
        <v>2325</v>
      </c>
      <c r="Q23" s="183">
        <v>2325</v>
      </c>
      <c r="R23" s="183">
        <v>2325</v>
      </c>
      <c r="S23" s="183">
        <v>2372</v>
      </c>
      <c r="T23" s="183">
        <v>2372</v>
      </c>
      <c r="U23" s="183">
        <v>2372</v>
      </c>
      <c r="V23" s="183">
        <v>2372</v>
      </c>
      <c r="W23" s="183">
        <v>2372</v>
      </c>
      <c r="X23" s="183">
        <v>2372</v>
      </c>
      <c r="Y23" s="268">
        <v>2372</v>
      </c>
      <c r="Z23" s="268">
        <v>2379</v>
      </c>
      <c r="AA23" s="268">
        <v>2379</v>
      </c>
      <c r="AB23" s="183">
        <v>2379</v>
      </c>
      <c r="AC23" s="183">
        <v>2379</v>
      </c>
      <c r="AD23" s="183">
        <v>2379</v>
      </c>
      <c r="AE23" s="183">
        <v>2379</v>
      </c>
      <c r="AF23" s="183">
        <v>2379</v>
      </c>
      <c r="AG23" s="205"/>
      <c r="AH23" s="183">
        <v>2232</v>
      </c>
    </row>
    <row r="24" spans="1:34">
      <c r="A24" s="189" t="s">
        <v>139</v>
      </c>
      <c r="B24" s="183">
        <v>2398</v>
      </c>
      <c r="C24" s="183">
        <v>2398</v>
      </c>
      <c r="D24" s="183">
        <v>2398</v>
      </c>
      <c r="E24" s="183">
        <v>2481</v>
      </c>
      <c r="F24" s="183">
        <v>2481</v>
      </c>
      <c r="G24" s="183">
        <v>2481</v>
      </c>
      <c r="H24" s="183">
        <v>2481</v>
      </c>
      <c r="I24" s="183">
        <v>2481</v>
      </c>
      <c r="J24" s="183">
        <v>2481</v>
      </c>
      <c r="K24" s="183">
        <v>2481</v>
      </c>
      <c r="L24" s="183">
        <v>2564</v>
      </c>
      <c r="M24" s="183">
        <v>2564</v>
      </c>
      <c r="N24" s="183">
        <v>2564</v>
      </c>
      <c r="O24" s="183">
        <v>2564</v>
      </c>
      <c r="P24" s="183">
        <v>2564</v>
      </c>
      <c r="Q24" s="183">
        <v>2564</v>
      </c>
      <c r="R24" s="183">
        <v>2564</v>
      </c>
      <c r="S24" s="183">
        <v>2645</v>
      </c>
      <c r="T24" s="183">
        <v>2645</v>
      </c>
      <c r="U24" s="183">
        <v>2645</v>
      </c>
      <c r="V24" s="183">
        <v>2645</v>
      </c>
      <c r="W24" s="183">
        <v>2645</v>
      </c>
      <c r="X24" s="183">
        <v>2645</v>
      </c>
      <c r="Y24" s="268">
        <v>2645</v>
      </c>
      <c r="Z24" s="268">
        <v>2730</v>
      </c>
      <c r="AA24" s="268">
        <v>2730</v>
      </c>
      <c r="AB24" s="183">
        <v>2730</v>
      </c>
      <c r="AC24" s="183">
        <v>2730</v>
      </c>
      <c r="AD24" s="183">
        <v>2730</v>
      </c>
      <c r="AE24" s="183">
        <v>2730</v>
      </c>
      <c r="AF24" s="183">
        <v>2730</v>
      </c>
      <c r="AG24" s="205"/>
      <c r="AH24" s="183">
        <v>2398</v>
      </c>
    </row>
    <row r="25" spans="1:34">
      <c r="A25" s="189" t="s">
        <v>142</v>
      </c>
      <c r="B25" s="183">
        <v>671</v>
      </c>
      <c r="C25" s="183">
        <v>671</v>
      </c>
      <c r="D25" s="183">
        <v>671</v>
      </c>
      <c r="E25" s="183">
        <v>799</v>
      </c>
      <c r="F25" s="183">
        <v>799</v>
      </c>
      <c r="G25" s="183">
        <v>799</v>
      </c>
      <c r="H25" s="183">
        <v>799</v>
      </c>
      <c r="I25" s="183">
        <v>799</v>
      </c>
      <c r="J25" s="183">
        <v>799</v>
      </c>
      <c r="K25" s="183">
        <v>799</v>
      </c>
      <c r="L25" s="183">
        <v>799</v>
      </c>
      <c r="M25" s="183">
        <v>799</v>
      </c>
      <c r="N25" s="183">
        <v>799</v>
      </c>
      <c r="O25" s="183">
        <v>799</v>
      </c>
      <c r="P25" s="183">
        <v>799</v>
      </c>
      <c r="Q25" s="183">
        <v>799</v>
      </c>
      <c r="R25" s="183">
        <v>799</v>
      </c>
      <c r="S25" s="183">
        <v>799</v>
      </c>
      <c r="T25" s="183">
        <v>799</v>
      </c>
      <c r="U25" s="183">
        <v>799</v>
      </c>
      <c r="V25" s="183">
        <v>799</v>
      </c>
      <c r="W25" s="183">
        <v>799</v>
      </c>
      <c r="X25" s="183">
        <v>799</v>
      </c>
      <c r="Y25" s="268">
        <v>799</v>
      </c>
      <c r="Z25" s="268">
        <v>824</v>
      </c>
      <c r="AA25" s="268">
        <v>824</v>
      </c>
      <c r="AB25" s="183">
        <v>824</v>
      </c>
      <c r="AC25" s="183">
        <v>824</v>
      </c>
      <c r="AD25" s="183">
        <v>824</v>
      </c>
      <c r="AE25" s="183">
        <v>824</v>
      </c>
      <c r="AF25" s="183">
        <v>824</v>
      </c>
      <c r="AG25" s="205"/>
      <c r="AH25" s="183">
        <v>671</v>
      </c>
    </row>
    <row r="26" spans="1:34">
      <c r="A26" s="189" t="s">
        <v>145</v>
      </c>
      <c r="B26" s="183">
        <v>129</v>
      </c>
      <c r="C26" s="183">
        <v>129</v>
      </c>
      <c r="D26" s="183">
        <v>129</v>
      </c>
      <c r="E26" s="183">
        <v>133</v>
      </c>
      <c r="F26" s="183">
        <v>133</v>
      </c>
      <c r="G26" s="183">
        <v>133</v>
      </c>
      <c r="H26" s="183">
        <v>133</v>
      </c>
      <c r="I26" s="183">
        <v>133</v>
      </c>
      <c r="J26" s="183">
        <v>133</v>
      </c>
      <c r="K26" s="183">
        <v>133</v>
      </c>
      <c r="L26" s="183">
        <v>148</v>
      </c>
      <c r="M26" s="183">
        <v>148</v>
      </c>
      <c r="N26" s="183">
        <v>148</v>
      </c>
      <c r="O26" s="183">
        <v>148</v>
      </c>
      <c r="P26" s="183">
        <v>148</v>
      </c>
      <c r="Q26" s="183">
        <v>148</v>
      </c>
      <c r="R26" s="183">
        <v>148</v>
      </c>
      <c r="S26" s="183">
        <v>150</v>
      </c>
      <c r="T26" s="183">
        <v>150</v>
      </c>
      <c r="U26" s="183">
        <v>150</v>
      </c>
      <c r="V26" s="183">
        <v>150</v>
      </c>
      <c r="W26" s="183">
        <v>150</v>
      </c>
      <c r="X26" s="183">
        <v>150</v>
      </c>
      <c r="Y26" s="268">
        <v>150</v>
      </c>
      <c r="Z26" s="268">
        <v>151</v>
      </c>
      <c r="AA26" s="268">
        <v>151</v>
      </c>
      <c r="AB26" s="183">
        <v>151</v>
      </c>
      <c r="AC26" s="183">
        <v>151</v>
      </c>
      <c r="AD26" s="183">
        <v>151</v>
      </c>
      <c r="AE26" s="183">
        <v>151</v>
      </c>
      <c r="AF26" s="183">
        <v>151</v>
      </c>
      <c r="AG26" s="205"/>
      <c r="AH26" s="183">
        <v>129</v>
      </c>
    </row>
    <row r="27" spans="1:34">
      <c r="A27" s="189" t="s">
        <v>148</v>
      </c>
      <c r="B27" s="183">
        <v>2661</v>
      </c>
      <c r="C27" s="183">
        <v>2661</v>
      </c>
      <c r="D27" s="183">
        <v>2661</v>
      </c>
      <c r="E27" s="183">
        <v>2727</v>
      </c>
      <c r="F27" s="183">
        <v>2727</v>
      </c>
      <c r="G27" s="183">
        <v>2727</v>
      </c>
      <c r="H27" s="183">
        <v>2727</v>
      </c>
      <c r="I27" s="183">
        <v>2727</v>
      </c>
      <c r="J27" s="183">
        <v>2727</v>
      </c>
      <c r="K27" s="183">
        <v>2727</v>
      </c>
      <c r="L27" s="183">
        <v>2806</v>
      </c>
      <c r="M27" s="183">
        <v>2806</v>
      </c>
      <c r="N27" s="183">
        <v>2806</v>
      </c>
      <c r="O27" s="183">
        <v>2806</v>
      </c>
      <c r="P27" s="183">
        <v>2806</v>
      </c>
      <c r="Q27" s="183">
        <v>2806</v>
      </c>
      <c r="R27" s="183">
        <v>2806</v>
      </c>
      <c r="S27" s="183">
        <v>2866</v>
      </c>
      <c r="T27" s="183">
        <v>2866</v>
      </c>
      <c r="U27" s="183">
        <v>2866</v>
      </c>
      <c r="V27" s="183">
        <v>2866</v>
      </c>
      <c r="W27" s="183">
        <v>2866</v>
      </c>
      <c r="X27" s="183">
        <v>2866</v>
      </c>
      <c r="Y27" s="268">
        <v>2866</v>
      </c>
      <c r="Z27" s="268">
        <v>2883</v>
      </c>
      <c r="AA27" s="268">
        <v>2883</v>
      </c>
      <c r="AB27" s="183">
        <v>2883</v>
      </c>
      <c r="AC27" s="183">
        <v>2883</v>
      </c>
      <c r="AD27" s="183">
        <v>2883</v>
      </c>
      <c r="AE27" s="183">
        <v>2883</v>
      </c>
      <c r="AF27" s="183">
        <v>2883</v>
      </c>
      <c r="AG27" s="205"/>
      <c r="AH27" s="183">
        <v>2661</v>
      </c>
    </row>
    <row r="28" spans="1:34" ht="15.6" customHeight="1">
      <c r="A28" s="189" t="s">
        <v>151</v>
      </c>
      <c r="B28" s="183">
        <v>481</v>
      </c>
      <c r="C28" s="183">
        <v>481</v>
      </c>
      <c r="D28" s="183">
        <v>481</v>
      </c>
      <c r="E28" s="183">
        <v>491</v>
      </c>
      <c r="F28" s="183">
        <v>491</v>
      </c>
      <c r="G28" s="183">
        <v>491</v>
      </c>
      <c r="H28" s="183">
        <v>491</v>
      </c>
      <c r="I28" s="183">
        <v>491</v>
      </c>
      <c r="J28" s="183">
        <v>491</v>
      </c>
      <c r="K28" s="183">
        <v>491</v>
      </c>
      <c r="L28" s="183">
        <v>502</v>
      </c>
      <c r="M28" s="183">
        <v>502</v>
      </c>
      <c r="N28" s="183">
        <v>502</v>
      </c>
      <c r="O28" s="183">
        <v>502</v>
      </c>
      <c r="P28" s="183">
        <v>502</v>
      </c>
      <c r="Q28" s="183">
        <v>502</v>
      </c>
      <c r="R28" s="183">
        <v>502</v>
      </c>
      <c r="S28" s="183">
        <v>512</v>
      </c>
      <c r="T28" s="183">
        <v>512</v>
      </c>
      <c r="U28" s="183">
        <v>512</v>
      </c>
      <c r="V28" s="183">
        <v>512</v>
      </c>
      <c r="W28" s="183">
        <v>512</v>
      </c>
      <c r="X28" s="183">
        <v>512</v>
      </c>
      <c r="Y28" s="268">
        <v>512</v>
      </c>
      <c r="Z28" s="268">
        <v>521</v>
      </c>
      <c r="AA28" s="268">
        <v>521</v>
      </c>
      <c r="AB28" s="183">
        <v>521</v>
      </c>
      <c r="AC28" s="183">
        <v>521</v>
      </c>
      <c r="AD28" s="183">
        <v>521</v>
      </c>
      <c r="AE28" s="183">
        <v>521</v>
      </c>
      <c r="AF28" s="183">
        <v>521</v>
      </c>
      <c r="AG28" s="205"/>
      <c r="AH28" s="183">
        <v>481</v>
      </c>
    </row>
    <row r="29" spans="1:34">
      <c r="A29" s="189" t="s">
        <v>154</v>
      </c>
      <c r="B29" s="183">
        <v>157</v>
      </c>
      <c r="C29" s="183">
        <v>157</v>
      </c>
      <c r="D29" s="183">
        <v>157</v>
      </c>
      <c r="E29" s="183">
        <v>157</v>
      </c>
      <c r="F29" s="183">
        <v>157</v>
      </c>
      <c r="G29" s="183">
        <v>157</v>
      </c>
      <c r="H29" s="183">
        <v>157</v>
      </c>
      <c r="I29" s="183">
        <v>157</v>
      </c>
      <c r="J29" s="183">
        <v>157</v>
      </c>
      <c r="K29" s="183">
        <v>157</v>
      </c>
      <c r="L29" s="183">
        <v>171</v>
      </c>
      <c r="M29" s="183">
        <v>171</v>
      </c>
      <c r="N29" s="183">
        <v>171</v>
      </c>
      <c r="O29" s="183">
        <v>171</v>
      </c>
      <c r="P29" s="183">
        <v>171</v>
      </c>
      <c r="Q29" s="183">
        <v>171</v>
      </c>
      <c r="R29" s="183">
        <v>171</v>
      </c>
      <c r="S29" s="183">
        <v>191</v>
      </c>
      <c r="T29" s="183">
        <v>191</v>
      </c>
      <c r="U29" s="183">
        <v>191</v>
      </c>
      <c r="V29" s="183">
        <v>191</v>
      </c>
      <c r="W29" s="183">
        <v>191</v>
      </c>
      <c r="X29" s="183">
        <v>191</v>
      </c>
      <c r="Y29" s="268">
        <v>191</v>
      </c>
      <c r="Z29" s="268">
        <v>199</v>
      </c>
      <c r="AA29" s="268">
        <v>199</v>
      </c>
      <c r="AB29" s="183">
        <v>199</v>
      </c>
      <c r="AC29" s="183">
        <v>199</v>
      </c>
      <c r="AD29" s="183">
        <v>199</v>
      </c>
      <c r="AE29" s="183">
        <v>199</v>
      </c>
      <c r="AF29" s="183">
        <v>199</v>
      </c>
      <c r="AG29" s="205"/>
      <c r="AH29" s="183">
        <v>157</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265"/>
      <c r="W30" s="265"/>
      <c r="X30" s="265"/>
      <c r="Y30" s="266"/>
      <c r="Z30" s="266"/>
      <c r="AA30" s="266"/>
      <c r="AB30" s="162"/>
      <c r="AC30" s="162"/>
      <c r="AD30" s="162"/>
      <c r="AE30" s="162"/>
      <c r="AF30" s="162"/>
      <c r="AG30" s="207"/>
      <c r="AH30" s="162"/>
    </row>
    <row r="31" spans="1:34" ht="21.95" customHeight="1">
      <c r="A31" s="87" t="s">
        <v>74</v>
      </c>
      <c r="B31" s="272" t="s">
        <v>157</v>
      </c>
      <c r="C31" s="272" t="s">
        <v>157</v>
      </c>
      <c r="D31" s="272" t="s">
        <v>157</v>
      </c>
      <c r="E31" s="272" t="s">
        <v>157</v>
      </c>
      <c r="F31" s="272" t="s">
        <v>157</v>
      </c>
      <c r="G31" s="272" t="s">
        <v>157</v>
      </c>
      <c r="H31" s="272" t="s">
        <v>157</v>
      </c>
      <c r="I31" s="272" t="s">
        <v>157</v>
      </c>
      <c r="J31" s="272" t="s">
        <v>157</v>
      </c>
      <c r="K31" s="272" t="s">
        <v>157</v>
      </c>
      <c r="L31" s="272" t="s">
        <v>157</v>
      </c>
      <c r="M31" s="272" t="s">
        <v>157</v>
      </c>
      <c r="N31" s="272" t="s">
        <v>157</v>
      </c>
      <c r="O31" s="272" t="s">
        <v>157</v>
      </c>
      <c r="P31" s="272" t="s">
        <v>157</v>
      </c>
      <c r="Q31" s="272" t="s">
        <v>157</v>
      </c>
      <c r="R31" s="272" t="s">
        <v>157</v>
      </c>
      <c r="S31" s="272" t="s">
        <v>157</v>
      </c>
      <c r="T31" s="272" t="s">
        <v>157</v>
      </c>
      <c r="U31" s="272" t="s">
        <v>157</v>
      </c>
      <c r="V31" s="181" t="s">
        <v>157</v>
      </c>
      <c r="W31" s="181" t="s">
        <v>157</v>
      </c>
      <c r="X31" s="181" t="s">
        <v>157</v>
      </c>
      <c r="Y31" s="262" t="s">
        <v>75</v>
      </c>
      <c r="Z31" s="262" t="s">
        <v>75</v>
      </c>
      <c r="AA31" s="262" t="s">
        <v>75</v>
      </c>
      <c r="AB31" s="181" t="s">
        <v>157</v>
      </c>
      <c r="AC31" s="181" t="s">
        <v>157</v>
      </c>
      <c r="AD31" s="181" t="s">
        <v>157</v>
      </c>
      <c r="AE31" s="181" t="s">
        <v>157</v>
      </c>
      <c r="AF31" s="181" t="s">
        <v>157</v>
      </c>
      <c r="AG31" s="263"/>
      <c r="AH31" s="181" t="s">
        <v>157</v>
      </c>
    </row>
    <row r="32" spans="1:34" ht="25.5">
      <c r="A32" s="127" t="s">
        <v>77</v>
      </c>
      <c r="B32" s="273" t="s">
        <v>158</v>
      </c>
      <c r="C32" s="273" t="s">
        <v>158</v>
      </c>
      <c r="D32" s="273" t="s">
        <v>158</v>
      </c>
      <c r="E32" s="273" t="s">
        <v>158</v>
      </c>
      <c r="F32" s="273" t="s">
        <v>158</v>
      </c>
      <c r="G32" s="273" t="s">
        <v>158</v>
      </c>
      <c r="H32" s="273" t="s">
        <v>158</v>
      </c>
      <c r="I32" s="273" t="s">
        <v>158</v>
      </c>
      <c r="J32" s="273" t="s">
        <v>158</v>
      </c>
      <c r="K32" s="273" t="s">
        <v>158</v>
      </c>
      <c r="L32" s="273" t="s">
        <v>158</v>
      </c>
      <c r="M32" s="273" t="s">
        <v>158</v>
      </c>
      <c r="N32" s="273" t="s">
        <v>158</v>
      </c>
      <c r="O32" s="273" t="s">
        <v>158</v>
      </c>
      <c r="P32" s="273" t="s">
        <v>158</v>
      </c>
      <c r="Q32" s="273" t="s">
        <v>158</v>
      </c>
      <c r="R32" s="273" t="s">
        <v>158</v>
      </c>
      <c r="S32" s="273" t="s">
        <v>158</v>
      </c>
      <c r="T32" s="273" t="s">
        <v>158</v>
      </c>
      <c r="U32" s="273" t="s">
        <v>158</v>
      </c>
      <c r="V32" s="190" t="s">
        <v>158</v>
      </c>
      <c r="W32" s="190" t="s">
        <v>158</v>
      </c>
      <c r="X32" s="190" t="s">
        <v>158</v>
      </c>
      <c r="Y32" s="270" t="s">
        <v>78</v>
      </c>
      <c r="Z32" s="270" t="s">
        <v>78</v>
      </c>
      <c r="AA32" s="270" t="s">
        <v>78</v>
      </c>
      <c r="AB32" s="190" t="s">
        <v>158</v>
      </c>
      <c r="AC32" s="190" t="s">
        <v>158</v>
      </c>
      <c r="AD32" s="190" t="s">
        <v>158</v>
      </c>
      <c r="AE32" s="190" t="s">
        <v>158</v>
      </c>
      <c r="AF32" s="190" t="s">
        <v>158</v>
      </c>
      <c r="AG32" s="209"/>
      <c r="AH32" s="190" t="s">
        <v>158</v>
      </c>
    </row>
    <row r="33" spans="1:34" ht="25.5">
      <c r="A33" s="87" t="s">
        <v>80</v>
      </c>
      <c r="B33" s="274" t="s">
        <v>601</v>
      </c>
      <c r="C33" s="274" t="s">
        <v>560</v>
      </c>
      <c r="D33" s="274" t="s">
        <v>561</v>
      </c>
      <c r="E33" s="274" t="s">
        <v>562</v>
      </c>
      <c r="F33" s="274" t="s">
        <v>563</v>
      </c>
      <c r="G33" s="274" t="s">
        <v>564</v>
      </c>
      <c r="H33" s="274" t="s">
        <v>565</v>
      </c>
      <c r="I33" s="274" t="s">
        <v>566</v>
      </c>
      <c r="J33" s="274" t="s">
        <v>567</v>
      </c>
      <c r="K33" s="274" t="s">
        <v>567</v>
      </c>
      <c r="L33" s="274" t="s">
        <v>568</v>
      </c>
      <c r="M33" s="274" t="s">
        <v>569</v>
      </c>
      <c r="N33" s="274" t="s">
        <v>570</v>
      </c>
      <c r="O33" s="274" t="s">
        <v>571</v>
      </c>
      <c r="P33" s="274" t="s">
        <v>572</v>
      </c>
      <c r="Q33" s="274" t="s">
        <v>573</v>
      </c>
      <c r="R33" s="274" t="s">
        <v>573</v>
      </c>
      <c r="S33" s="274" t="s">
        <v>574</v>
      </c>
      <c r="T33" s="274" t="s">
        <v>575</v>
      </c>
      <c r="U33" s="274" t="s">
        <v>576</v>
      </c>
      <c r="V33" s="187" t="s">
        <v>577</v>
      </c>
      <c r="W33" s="187" t="s">
        <v>578</v>
      </c>
      <c r="X33" s="187" t="s">
        <v>579</v>
      </c>
      <c r="Y33" s="270" t="s">
        <v>580</v>
      </c>
      <c r="Z33" s="270" t="s">
        <v>580</v>
      </c>
      <c r="AA33" s="270" t="s">
        <v>581</v>
      </c>
      <c r="AB33" s="187" t="s">
        <v>602</v>
      </c>
      <c r="AC33" s="187" t="s">
        <v>603</v>
      </c>
      <c r="AD33" s="187" t="s">
        <v>604</v>
      </c>
      <c r="AE33" s="187" t="s">
        <v>605</v>
      </c>
      <c r="AF33" s="187" t="s">
        <v>605</v>
      </c>
      <c r="AG33" s="206"/>
      <c r="AH33" s="187" t="s">
        <v>555</v>
      </c>
    </row>
    <row r="34" spans="1:34" ht="15.75" thickBot="1">
      <c r="A34" s="139" t="s">
        <v>81</v>
      </c>
      <c r="B34" s="274" t="s">
        <v>557</v>
      </c>
      <c r="C34" s="274" t="s">
        <v>557</v>
      </c>
      <c r="D34" s="274" t="s">
        <v>557</v>
      </c>
      <c r="E34" s="274" t="s">
        <v>557</v>
      </c>
      <c r="F34" s="274" t="s">
        <v>582</v>
      </c>
      <c r="G34" s="274" t="s">
        <v>582</v>
      </c>
      <c r="H34" s="274" t="s">
        <v>556</v>
      </c>
      <c r="I34" s="274" t="s">
        <v>556</v>
      </c>
      <c r="J34" s="274" t="s">
        <v>556</v>
      </c>
      <c r="K34" s="274" t="s">
        <v>556</v>
      </c>
      <c r="L34" s="274" t="s">
        <v>556</v>
      </c>
      <c r="M34" s="274" t="s">
        <v>556</v>
      </c>
      <c r="N34" s="274" t="s">
        <v>556</v>
      </c>
      <c r="O34" s="274" t="s">
        <v>556</v>
      </c>
      <c r="P34" s="274" t="s">
        <v>556</v>
      </c>
      <c r="Q34" s="274" t="s">
        <v>556</v>
      </c>
      <c r="R34" s="274" t="s">
        <v>556</v>
      </c>
      <c r="S34" s="274" t="s">
        <v>556</v>
      </c>
      <c r="T34" s="274" t="s">
        <v>556</v>
      </c>
      <c r="U34" s="274" t="s">
        <v>556</v>
      </c>
      <c r="V34" s="187" t="s">
        <v>556</v>
      </c>
      <c r="W34" s="187" t="s">
        <v>556</v>
      </c>
      <c r="X34" s="187" t="s">
        <v>556</v>
      </c>
      <c r="Y34" s="270" t="s">
        <v>583</v>
      </c>
      <c r="Z34" s="270" t="s">
        <v>583</v>
      </c>
      <c r="AA34" s="270" t="s">
        <v>583</v>
      </c>
      <c r="AB34" s="187" t="s">
        <v>556</v>
      </c>
      <c r="AC34" s="187" t="s">
        <v>556</v>
      </c>
      <c r="AD34" s="187" t="s">
        <v>556</v>
      </c>
      <c r="AE34" s="187" t="s">
        <v>556</v>
      </c>
      <c r="AF34" s="187" t="s">
        <v>606</v>
      </c>
      <c r="AG34" s="206"/>
      <c r="AH34" s="187" t="s">
        <v>557</v>
      </c>
    </row>
    <row r="35" spans="1:34">
      <c r="AG35" s="211"/>
    </row>
    <row r="36" spans="1:34">
      <c r="AG36" s="211"/>
    </row>
  </sheetData>
  <mergeCells count="1">
    <mergeCell ref="A1:AH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97F9-57A1-4A1E-8D9F-A17105A2E511}">
  <dimension ref="A1:AM36"/>
  <sheetViews>
    <sheetView topLeftCell="O16" zoomScaleNormal="100" workbookViewId="0">
      <selection activeCell="AG23" sqref="AG23"/>
    </sheetView>
  </sheetViews>
  <sheetFormatPr defaultRowHeight="15"/>
  <cols>
    <col min="1" max="1" width="30.42578125" style="20" customWidth="1"/>
    <col min="2" max="2" width="13" style="20" customWidth="1"/>
    <col min="3" max="18" width="12.85546875" style="20" customWidth="1"/>
    <col min="19" max="19" width="12.85546875" style="174" customWidth="1"/>
    <col min="20" max="32" width="12.85546875" style="20" customWidth="1"/>
    <col min="33" max="33" width="8.7109375" style="144"/>
    <col min="34" max="34" width="12.85546875" style="20" customWidth="1"/>
    <col min="35" max="35" width="11" customWidth="1"/>
    <col min="36" max="36" width="11.42578125" customWidth="1"/>
  </cols>
  <sheetData>
    <row r="1" spans="1:39" ht="15" customHeight="1"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row>
    <row r="2" spans="1:39" ht="14.45" customHeight="1">
      <c r="A2" s="82"/>
      <c r="B2" s="83">
        <v>44562</v>
      </c>
      <c r="C2" s="83">
        <v>44563</v>
      </c>
      <c r="D2" s="83">
        <v>44564</v>
      </c>
      <c r="E2" s="83">
        <v>44565</v>
      </c>
      <c r="F2" s="83">
        <v>44566</v>
      </c>
      <c r="G2" s="83">
        <v>44567</v>
      </c>
      <c r="H2" s="83">
        <v>44568</v>
      </c>
      <c r="I2" s="83">
        <v>44569</v>
      </c>
      <c r="J2" s="83">
        <v>44570</v>
      </c>
      <c r="K2" s="83">
        <v>44571</v>
      </c>
      <c r="L2" s="83">
        <v>44572</v>
      </c>
      <c r="M2" s="83">
        <v>44573</v>
      </c>
      <c r="N2" s="83">
        <v>44574</v>
      </c>
      <c r="O2" s="83">
        <v>44575</v>
      </c>
      <c r="P2" s="83">
        <v>44576</v>
      </c>
      <c r="Q2" s="83">
        <v>44577</v>
      </c>
      <c r="R2" s="83">
        <v>44578</v>
      </c>
      <c r="S2" s="83">
        <v>44579</v>
      </c>
      <c r="T2" s="83">
        <v>44580</v>
      </c>
      <c r="U2" s="83">
        <v>44581</v>
      </c>
      <c r="V2" s="83">
        <v>44582</v>
      </c>
      <c r="W2" s="83">
        <v>44583</v>
      </c>
      <c r="X2" s="83">
        <v>44584</v>
      </c>
      <c r="Y2" s="83">
        <v>44585</v>
      </c>
      <c r="Z2" s="83">
        <v>44586</v>
      </c>
      <c r="AA2" s="83">
        <v>44587</v>
      </c>
      <c r="AB2" s="83">
        <v>44588</v>
      </c>
      <c r="AC2" s="83">
        <v>44589</v>
      </c>
      <c r="AD2" s="83">
        <v>44590</v>
      </c>
      <c r="AE2" s="83">
        <v>44591</v>
      </c>
      <c r="AF2" s="83">
        <v>44592</v>
      </c>
      <c r="AG2" s="83"/>
      <c r="AH2" s="83">
        <v>44561</v>
      </c>
    </row>
    <row r="3" spans="1:39" ht="12.95" customHeight="1">
      <c r="A3" s="87" t="s">
        <v>51</v>
      </c>
      <c r="B3" s="88" t="s">
        <v>53</v>
      </c>
      <c r="C3" s="88" t="s">
        <v>53</v>
      </c>
      <c r="D3" s="88" t="s">
        <v>53</v>
      </c>
      <c r="E3" s="88" t="s">
        <v>53</v>
      </c>
      <c r="F3" s="88" t="s">
        <v>53</v>
      </c>
      <c r="G3" s="88" t="s">
        <v>53</v>
      </c>
      <c r="H3" s="88" t="s">
        <v>53</v>
      </c>
      <c r="I3" s="88" t="s">
        <v>53</v>
      </c>
      <c r="J3" s="88" t="s">
        <v>53</v>
      </c>
      <c r="K3" s="88" t="s">
        <v>53</v>
      </c>
      <c r="L3" s="88" t="s">
        <v>53</v>
      </c>
      <c r="M3" s="90" t="s">
        <v>53</v>
      </c>
      <c r="N3" s="88" t="s">
        <v>53</v>
      </c>
      <c r="O3" s="88" t="s">
        <v>53</v>
      </c>
      <c r="P3" s="88" t="s">
        <v>53</v>
      </c>
      <c r="Q3" s="88" t="s">
        <v>53</v>
      </c>
      <c r="R3" s="88" t="s">
        <v>53</v>
      </c>
      <c r="S3" s="88" t="s">
        <v>53</v>
      </c>
      <c r="T3" s="88" t="s">
        <v>53</v>
      </c>
      <c r="U3" s="88" t="s">
        <v>53</v>
      </c>
      <c r="V3" s="88" t="s">
        <v>53</v>
      </c>
      <c r="W3" s="88" t="s">
        <v>53</v>
      </c>
      <c r="X3" s="88" t="s">
        <v>52</v>
      </c>
      <c r="Y3" s="88" t="s">
        <v>52</v>
      </c>
      <c r="Z3" s="88" t="s">
        <v>53</v>
      </c>
      <c r="AA3" s="88" t="s">
        <v>52</v>
      </c>
      <c r="AB3" s="88" t="s">
        <v>53</v>
      </c>
      <c r="AC3" s="88" t="s">
        <v>53</v>
      </c>
      <c r="AD3" s="88" t="s">
        <v>53</v>
      </c>
      <c r="AE3" s="88" t="s">
        <v>53</v>
      </c>
      <c r="AF3" s="88" t="s">
        <v>53</v>
      </c>
      <c r="AG3" s="271"/>
      <c r="AH3" s="88" t="s">
        <v>53</v>
      </c>
    </row>
    <row r="4" spans="1:39" ht="20.100000000000001" customHeight="1">
      <c r="A4" s="94" t="s">
        <v>54</v>
      </c>
      <c r="B4" s="212">
        <v>202897</v>
      </c>
      <c r="C4" s="212">
        <v>203084</v>
      </c>
      <c r="D4" s="212">
        <v>203280</v>
      </c>
      <c r="E4" s="212">
        <v>203476</v>
      </c>
      <c r="F4" s="212">
        <v>203668</v>
      </c>
      <c r="G4" s="212">
        <v>203859</v>
      </c>
      <c r="H4" s="212">
        <v>204046</v>
      </c>
      <c r="I4" s="212">
        <v>204223</v>
      </c>
      <c r="J4" s="212">
        <v>204409</v>
      </c>
      <c r="K4" s="212">
        <v>204596</v>
      </c>
      <c r="L4" s="212">
        <v>204784</v>
      </c>
      <c r="M4" s="212">
        <v>204973</v>
      </c>
      <c r="N4" s="212">
        <v>205161</v>
      </c>
      <c r="O4" s="212">
        <v>205339</v>
      </c>
      <c r="P4" s="212">
        <v>205531</v>
      </c>
      <c r="Q4" s="212">
        <v>205720</v>
      </c>
      <c r="R4" s="212">
        <v>205917</v>
      </c>
      <c r="S4" s="212">
        <v>206110</v>
      </c>
      <c r="T4" s="212">
        <v>206308</v>
      </c>
      <c r="U4" s="212">
        <v>206503</v>
      </c>
      <c r="V4" s="212">
        <v>206693</v>
      </c>
      <c r="W4" s="212">
        <v>206872</v>
      </c>
      <c r="X4" s="212">
        <v>207057</v>
      </c>
      <c r="Y4" s="212">
        <v>207246</v>
      </c>
      <c r="Z4" s="212">
        <v>207438</v>
      </c>
      <c r="AA4" s="212">
        <v>207628</v>
      </c>
      <c r="AB4" s="212">
        <v>207822</v>
      </c>
      <c r="AC4" s="212">
        <v>208012</v>
      </c>
      <c r="AD4" s="212">
        <v>208190</v>
      </c>
      <c r="AE4" s="212">
        <v>208375</v>
      </c>
      <c r="AF4" s="212">
        <v>208566</v>
      </c>
      <c r="AG4" s="195"/>
      <c r="AH4" s="212">
        <v>202716</v>
      </c>
      <c r="AI4" s="101"/>
      <c r="AJ4" s="101"/>
      <c r="AM4" s="102"/>
    </row>
    <row r="5" spans="1:39" ht="20.100000000000001" customHeight="1">
      <c r="A5" s="94" t="s">
        <v>55</v>
      </c>
      <c r="B5" s="212">
        <v>4982702</v>
      </c>
      <c r="C5" s="212">
        <v>4989391</v>
      </c>
      <c r="D5" s="212">
        <v>4996511</v>
      </c>
      <c r="E5" s="212">
        <v>5003701</v>
      </c>
      <c r="F5" s="212">
        <v>5010402</v>
      </c>
      <c r="G5" s="212">
        <v>5016995</v>
      </c>
      <c r="H5" s="212">
        <v>5023342</v>
      </c>
      <c r="I5" s="212">
        <v>5029293</v>
      </c>
      <c r="J5" s="212">
        <v>5035707</v>
      </c>
      <c r="K5" s="212">
        <v>5042401</v>
      </c>
      <c r="L5" s="212">
        <v>5049064</v>
      </c>
      <c r="M5" s="212">
        <v>5055782</v>
      </c>
      <c r="N5" s="212">
        <v>5062494</v>
      </c>
      <c r="O5" s="212">
        <v>5068791</v>
      </c>
      <c r="P5" s="212">
        <v>5075043</v>
      </c>
      <c r="Q5" s="212">
        <v>5081625</v>
      </c>
      <c r="R5" s="212">
        <v>5088371</v>
      </c>
      <c r="S5" s="212">
        <v>5095053</v>
      </c>
      <c r="T5" s="212">
        <v>5101854</v>
      </c>
      <c r="U5" s="212">
        <v>5108533</v>
      </c>
      <c r="V5" s="212">
        <v>5114937</v>
      </c>
      <c r="W5" s="212">
        <v>5120874</v>
      </c>
      <c r="X5" s="212">
        <v>5126992</v>
      </c>
      <c r="Y5" s="212">
        <v>5133562</v>
      </c>
      <c r="Z5" s="212">
        <v>5140262</v>
      </c>
      <c r="AA5" s="212">
        <v>5146845</v>
      </c>
      <c r="AB5" s="212">
        <v>5153250</v>
      </c>
      <c r="AC5" s="212">
        <v>5160057</v>
      </c>
      <c r="AD5" s="212">
        <v>5165921</v>
      </c>
      <c r="AE5" s="212">
        <v>5172150</v>
      </c>
      <c r="AF5" s="212">
        <v>5178715</v>
      </c>
      <c r="AG5" s="195"/>
      <c r="AH5" s="212">
        <v>4976129</v>
      </c>
      <c r="AI5" s="101"/>
      <c r="AJ5" s="101"/>
      <c r="AM5" s="102"/>
    </row>
    <row r="6" spans="1:39" ht="20.100000000000001" customHeight="1">
      <c r="A6" s="94" t="s">
        <v>56</v>
      </c>
      <c r="B6" s="212">
        <v>2429081</v>
      </c>
      <c r="C6" s="212">
        <v>2432102</v>
      </c>
      <c r="D6" s="212">
        <v>2435276</v>
      </c>
      <c r="E6" s="212">
        <v>2438500</v>
      </c>
      <c r="F6" s="212">
        <v>2441535</v>
      </c>
      <c r="G6" s="212">
        <v>2444629</v>
      </c>
      <c r="H6" s="212">
        <v>2447637</v>
      </c>
      <c r="I6" s="212">
        <v>2450414</v>
      </c>
      <c r="J6" s="212">
        <v>2453359</v>
      </c>
      <c r="K6" s="212">
        <v>2456426</v>
      </c>
      <c r="L6" s="212">
        <v>2459521</v>
      </c>
      <c r="M6" s="212">
        <v>2462647</v>
      </c>
      <c r="N6" s="212">
        <v>2465739</v>
      </c>
      <c r="O6" s="212">
        <v>2468518</v>
      </c>
      <c r="P6" s="212">
        <v>2471983</v>
      </c>
      <c r="Q6" s="212">
        <v>2474632</v>
      </c>
      <c r="R6" s="212">
        <v>2477862</v>
      </c>
      <c r="S6" s="212">
        <v>2480912</v>
      </c>
      <c r="T6" s="212">
        <v>2484011</v>
      </c>
      <c r="U6" s="212">
        <v>2487083</v>
      </c>
      <c r="V6" s="212">
        <v>2490075</v>
      </c>
      <c r="W6" s="212">
        <v>2492879</v>
      </c>
      <c r="X6" s="212">
        <v>2495868</v>
      </c>
      <c r="Y6" s="212">
        <v>2498907</v>
      </c>
      <c r="Z6" s="212">
        <v>2502089</v>
      </c>
      <c r="AA6" s="212">
        <v>2505132</v>
      </c>
      <c r="AB6" s="212">
        <v>2508180</v>
      </c>
      <c r="AC6" s="212">
        <v>2511119</v>
      </c>
      <c r="AD6" s="212">
        <v>2513863</v>
      </c>
      <c r="AE6" s="212">
        <v>2516782</v>
      </c>
      <c r="AF6" s="212">
        <v>2519793</v>
      </c>
      <c r="AG6" s="195"/>
      <c r="AH6" s="212">
        <v>2426235</v>
      </c>
      <c r="AI6" s="101"/>
      <c r="AJ6" s="101"/>
      <c r="AM6" s="102"/>
    </row>
    <row r="7" spans="1:39" ht="20.100000000000001" customHeight="1">
      <c r="A7" s="94" t="s">
        <v>57</v>
      </c>
      <c r="B7" s="212">
        <v>6680171</v>
      </c>
      <c r="C7" s="212">
        <v>6684773</v>
      </c>
      <c r="D7" s="212">
        <v>6686577</v>
      </c>
      <c r="E7" s="212">
        <v>6686653</v>
      </c>
      <c r="F7" s="212">
        <v>6686724</v>
      </c>
      <c r="G7" s="212">
        <v>6692703</v>
      </c>
      <c r="H7" s="212">
        <v>6698623</v>
      </c>
      <c r="I7" s="212">
        <v>6704206</v>
      </c>
      <c r="J7" s="212">
        <v>6710064</v>
      </c>
      <c r="K7" s="212">
        <v>6715897</v>
      </c>
      <c r="L7" s="212">
        <v>6716454</v>
      </c>
      <c r="M7" s="212">
        <v>6721177</v>
      </c>
      <c r="N7" s="212">
        <v>6725987</v>
      </c>
      <c r="O7" s="212">
        <v>6731629</v>
      </c>
      <c r="P7" s="212">
        <v>6732349</v>
      </c>
      <c r="Q7" s="212">
        <v>6732422</v>
      </c>
      <c r="R7" s="212">
        <v>6732496</v>
      </c>
      <c r="S7" s="212">
        <v>6732569</v>
      </c>
      <c r="T7" s="212">
        <v>6732643</v>
      </c>
      <c r="U7" s="212">
        <v>6732715</v>
      </c>
      <c r="V7" s="212">
        <v>6732788</v>
      </c>
      <c r="W7" s="212">
        <v>6732864</v>
      </c>
      <c r="X7" s="212">
        <v>6733420</v>
      </c>
      <c r="Y7" s="212">
        <v>6736945</v>
      </c>
      <c r="Z7" s="212">
        <v>6740565</v>
      </c>
      <c r="AA7" s="212">
        <v>6744819</v>
      </c>
      <c r="AB7" s="212">
        <v>6749973</v>
      </c>
      <c r="AC7" s="212">
        <v>6755287</v>
      </c>
      <c r="AD7" s="212">
        <v>6759016</v>
      </c>
      <c r="AE7" s="212">
        <v>6762882</v>
      </c>
      <c r="AF7" s="212">
        <v>6767199</v>
      </c>
      <c r="AG7" s="195"/>
      <c r="AH7" s="212">
        <v>6679410</v>
      </c>
      <c r="AI7" s="101"/>
      <c r="AJ7" s="101"/>
      <c r="AM7" s="102"/>
    </row>
    <row r="8" spans="1:39" ht="20.100000000000001" customHeight="1">
      <c r="A8" s="94" t="s">
        <v>58</v>
      </c>
      <c r="B8" s="212">
        <v>2144454</v>
      </c>
      <c r="C8" s="212">
        <v>2145890</v>
      </c>
      <c r="D8" s="212">
        <v>2147864</v>
      </c>
      <c r="E8" s="212">
        <v>2149938</v>
      </c>
      <c r="F8" s="212">
        <v>2151875</v>
      </c>
      <c r="G8" s="212">
        <v>2151920</v>
      </c>
      <c r="H8" s="212">
        <v>2151920</v>
      </c>
      <c r="I8" s="212">
        <v>2151920</v>
      </c>
      <c r="J8" s="212">
        <v>2151920</v>
      </c>
      <c r="K8" s="212">
        <v>2151920</v>
      </c>
      <c r="L8" s="212">
        <v>2153735</v>
      </c>
      <c r="M8" s="212">
        <v>2153839</v>
      </c>
      <c r="N8" s="212">
        <v>2153839</v>
      </c>
      <c r="O8" s="212">
        <v>2153839</v>
      </c>
      <c r="P8" s="212">
        <v>2155333</v>
      </c>
      <c r="Q8" s="212">
        <v>2157050</v>
      </c>
      <c r="R8" s="212">
        <v>2159269</v>
      </c>
      <c r="S8" s="212">
        <v>2161420</v>
      </c>
      <c r="T8" s="212">
        <v>2163280</v>
      </c>
      <c r="U8" s="212">
        <v>2164895</v>
      </c>
      <c r="V8" s="212">
        <v>2166358</v>
      </c>
      <c r="W8" s="212">
        <v>2167446</v>
      </c>
      <c r="X8" s="212">
        <v>2168374</v>
      </c>
      <c r="Y8" s="212">
        <v>2168374</v>
      </c>
      <c r="Z8" s="212">
        <v>2168374</v>
      </c>
      <c r="AA8" s="212">
        <v>2168374</v>
      </c>
      <c r="AB8" s="212">
        <v>2168374</v>
      </c>
      <c r="AC8" s="212">
        <v>2168374</v>
      </c>
      <c r="AD8" s="212">
        <v>2168374</v>
      </c>
      <c r="AE8" s="212">
        <v>2168374</v>
      </c>
      <c r="AF8" s="212">
        <v>2168374</v>
      </c>
      <c r="AG8" s="195"/>
      <c r="AH8" s="212">
        <v>2142393</v>
      </c>
      <c r="AI8" s="101"/>
      <c r="AJ8" s="101"/>
      <c r="AM8" s="102"/>
    </row>
    <row r="9" spans="1:39" ht="20.100000000000001" customHeight="1">
      <c r="A9" s="94" t="s">
        <v>59</v>
      </c>
      <c r="B9" s="214">
        <v>13891106</v>
      </c>
      <c r="C9" s="214">
        <v>13903070</v>
      </c>
      <c r="D9" s="214">
        <v>13912565</v>
      </c>
      <c r="E9" s="214">
        <v>13921117</v>
      </c>
      <c r="F9" s="214">
        <v>13929320</v>
      </c>
      <c r="G9" s="214">
        <v>13937802</v>
      </c>
      <c r="H9" s="214">
        <v>13946195</v>
      </c>
      <c r="I9" s="214">
        <v>13954340</v>
      </c>
      <c r="J9" s="214">
        <v>13962876</v>
      </c>
      <c r="K9" s="214">
        <v>13971242</v>
      </c>
      <c r="L9" s="214">
        <v>13979970</v>
      </c>
      <c r="M9" s="214">
        <v>13988784</v>
      </c>
      <c r="N9" s="214">
        <v>13997777</v>
      </c>
      <c r="O9" s="214">
        <v>14005973</v>
      </c>
      <c r="P9" s="214">
        <v>14014128</v>
      </c>
      <c r="Q9" s="214">
        <v>14023022</v>
      </c>
      <c r="R9" s="214">
        <v>14031750</v>
      </c>
      <c r="S9" s="214">
        <v>14040631</v>
      </c>
      <c r="T9" s="214">
        <v>14049509</v>
      </c>
      <c r="U9" s="214">
        <v>14057636</v>
      </c>
      <c r="V9" s="214">
        <v>14065561</v>
      </c>
      <c r="W9" s="214">
        <v>14073650</v>
      </c>
      <c r="X9" s="214">
        <v>14082067</v>
      </c>
      <c r="Y9" s="214">
        <v>14090638</v>
      </c>
      <c r="Z9" s="214">
        <v>14099235</v>
      </c>
      <c r="AA9" s="214">
        <v>14107781</v>
      </c>
      <c r="AB9" s="214">
        <v>14116579</v>
      </c>
      <c r="AC9" s="214">
        <v>14125426</v>
      </c>
      <c r="AD9" s="214">
        <v>14134148</v>
      </c>
      <c r="AE9" s="214">
        <v>14143162</v>
      </c>
      <c r="AF9" s="214">
        <v>14151942</v>
      </c>
      <c r="AG9" s="197"/>
      <c r="AH9" s="214">
        <v>13881300</v>
      </c>
      <c r="AI9" s="101"/>
      <c r="AJ9" s="101"/>
      <c r="AM9" s="102"/>
    </row>
    <row r="10" spans="1:39" ht="20.100000000000001" customHeight="1">
      <c r="A10" s="94" t="s">
        <v>60</v>
      </c>
      <c r="B10" s="212">
        <v>3948802</v>
      </c>
      <c r="C10" s="212">
        <v>3954255</v>
      </c>
      <c r="D10" s="212">
        <v>3959998</v>
      </c>
      <c r="E10" s="212">
        <v>3965787</v>
      </c>
      <c r="F10" s="212">
        <v>3971386</v>
      </c>
      <c r="G10" s="212">
        <v>3977074</v>
      </c>
      <c r="H10" s="212">
        <v>3982502</v>
      </c>
      <c r="I10" s="212">
        <v>3987931</v>
      </c>
      <c r="J10" s="212">
        <v>3993460</v>
      </c>
      <c r="K10" s="212">
        <v>3999098</v>
      </c>
      <c r="L10" s="212">
        <v>4004766</v>
      </c>
      <c r="M10" s="212">
        <v>4010470</v>
      </c>
      <c r="N10" s="212">
        <v>4016224</v>
      </c>
      <c r="O10" s="212">
        <v>4021686</v>
      </c>
      <c r="P10" s="212">
        <v>4027528</v>
      </c>
      <c r="Q10" s="212">
        <v>4032545</v>
      </c>
      <c r="R10" s="212">
        <v>4038213</v>
      </c>
      <c r="S10" s="212">
        <v>4043789</v>
      </c>
      <c r="T10" s="212">
        <v>4049542</v>
      </c>
      <c r="U10" s="212">
        <v>4055177</v>
      </c>
      <c r="V10" s="212">
        <v>4060683</v>
      </c>
      <c r="W10" s="212">
        <v>4066025</v>
      </c>
      <c r="X10" s="212">
        <v>4071390</v>
      </c>
      <c r="Y10" s="212">
        <v>4077027</v>
      </c>
      <c r="Z10" s="212">
        <v>4082727</v>
      </c>
      <c r="AA10" s="212">
        <v>4088372</v>
      </c>
      <c r="AB10" s="212">
        <v>4094045</v>
      </c>
      <c r="AC10" s="212">
        <v>4099411</v>
      </c>
      <c r="AD10" s="212">
        <v>4104483</v>
      </c>
      <c r="AE10" s="212">
        <v>4109737</v>
      </c>
      <c r="AF10" s="212">
        <v>4115383</v>
      </c>
      <c r="AG10" s="195"/>
      <c r="AH10" s="212">
        <v>3943332</v>
      </c>
      <c r="AI10" s="101"/>
      <c r="AJ10" s="101"/>
      <c r="AM10" s="102"/>
    </row>
    <row r="11" spans="1:39" ht="22.5" customHeight="1">
      <c r="A11" s="94" t="s">
        <v>61</v>
      </c>
      <c r="B11" s="212">
        <v>160688</v>
      </c>
      <c r="C11" s="212">
        <v>160836</v>
      </c>
      <c r="D11" s="212">
        <v>160996</v>
      </c>
      <c r="E11" s="212">
        <v>161150</v>
      </c>
      <c r="F11" s="212">
        <v>161314</v>
      </c>
      <c r="G11" s="212">
        <v>161474</v>
      </c>
      <c r="H11" s="212">
        <v>161614</v>
      </c>
      <c r="I11" s="212">
        <v>161739</v>
      </c>
      <c r="J11" s="212">
        <v>161874</v>
      </c>
      <c r="K11" s="212">
        <v>162013</v>
      </c>
      <c r="L11" s="212">
        <v>162150</v>
      </c>
      <c r="M11" s="212">
        <v>162285</v>
      </c>
      <c r="N11" s="212">
        <v>162423</v>
      </c>
      <c r="O11" s="212">
        <v>162549</v>
      </c>
      <c r="P11" s="212">
        <v>162683</v>
      </c>
      <c r="Q11" s="212">
        <v>162821</v>
      </c>
      <c r="R11" s="212">
        <v>162971</v>
      </c>
      <c r="S11" s="212">
        <v>163115</v>
      </c>
      <c r="T11" s="212">
        <v>163269</v>
      </c>
      <c r="U11" s="212">
        <v>163420</v>
      </c>
      <c r="V11" s="212">
        <v>163559</v>
      </c>
      <c r="W11" s="212">
        <v>163678</v>
      </c>
      <c r="X11" s="212">
        <v>163811</v>
      </c>
      <c r="Y11" s="212">
        <v>163957</v>
      </c>
      <c r="Z11" s="212">
        <v>164105</v>
      </c>
      <c r="AA11" s="212">
        <v>164253</v>
      </c>
      <c r="AB11" s="212">
        <v>164406</v>
      </c>
      <c r="AC11" s="212">
        <v>164551</v>
      </c>
      <c r="AD11" s="212">
        <v>164675</v>
      </c>
      <c r="AE11" s="212">
        <v>164806</v>
      </c>
      <c r="AF11" s="212">
        <v>164956</v>
      </c>
      <c r="AG11" s="195"/>
      <c r="AH11" s="212">
        <v>160546</v>
      </c>
      <c r="AI11" s="101"/>
      <c r="AJ11" s="101"/>
      <c r="AM11" s="102"/>
    </row>
    <row r="12" spans="1:39" s="109" customFormat="1" ht="18" customHeight="1">
      <c r="A12" s="103"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98"/>
      <c r="AH12" s="184">
        <f t="shared" ref="AH12" si="0">SUM(AH4:AH11)</f>
        <v>34412061</v>
      </c>
    </row>
    <row r="13" spans="1:39" ht="36.6" customHeight="1">
      <c r="A13" s="87"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81" t="s">
        <v>106</v>
      </c>
      <c r="AG13" s="263"/>
      <c r="AH13" s="181" t="s">
        <v>106</v>
      </c>
    </row>
    <row r="14" spans="1:39" ht="26.1" customHeight="1">
      <c r="A14" s="87" t="s">
        <v>66</v>
      </c>
      <c r="B14" s="182">
        <v>213375.35</v>
      </c>
      <c r="C14" s="182">
        <v>213375.35</v>
      </c>
      <c r="D14" s="182">
        <v>213375.35</v>
      </c>
      <c r="E14" s="182">
        <v>213375.35</v>
      </c>
      <c r="F14" s="182">
        <v>213375.35</v>
      </c>
      <c r="G14" s="182">
        <v>213375.35</v>
      </c>
      <c r="H14" s="182">
        <v>213375.35</v>
      </c>
      <c r="I14" s="182">
        <v>214902.39999999999</v>
      </c>
      <c r="J14" s="182">
        <v>214902.39999999999</v>
      </c>
      <c r="K14" s="182">
        <v>214902.39999999999</v>
      </c>
      <c r="L14" s="182">
        <v>214902.39999999999</v>
      </c>
      <c r="M14" s="182">
        <v>214902.39999999999</v>
      </c>
      <c r="N14" s="182">
        <v>214902.39999999999</v>
      </c>
      <c r="O14" s="182">
        <v>214902.39999999999</v>
      </c>
      <c r="P14" s="182">
        <v>216539.03</v>
      </c>
      <c r="Q14" s="182">
        <v>216539.03</v>
      </c>
      <c r="R14" s="182">
        <v>216539.03</v>
      </c>
      <c r="S14" s="182">
        <v>216539.03</v>
      </c>
      <c r="T14" s="182">
        <v>216539.03</v>
      </c>
      <c r="U14" s="182">
        <v>216539.03</v>
      </c>
      <c r="V14" s="182">
        <v>216539.03</v>
      </c>
      <c r="W14" s="182">
        <v>218181.28</v>
      </c>
      <c r="X14" s="182">
        <v>218181.28</v>
      </c>
      <c r="Y14" s="182">
        <v>218181.28</v>
      </c>
      <c r="Z14" s="182">
        <v>218181.28</v>
      </c>
      <c r="AA14" s="182">
        <v>218181.28</v>
      </c>
      <c r="AB14" s="182">
        <v>218181.28</v>
      </c>
      <c r="AC14" s="182">
        <v>218181.28</v>
      </c>
      <c r="AD14" s="182">
        <v>219881.63</v>
      </c>
      <c r="AE14" s="182">
        <v>219881.63</v>
      </c>
      <c r="AF14" s="182">
        <v>219881.63</v>
      </c>
      <c r="AG14" s="200"/>
      <c r="AH14" s="182">
        <v>211951.43</v>
      </c>
      <c r="AI14" s="275">
        <f>AF14-B14</f>
        <v>6506.2799999999988</v>
      </c>
    </row>
    <row r="15" spans="1:39" ht="26.1" customHeight="1">
      <c r="A15" s="87" t="s">
        <v>67</v>
      </c>
      <c r="B15" s="183">
        <v>1132</v>
      </c>
      <c r="C15" s="183">
        <v>1132</v>
      </c>
      <c r="D15" s="183">
        <v>1132</v>
      </c>
      <c r="E15" s="183">
        <v>1132</v>
      </c>
      <c r="F15" s="183">
        <v>1132</v>
      </c>
      <c r="G15" s="183">
        <v>1132</v>
      </c>
      <c r="H15" s="183">
        <v>1132</v>
      </c>
      <c r="I15" s="183">
        <v>1132</v>
      </c>
      <c r="J15" s="183">
        <v>1132</v>
      </c>
      <c r="K15" s="183">
        <v>1132</v>
      </c>
      <c r="L15" s="183">
        <v>1132</v>
      </c>
      <c r="M15" s="183">
        <v>1132</v>
      </c>
      <c r="N15" s="183">
        <v>1132</v>
      </c>
      <c r="O15" s="183">
        <v>1132</v>
      </c>
      <c r="P15" s="183">
        <v>1132</v>
      </c>
      <c r="Q15" s="183">
        <v>1132</v>
      </c>
      <c r="R15" s="183">
        <v>1132</v>
      </c>
      <c r="S15" s="183">
        <v>1132</v>
      </c>
      <c r="T15" s="183">
        <v>1132</v>
      </c>
      <c r="U15" s="183">
        <v>1132</v>
      </c>
      <c r="V15" s="183">
        <v>1132</v>
      </c>
      <c r="W15" s="183">
        <v>1132</v>
      </c>
      <c r="X15" s="183">
        <v>1132</v>
      </c>
      <c r="Y15" s="183">
        <v>1132</v>
      </c>
      <c r="Z15" s="183">
        <v>1132</v>
      </c>
      <c r="AA15" s="183">
        <v>1132</v>
      </c>
      <c r="AB15" s="183">
        <v>1132</v>
      </c>
      <c r="AC15" s="183">
        <v>1132</v>
      </c>
      <c r="AD15" s="183">
        <v>1132</v>
      </c>
      <c r="AE15" s="183">
        <v>1132</v>
      </c>
      <c r="AF15" s="183">
        <v>1132</v>
      </c>
      <c r="AG15" s="202"/>
      <c r="AH15" s="183">
        <v>1132</v>
      </c>
    </row>
    <row r="16" spans="1:39" ht="25.5">
      <c r="A16" s="87" t="s">
        <v>68</v>
      </c>
      <c r="B16" s="183">
        <v>4587</v>
      </c>
      <c r="C16" s="183">
        <v>4587</v>
      </c>
      <c r="D16" s="183">
        <v>4587</v>
      </c>
      <c r="E16" s="183">
        <v>4587</v>
      </c>
      <c r="F16" s="183">
        <v>4587</v>
      </c>
      <c r="G16" s="183">
        <v>4587</v>
      </c>
      <c r="H16" s="183">
        <v>4587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183">
        <v>4587</v>
      </c>
      <c r="AE16" s="183">
        <v>4587</v>
      </c>
      <c r="AF16" s="183">
        <v>4587</v>
      </c>
      <c r="AG16" s="202"/>
      <c r="AH16" s="183">
        <v>4587</v>
      </c>
    </row>
    <row r="17" spans="1:34" ht="20.100000000000001" customHeight="1">
      <c r="A17" s="12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203"/>
      <c r="AH17" s="162"/>
    </row>
    <row r="18" spans="1:34" ht="21.6" customHeight="1">
      <c r="A18" s="87"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81" t="s">
        <v>106</v>
      </c>
      <c r="AG18" s="263"/>
      <c r="AH18" s="181" t="s">
        <v>106</v>
      </c>
    </row>
    <row r="19" spans="1:34" ht="26.1" customHeight="1">
      <c r="A19" s="127" t="s">
        <v>70</v>
      </c>
      <c r="B19" s="186">
        <v>57830.5</v>
      </c>
      <c r="C19" s="186">
        <v>57867.1</v>
      </c>
      <c r="D19" s="186">
        <v>57894.1</v>
      </c>
      <c r="E19" s="186">
        <v>57924.5</v>
      </c>
      <c r="F19" s="186">
        <v>57939.7</v>
      </c>
      <c r="G19" s="186">
        <v>57960.2</v>
      </c>
      <c r="H19" s="186">
        <v>57976.6</v>
      </c>
      <c r="I19" s="186">
        <v>57976.6</v>
      </c>
      <c r="J19" s="186">
        <v>58006.9</v>
      </c>
      <c r="K19" s="186">
        <v>58025.8</v>
      </c>
      <c r="L19" s="186">
        <v>58045.5</v>
      </c>
      <c r="M19" s="186">
        <v>58058.9</v>
      </c>
      <c r="N19" s="186">
        <v>58075.5</v>
      </c>
      <c r="O19" s="186">
        <v>58097.5</v>
      </c>
      <c r="P19" s="186">
        <v>58097.5</v>
      </c>
      <c r="Q19" s="186">
        <v>58132.800000000003</v>
      </c>
      <c r="R19" s="186">
        <v>58132.800000000003</v>
      </c>
      <c r="S19" s="186">
        <v>58165.7</v>
      </c>
      <c r="T19" s="186">
        <v>58196.4</v>
      </c>
      <c r="U19" s="186">
        <v>58213.2</v>
      </c>
      <c r="V19" s="186">
        <v>58234.9</v>
      </c>
      <c r="W19" s="186">
        <v>58234.9</v>
      </c>
      <c r="X19" s="186">
        <v>58256.9</v>
      </c>
      <c r="Y19" s="186">
        <v>58256.9</v>
      </c>
      <c r="Z19" s="186">
        <v>58291.9</v>
      </c>
      <c r="AA19" s="186">
        <v>58308.7</v>
      </c>
      <c r="AB19" s="186">
        <v>58324.4</v>
      </c>
      <c r="AC19" s="186">
        <v>58341.1</v>
      </c>
      <c r="AD19" s="186">
        <v>58341.1</v>
      </c>
      <c r="AE19" s="186">
        <v>58369.1</v>
      </c>
      <c r="AF19" s="186">
        <v>58397.7</v>
      </c>
      <c r="AG19" s="201"/>
      <c r="AH19" s="186">
        <v>57830.5</v>
      </c>
    </row>
    <row r="20" spans="1:34" ht="39" customHeight="1">
      <c r="A20" s="87" t="s">
        <v>71</v>
      </c>
      <c r="B20" s="183" t="s">
        <v>607</v>
      </c>
      <c r="C20" s="183" t="s">
        <v>607</v>
      </c>
      <c r="D20" s="183" t="s">
        <v>607</v>
      </c>
      <c r="E20" s="183" t="s">
        <v>607</v>
      </c>
      <c r="F20" s="183" t="s">
        <v>607</v>
      </c>
      <c r="G20" s="183" t="s">
        <v>607</v>
      </c>
      <c r="H20" s="183" t="s">
        <v>607</v>
      </c>
      <c r="I20" s="183" t="s">
        <v>607</v>
      </c>
      <c r="J20" s="183" t="s">
        <v>607</v>
      </c>
      <c r="K20" s="183" t="s">
        <v>607</v>
      </c>
      <c r="L20" s="183" t="s">
        <v>607</v>
      </c>
      <c r="M20" s="183" t="s">
        <v>607</v>
      </c>
      <c r="N20" s="183" t="s">
        <v>607</v>
      </c>
      <c r="O20" s="183" t="s">
        <v>600</v>
      </c>
      <c r="P20" s="183" t="s">
        <v>600</v>
      </c>
      <c r="Q20" s="183" t="s">
        <v>608</v>
      </c>
      <c r="R20" s="183" t="s">
        <v>609</v>
      </c>
      <c r="S20" s="183" t="s">
        <v>610</v>
      </c>
      <c r="T20" s="183" t="s">
        <v>611</v>
      </c>
      <c r="U20" s="183" t="s">
        <v>612</v>
      </c>
      <c r="V20" s="183" t="s">
        <v>613</v>
      </c>
      <c r="W20" s="183" t="s">
        <v>614</v>
      </c>
      <c r="X20" s="183" t="s">
        <v>615</v>
      </c>
      <c r="Y20" s="183" t="s">
        <v>616</v>
      </c>
      <c r="Z20" s="183" t="s">
        <v>617</v>
      </c>
      <c r="AA20" s="183" t="s">
        <v>618</v>
      </c>
      <c r="AB20" s="183" t="s">
        <v>619</v>
      </c>
      <c r="AC20" s="183" t="s">
        <v>620</v>
      </c>
      <c r="AD20" s="183" t="s">
        <v>621</v>
      </c>
      <c r="AE20" s="183" t="s">
        <v>622</v>
      </c>
      <c r="AF20" s="183" t="s">
        <v>623</v>
      </c>
      <c r="AG20" s="206"/>
      <c r="AH20" s="183" t="s">
        <v>600</v>
      </c>
    </row>
    <row r="21" spans="1:34" ht="25.5">
      <c r="A21" s="87" t="s">
        <v>72</v>
      </c>
      <c r="B21" s="183">
        <v>73096</v>
      </c>
      <c r="C21" s="183">
        <v>73096</v>
      </c>
      <c r="D21" s="183">
        <v>73096</v>
      </c>
      <c r="E21" s="183">
        <v>73096</v>
      </c>
      <c r="F21" s="183">
        <v>73096</v>
      </c>
      <c r="G21" s="183">
        <v>73096</v>
      </c>
      <c r="H21" s="183">
        <v>73096</v>
      </c>
      <c r="I21" s="183">
        <v>73641</v>
      </c>
      <c r="J21" s="183">
        <v>73641</v>
      </c>
      <c r="K21" s="183">
        <v>73641</v>
      </c>
      <c r="L21" s="183">
        <v>73641</v>
      </c>
      <c r="M21" s="183">
        <v>73641</v>
      </c>
      <c r="N21" s="183">
        <v>73641</v>
      </c>
      <c r="O21" s="183">
        <v>73641</v>
      </c>
      <c r="P21" s="183">
        <v>74094</v>
      </c>
      <c r="Q21" s="183">
        <v>74094</v>
      </c>
      <c r="R21" s="183">
        <v>74094</v>
      </c>
      <c r="S21" s="183">
        <v>74094</v>
      </c>
      <c r="T21" s="183">
        <v>74094</v>
      </c>
      <c r="U21" s="183">
        <v>74094</v>
      </c>
      <c r="V21" s="183">
        <v>74094</v>
      </c>
      <c r="W21" s="183">
        <v>74620</v>
      </c>
      <c r="X21" s="183">
        <v>74620</v>
      </c>
      <c r="Y21" s="183">
        <v>74620</v>
      </c>
      <c r="Z21" s="183">
        <v>74620</v>
      </c>
      <c r="AA21" s="183">
        <v>74620</v>
      </c>
      <c r="AB21" s="183">
        <v>74620</v>
      </c>
      <c r="AC21" s="183">
        <v>74620</v>
      </c>
      <c r="AD21" s="183">
        <v>75056</v>
      </c>
      <c r="AE21" s="183">
        <v>75056</v>
      </c>
      <c r="AF21" s="183">
        <v>75056</v>
      </c>
      <c r="AG21" s="201"/>
      <c r="AH21" s="183">
        <v>72655</v>
      </c>
    </row>
    <row r="22" spans="1:34" ht="25.5">
      <c r="A22" s="87" t="s">
        <v>73</v>
      </c>
      <c r="B22" s="183">
        <v>136847</v>
      </c>
      <c r="C22" s="183">
        <v>136901</v>
      </c>
      <c r="D22" s="183">
        <v>136962</v>
      </c>
      <c r="E22" s="183">
        <v>137017</v>
      </c>
      <c r="F22" s="183">
        <v>137058</v>
      </c>
      <c r="G22" s="183">
        <v>137101</v>
      </c>
      <c r="H22" s="183">
        <v>137144</v>
      </c>
      <c r="I22" s="183">
        <v>137197</v>
      </c>
      <c r="J22" s="183">
        <v>137223</v>
      </c>
      <c r="K22" s="183">
        <v>137267</v>
      </c>
      <c r="L22" s="183">
        <v>137306</v>
      </c>
      <c r="M22" s="183">
        <v>137348</v>
      </c>
      <c r="N22" s="183">
        <v>137391</v>
      </c>
      <c r="O22" s="183">
        <v>137444</v>
      </c>
      <c r="P22" s="183">
        <v>137481</v>
      </c>
      <c r="Q22" s="183">
        <v>137519</v>
      </c>
      <c r="R22" s="183">
        <v>137574</v>
      </c>
      <c r="S22" s="183">
        <v>137637</v>
      </c>
      <c r="T22" s="183">
        <v>137684</v>
      </c>
      <c r="U22" s="183">
        <v>137729</v>
      </c>
      <c r="V22" s="183">
        <v>137777</v>
      </c>
      <c r="W22" s="183">
        <v>137808</v>
      </c>
      <c r="X22" s="183">
        <v>137840</v>
      </c>
      <c r="Y22" s="183">
        <v>137888</v>
      </c>
      <c r="Z22" s="183">
        <v>137933</v>
      </c>
      <c r="AA22" s="183">
        <v>137973</v>
      </c>
      <c r="AB22" s="183">
        <v>138016</v>
      </c>
      <c r="AC22" s="183">
        <v>138067</v>
      </c>
      <c r="AD22" s="183">
        <v>138103</v>
      </c>
      <c r="AE22" s="183">
        <v>138147</v>
      </c>
      <c r="AF22" s="183">
        <v>138195</v>
      </c>
      <c r="AG22" s="201">
        <f>AF22-AH22</f>
        <v>1406</v>
      </c>
      <c r="AH22" s="183">
        <v>136789</v>
      </c>
    </row>
    <row r="23" spans="1:34">
      <c r="A23" s="189" t="s">
        <v>136</v>
      </c>
      <c r="B23" s="183">
        <v>2421</v>
      </c>
      <c r="C23" s="183">
        <v>2421</v>
      </c>
      <c r="D23" s="183">
        <v>2421</v>
      </c>
      <c r="E23" s="183">
        <v>2421</v>
      </c>
      <c r="F23" s="183">
        <v>2421</v>
      </c>
      <c r="G23" s="183">
        <v>2421</v>
      </c>
      <c r="H23" s="183">
        <v>2421</v>
      </c>
      <c r="I23" s="183">
        <v>2453</v>
      </c>
      <c r="J23" s="183">
        <v>2453</v>
      </c>
      <c r="K23" s="183">
        <v>2453</v>
      </c>
      <c r="L23" s="183">
        <v>2453</v>
      </c>
      <c r="M23" s="183">
        <v>2453</v>
      </c>
      <c r="N23" s="183">
        <v>2453</v>
      </c>
      <c r="O23" s="183">
        <v>2453</v>
      </c>
      <c r="P23" s="183">
        <v>2490</v>
      </c>
      <c r="Q23" s="183">
        <v>2490</v>
      </c>
      <c r="R23" s="183">
        <v>2490</v>
      </c>
      <c r="S23" s="183">
        <v>2490</v>
      </c>
      <c r="T23" s="183">
        <v>2490</v>
      </c>
      <c r="U23" s="183">
        <v>2490</v>
      </c>
      <c r="V23" s="183">
        <v>2490</v>
      </c>
      <c r="W23" s="183">
        <v>2532</v>
      </c>
      <c r="X23" s="183">
        <v>2532</v>
      </c>
      <c r="Y23" s="183">
        <v>2532</v>
      </c>
      <c r="Z23" s="183">
        <v>2532</v>
      </c>
      <c r="AA23" s="183">
        <v>2532</v>
      </c>
      <c r="AB23" s="183">
        <v>2532</v>
      </c>
      <c r="AC23" s="183">
        <v>2532</v>
      </c>
      <c r="AD23" s="183">
        <v>2586</v>
      </c>
      <c r="AE23" s="183">
        <v>2586</v>
      </c>
      <c r="AF23" s="183">
        <v>2586</v>
      </c>
      <c r="AG23" s="205"/>
      <c r="AH23" s="183">
        <v>2379</v>
      </c>
    </row>
    <row r="24" spans="1:34">
      <c r="A24" s="189" t="s">
        <v>139</v>
      </c>
      <c r="B24" s="183">
        <v>2774</v>
      </c>
      <c r="C24" s="183">
        <v>2774</v>
      </c>
      <c r="D24" s="183">
        <v>2774</v>
      </c>
      <c r="E24" s="183">
        <v>2774</v>
      </c>
      <c r="F24" s="183">
        <v>2774</v>
      </c>
      <c r="G24" s="183">
        <v>2774</v>
      </c>
      <c r="H24" s="183">
        <v>2774</v>
      </c>
      <c r="I24" s="183">
        <v>2845</v>
      </c>
      <c r="J24" s="183">
        <v>2845</v>
      </c>
      <c r="K24" s="183">
        <v>2845</v>
      </c>
      <c r="L24" s="183">
        <v>2845</v>
      </c>
      <c r="M24" s="183">
        <v>2845</v>
      </c>
      <c r="N24" s="183">
        <v>2845</v>
      </c>
      <c r="O24" s="183">
        <v>2845</v>
      </c>
      <c r="P24" s="183">
        <v>2897</v>
      </c>
      <c r="Q24" s="183">
        <v>2897</v>
      </c>
      <c r="R24" s="183">
        <v>2897</v>
      </c>
      <c r="S24" s="183">
        <v>2897</v>
      </c>
      <c r="T24" s="183">
        <v>2897</v>
      </c>
      <c r="U24" s="183">
        <v>2897</v>
      </c>
      <c r="V24" s="183">
        <v>2897</v>
      </c>
      <c r="W24" s="183">
        <v>2941</v>
      </c>
      <c r="X24" s="183">
        <v>2941</v>
      </c>
      <c r="Y24" s="183">
        <v>2941</v>
      </c>
      <c r="Z24" s="183">
        <v>2941</v>
      </c>
      <c r="AA24" s="183">
        <v>2941</v>
      </c>
      <c r="AB24" s="183">
        <v>2941</v>
      </c>
      <c r="AC24" s="183">
        <v>2941</v>
      </c>
      <c r="AD24" s="183">
        <v>2985</v>
      </c>
      <c r="AE24" s="183">
        <v>2985</v>
      </c>
      <c r="AF24" s="183">
        <v>2985</v>
      </c>
      <c r="AG24" s="205"/>
      <c r="AH24" s="183">
        <v>2730</v>
      </c>
    </row>
    <row r="25" spans="1:34">
      <c r="A25" s="189" t="s">
        <v>142</v>
      </c>
      <c r="B25" s="183">
        <v>871</v>
      </c>
      <c r="C25" s="183">
        <v>871</v>
      </c>
      <c r="D25" s="183">
        <v>871</v>
      </c>
      <c r="E25" s="183">
        <v>871</v>
      </c>
      <c r="F25" s="183">
        <v>871</v>
      </c>
      <c r="G25" s="183">
        <v>871</v>
      </c>
      <c r="H25" s="183">
        <v>871</v>
      </c>
      <c r="I25" s="183">
        <v>924</v>
      </c>
      <c r="J25" s="183">
        <v>924</v>
      </c>
      <c r="K25" s="183">
        <v>924</v>
      </c>
      <c r="L25" s="183">
        <v>924</v>
      </c>
      <c r="M25" s="183">
        <v>924</v>
      </c>
      <c r="N25" s="183">
        <v>924</v>
      </c>
      <c r="O25" s="183">
        <v>924</v>
      </c>
      <c r="P25" s="183">
        <v>969</v>
      </c>
      <c r="Q25" s="183">
        <v>969</v>
      </c>
      <c r="R25" s="183">
        <v>969</v>
      </c>
      <c r="S25" s="183">
        <v>969</v>
      </c>
      <c r="T25" s="183">
        <v>969</v>
      </c>
      <c r="U25" s="183">
        <v>969</v>
      </c>
      <c r="V25" s="183">
        <v>969</v>
      </c>
      <c r="W25" s="183">
        <v>999</v>
      </c>
      <c r="X25" s="183">
        <v>999</v>
      </c>
      <c r="Y25" s="183">
        <v>999</v>
      </c>
      <c r="Z25" s="183">
        <v>999</v>
      </c>
      <c r="AA25" s="183">
        <v>999</v>
      </c>
      <c r="AB25" s="183">
        <v>999</v>
      </c>
      <c r="AC25" s="183">
        <v>999</v>
      </c>
      <c r="AD25" s="183">
        <v>1018</v>
      </c>
      <c r="AE25" s="183">
        <v>1018</v>
      </c>
      <c r="AF25" s="183">
        <v>1018</v>
      </c>
      <c r="AG25" s="205"/>
      <c r="AH25" s="183">
        <v>824</v>
      </c>
    </row>
    <row r="26" spans="1:34">
      <c r="A26" s="189" t="s">
        <v>145</v>
      </c>
      <c r="B26" s="183">
        <v>154</v>
      </c>
      <c r="C26" s="183">
        <v>154</v>
      </c>
      <c r="D26" s="183">
        <v>154</v>
      </c>
      <c r="E26" s="183">
        <v>154</v>
      </c>
      <c r="F26" s="183">
        <v>154</v>
      </c>
      <c r="G26" s="183">
        <v>154</v>
      </c>
      <c r="H26" s="183">
        <v>154</v>
      </c>
      <c r="I26" s="183">
        <v>155</v>
      </c>
      <c r="J26" s="183">
        <v>155</v>
      </c>
      <c r="K26" s="183">
        <v>155</v>
      </c>
      <c r="L26" s="183">
        <v>155</v>
      </c>
      <c r="M26" s="183">
        <v>155</v>
      </c>
      <c r="N26" s="183">
        <v>155</v>
      </c>
      <c r="O26" s="183">
        <v>155</v>
      </c>
      <c r="P26" s="183">
        <v>156</v>
      </c>
      <c r="Q26" s="183">
        <v>156</v>
      </c>
      <c r="R26" s="183">
        <v>156</v>
      </c>
      <c r="S26" s="183">
        <v>156</v>
      </c>
      <c r="T26" s="183">
        <v>156</v>
      </c>
      <c r="U26" s="183">
        <v>156</v>
      </c>
      <c r="V26" s="183">
        <v>156</v>
      </c>
      <c r="W26" s="183">
        <v>157</v>
      </c>
      <c r="X26" s="183">
        <v>157</v>
      </c>
      <c r="Y26" s="183">
        <v>157</v>
      </c>
      <c r="Z26" s="183">
        <v>157</v>
      </c>
      <c r="AA26" s="183">
        <v>157</v>
      </c>
      <c r="AB26" s="183">
        <v>157</v>
      </c>
      <c r="AC26" s="183">
        <v>157</v>
      </c>
      <c r="AD26" s="183">
        <v>159</v>
      </c>
      <c r="AE26" s="183">
        <v>159</v>
      </c>
      <c r="AF26" s="183">
        <v>159</v>
      </c>
      <c r="AG26" s="205"/>
      <c r="AH26" s="183">
        <v>151</v>
      </c>
    </row>
    <row r="27" spans="1:34">
      <c r="A27" s="189" t="s">
        <v>148</v>
      </c>
      <c r="B27" s="183">
        <v>2898</v>
      </c>
      <c r="C27" s="183">
        <v>2898</v>
      </c>
      <c r="D27" s="183">
        <v>2898</v>
      </c>
      <c r="E27" s="183">
        <v>2898</v>
      </c>
      <c r="F27" s="183">
        <v>2898</v>
      </c>
      <c r="G27" s="183">
        <v>2898</v>
      </c>
      <c r="H27" s="183">
        <v>2898</v>
      </c>
      <c r="I27" s="183">
        <v>2938</v>
      </c>
      <c r="J27" s="183">
        <v>2938</v>
      </c>
      <c r="K27" s="183">
        <v>2938</v>
      </c>
      <c r="L27" s="183">
        <v>2938</v>
      </c>
      <c r="M27" s="183">
        <v>2938</v>
      </c>
      <c r="N27" s="183">
        <v>2938</v>
      </c>
      <c r="O27" s="183">
        <v>2938</v>
      </c>
      <c r="P27" s="183">
        <v>2982</v>
      </c>
      <c r="Q27" s="183">
        <v>2982</v>
      </c>
      <c r="R27" s="183">
        <v>2982</v>
      </c>
      <c r="S27" s="183">
        <v>2982</v>
      </c>
      <c r="T27" s="183">
        <v>2982</v>
      </c>
      <c r="U27" s="183">
        <v>2982</v>
      </c>
      <c r="V27" s="183">
        <v>2982</v>
      </c>
      <c r="W27" s="183">
        <v>3032</v>
      </c>
      <c r="X27" s="183">
        <v>3032</v>
      </c>
      <c r="Y27" s="183">
        <v>3032</v>
      </c>
      <c r="Z27" s="183">
        <v>3032</v>
      </c>
      <c r="AA27" s="183">
        <v>3032</v>
      </c>
      <c r="AB27" s="183">
        <v>3032</v>
      </c>
      <c r="AC27" s="183">
        <v>3032</v>
      </c>
      <c r="AD27" s="183">
        <v>3086</v>
      </c>
      <c r="AE27" s="183">
        <v>3086</v>
      </c>
      <c r="AF27" s="183">
        <v>3086</v>
      </c>
      <c r="AG27" s="205"/>
      <c r="AH27" s="183">
        <v>2883</v>
      </c>
    </row>
    <row r="28" spans="1:34" ht="15.6" customHeight="1">
      <c r="A28" s="189" t="s">
        <v>151</v>
      </c>
      <c r="B28" s="183">
        <v>531</v>
      </c>
      <c r="C28" s="183">
        <v>531</v>
      </c>
      <c r="D28" s="183">
        <v>531</v>
      </c>
      <c r="E28" s="183">
        <v>531</v>
      </c>
      <c r="F28" s="183">
        <v>531</v>
      </c>
      <c r="G28" s="183">
        <v>531</v>
      </c>
      <c r="H28" s="183">
        <v>531</v>
      </c>
      <c r="I28" s="183">
        <v>543</v>
      </c>
      <c r="J28" s="183">
        <v>543</v>
      </c>
      <c r="K28" s="183">
        <v>543</v>
      </c>
      <c r="L28" s="183">
        <v>543</v>
      </c>
      <c r="M28" s="183">
        <v>543</v>
      </c>
      <c r="N28" s="183">
        <v>543</v>
      </c>
      <c r="O28" s="183">
        <v>543</v>
      </c>
      <c r="P28" s="183">
        <v>553</v>
      </c>
      <c r="Q28" s="183">
        <v>553</v>
      </c>
      <c r="R28" s="183">
        <v>553</v>
      </c>
      <c r="S28" s="183">
        <v>553</v>
      </c>
      <c r="T28" s="183">
        <v>553</v>
      </c>
      <c r="U28" s="183">
        <v>553</v>
      </c>
      <c r="V28" s="183">
        <v>553</v>
      </c>
      <c r="W28" s="183">
        <v>564</v>
      </c>
      <c r="X28" s="183">
        <v>564</v>
      </c>
      <c r="Y28" s="183">
        <v>564</v>
      </c>
      <c r="Z28" s="183">
        <v>564</v>
      </c>
      <c r="AA28" s="183">
        <v>564</v>
      </c>
      <c r="AB28" s="183">
        <v>564</v>
      </c>
      <c r="AC28" s="183">
        <v>564</v>
      </c>
      <c r="AD28" s="183">
        <v>576</v>
      </c>
      <c r="AE28" s="183">
        <v>576</v>
      </c>
      <c r="AF28" s="183">
        <v>576</v>
      </c>
      <c r="AG28" s="205"/>
      <c r="AH28" s="183">
        <v>521</v>
      </c>
    </row>
    <row r="29" spans="1:34">
      <c r="A29" s="189" t="s">
        <v>154</v>
      </c>
      <c r="B29" s="183">
        <v>207</v>
      </c>
      <c r="C29" s="183">
        <v>207</v>
      </c>
      <c r="D29" s="183">
        <v>207</v>
      </c>
      <c r="E29" s="183">
        <v>207</v>
      </c>
      <c r="F29" s="183">
        <v>207</v>
      </c>
      <c r="G29" s="183">
        <v>207</v>
      </c>
      <c r="H29" s="183">
        <v>207</v>
      </c>
      <c r="I29" s="183">
        <v>215</v>
      </c>
      <c r="J29" s="183">
        <v>215</v>
      </c>
      <c r="K29" s="183">
        <v>215</v>
      </c>
      <c r="L29" s="183">
        <v>215</v>
      </c>
      <c r="M29" s="183">
        <v>215</v>
      </c>
      <c r="N29" s="183">
        <v>215</v>
      </c>
      <c r="O29" s="183">
        <v>215</v>
      </c>
      <c r="P29" s="183">
        <v>223</v>
      </c>
      <c r="Q29" s="183">
        <v>223</v>
      </c>
      <c r="R29" s="183">
        <v>223</v>
      </c>
      <c r="S29" s="183">
        <v>223</v>
      </c>
      <c r="T29" s="183">
        <v>223</v>
      </c>
      <c r="U29" s="183">
        <v>223</v>
      </c>
      <c r="V29" s="183">
        <v>223</v>
      </c>
      <c r="W29" s="183">
        <v>230</v>
      </c>
      <c r="X29" s="183">
        <v>230</v>
      </c>
      <c r="Y29" s="183">
        <v>230</v>
      </c>
      <c r="Z29" s="183">
        <v>230</v>
      </c>
      <c r="AA29" s="183">
        <v>230</v>
      </c>
      <c r="AB29" s="183">
        <v>230</v>
      </c>
      <c r="AC29" s="183">
        <v>230</v>
      </c>
      <c r="AD29" s="183">
        <v>238</v>
      </c>
      <c r="AE29" s="183">
        <v>238</v>
      </c>
      <c r="AF29" s="183">
        <v>238</v>
      </c>
      <c r="AG29" s="205"/>
      <c r="AH29" s="183">
        <v>199</v>
      </c>
    </row>
    <row r="30" spans="1:34">
      <c r="A30" s="138"/>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207"/>
      <c r="AH30" s="162"/>
    </row>
    <row r="31" spans="1:34" ht="21.95" customHeight="1">
      <c r="A31" s="87"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81" t="s">
        <v>157</v>
      </c>
      <c r="AG31" s="263"/>
      <c r="AH31" s="181" t="s">
        <v>157</v>
      </c>
    </row>
    <row r="32" spans="1:34" ht="25.5">
      <c r="A32" s="127" t="s">
        <v>77</v>
      </c>
      <c r="B32" s="190" t="s">
        <v>158</v>
      </c>
      <c r="C32" s="190" t="s">
        <v>158</v>
      </c>
      <c r="D32" s="190" t="s">
        <v>158</v>
      </c>
      <c r="E32" s="190" t="s">
        <v>158</v>
      </c>
      <c r="F32" s="190" t="s">
        <v>158</v>
      </c>
      <c r="G32" s="190" t="s">
        <v>158</v>
      </c>
      <c r="H32" s="190" t="s">
        <v>158</v>
      </c>
      <c r="I32" s="190" t="s">
        <v>158</v>
      </c>
      <c r="J32" s="190" t="s">
        <v>158</v>
      </c>
      <c r="K32" s="190" t="s">
        <v>158</v>
      </c>
      <c r="L32" s="190" t="s">
        <v>158</v>
      </c>
      <c r="M32" s="190" t="s">
        <v>158</v>
      </c>
      <c r="N32" s="190" t="s">
        <v>158</v>
      </c>
      <c r="O32" s="190" t="s">
        <v>158</v>
      </c>
      <c r="P32" s="190" t="s">
        <v>158</v>
      </c>
      <c r="Q32" s="190" t="s">
        <v>158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190" t="s">
        <v>78</v>
      </c>
      <c r="AG32" s="209"/>
      <c r="AH32" s="190" t="s">
        <v>158</v>
      </c>
    </row>
    <row r="33" spans="1:34" ht="25.5">
      <c r="A33" s="87" t="s">
        <v>80</v>
      </c>
      <c r="B33" s="187" t="s">
        <v>624</v>
      </c>
      <c r="C33" s="187" t="s">
        <v>625</v>
      </c>
      <c r="D33" s="187" t="s">
        <v>625</v>
      </c>
      <c r="E33" s="187" t="s">
        <v>626</v>
      </c>
      <c r="F33" s="187" t="s">
        <v>627</v>
      </c>
      <c r="G33" s="187" t="s">
        <v>628</v>
      </c>
      <c r="H33" s="187" t="s">
        <v>629</v>
      </c>
      <c r="I33" s="187" t="s">
        <v>629</v>
      </c>
      <c r="J33" s="187" t="s">
        <v>630</v>
      </c>
      <c r="K33" s="187" t="s">
        <v>631</v>
      </c>
      <c r="L33" s="187" t="s">
        <v>632</v>
      </c>
      <c r="M33" s="187" t="s">
        <v>633</v>
      </c>
      <c r="N33" s="187" t="s">
        <v>634</v>
      </c>
      <c r="O33" s="187" t="s">
        <v>634</v>
      </c>
      <c r="P33" s="187" t="s">
        <v>635</v>
      </c>
      <c r="Q33" s="187" t="s">
        <v>636</v>
      </c>
      <c r="R33" s="187" t="s">
        <v>636</v>
      </c>
      <c r="S33" s="187" t="s">
        <v>637</v>
      </c>
      <c r="T33" s="187" t="s">
        <v>637</v>
      </c>
      <c r="U33" s="187" t="s">
        <v>638</v>
      </c>
      <c r="V33" s="187" t="s">
        <v>639</v>
      </c>
      <c r="W33" s="187" t="s">
        <v>640</v>
      </c>
      <c r="X33" s="187" t="s">
        <v>641</v>
      </c>
      <c r="Y33" s="187" t="s">
        <v>641</v>
      </c>
      <c r="Z33" s="187" t="s">
        <v>642</v>
      </c>
      <c r="AA33" s="187" t="s">
        <v>643</v>
      </c>
      <c r="AB33" s="187" t="s">
        <v>644</v>
      </c>
      <c r="AC33" s="187" t="s">
        <v>645</v>
      </c>
      <c r="AD33" s="187" t="s">
        <v>646</v>
      </c>
      <c r="AE33" s="187" t="s">
        <v>647</v>
      </c>
      <c r="AF33" s="187" t="s">
        <v>647</v>
      </c>
      <c r="AG33" s="206"/>
      <c r="AH33" s="187" t="s">
        <v>605</v>
      </c>
    </row>
    <row r="34" spans="1:34" ht="15.75" thickBot="1">
      <c r="A34" s="139" t="s">
        <v>81</v>
      </c>
      <c r="B34" s="187" t="s">
        <v>583</v>
      </c>
      <c r="C34" s="187" t="s">
        <v>583</v>
      </c>
      <c r="D34" s="187" t="s">
        <v>583</v>
      </c>
      <c r="E34" s="187" t="s">
        <v>583</v>
      </c>
      <c r="F34" s="187" t="s">
        <v>583</v>
      </c>
      <c r="G34" s="187" t="s">
        <v>648</v>
      </c>
      <c r="H34" s="187" t="s">
        <v>649</v>
      </c>
      <c r="I34" s="187" t="s">
        <v>648</v>
      </c>
      <c r="J34" s="187" t="s">
        <v>648</v>
      </c>
      <c r="K34" s="187" t="s">
        <v>648</v>
      </c>
      <c r="L34" s="187" t="s">
        <v>648</v>
      </c>
      <c r="M34" s="187" t="s">
        <v>648</v>
      </c>
      <c r="N34" s="187" t="s">
        <v>648</v>
      </c>
      <c r="O34" s="187" t="s">
        <v>648</v>
      </c>
      <c r="P34" s="187" t="s">
        <v>650</v>
      </c>
      <c r="Q34" s="187" t="s">
        <v>650</v>
      </c>
      <c r="R34" s="187" t="s">
        <v>651</v>
      </c>
      <c r="S34" s="187" t="s">
        <v>651</v>
      </c>
      <c r="T34" s="187" t="s">
        <v>651</v>
      </c>
      <c r="U34" s="187" t="s">
        <v>651</v>
      </c>
      <c r="V34" s="187" t="s">
        <v>651</v>
      </c>
      <c r="W34" s="187" t="s">
        <v>651</v>
      </c>
      <c r="X34" s="187" t="s">
        <v>651</v>
      </c>
      <c r="Y34" s="187" t="s">
        <v>651</v>
      </c>
      <c r="Z34" s="187" t="s">
        <v>651</v>
      </c>
      <c r="AA34" s="187" t="s">
        <v>651</v>
      </c>
      <c r="AB34" s="187" t="s">
        <v>651</v>
      </c>
      <c r="AC34" s="187" t="s">
        <v>650</v>
      </c>
      <c r="AD34" s="187" t="s">
        <v>651</v>
      </c>
      <c r="AE34" s="187" t="s">
        <v>651</v>
      </c>
      <c r="AF34" s="187" t="s">
        <v>651</v>
      </c>
      <c r="AG34" s="206"/>
      <c r="AH34" s="187" t="s">
        <v>606</v>
      </c>
    </row>
    <row r="35" spans="1:34">
      <c r="AG35" s="211"/>
    </row>
    <row r="36" spans="1:34">
      <c r="AG36" s="211"/>
    </row>
  </sheetData>
  <mergeCells count="1">
    <mergeCell ref="A1:AH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A2AB-903B-49C9-9523-C8F393244CE5}">
  <dimension ref="A1:AK36"/>
  <sheetViews>
    <sheetView topLeftCell="M1" workbookViewId="0">
      <selection activeCell="AD23" sqref="AD23"/>
    </sheetView>
  </sheetViews>
  <sheetFormatPr defaultRowHeight="15"/>
  <cols>
    <col min="1" max="1" width="30.42578125" style="20" customWidth="1"/>
    <col min="2" max="2" width="13" style="20" customWidth="1"/>
    <col min="3" max="18" width="12.85546875" style="20" customWidth="1"/>
    <col min="19" max="19" width="12.85546875" style="174" customWidth="1"/>
    <col min="20" max="29" width="12.85546875" style="20" customWidth="1"/>
    <col min="30" max="31" width="9.140625" style="144"/>
    <col min="32" max="32" width="12.85546875" style="20" customWidth="1"/>
    <col min="33" max="33" width="11" customWidth="1"/>
    <col min="34" max="34" width="11.42578125" customWidth="1"/>
  </cols>
  <sheetData>
    <row r="1" spans="1:37" ht="19.5" thickBot="1">
      <c r="A1" s="486" t="s">
        <v>50</v>
      </c>
      <c r="B1" s="487"/>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row>
    <row r="2" spans="1:37" ht="15.75">
      <c r="A2" s="82"/>
      <c r="B2" s="83">
        <v>44593</v>
      </c>
      <c r="C2" s="83">
        <v>44594</v>
      </c>
      <c r="D2" s="83">
        <v>44595</v>
      </c>
      <c r="E2" s="83">
        <v>44596</v>
      </c>
      <c r="F2" s="83">
        <v>44597</v>
      </c>
      <c r="G2" s="83">
        <v>44598</v>
      </c>
      <c r="H2" s="83">
        <v>44599</v>
      </c>
      <c r="I2" s="83">
        <v>44600</v>
      </c>
      <c r="J2" s="83">
        <v>44601</v>
      </c>
      <c r="K2" s="83">
        <v>44602</v>
      </c>
      <c r="L2" s="83">
        <v>44603</v>
      </c>
      <c r="M2" s="83">
        <v>44604</v>
      </c>
      <c r="N2" s="83">
        <v>44605</v>
      </c>
      <c r="O2" s="83">
        <v>44606</v>
      </c>
      <c r="P2" s="83">
        <v>44607</v>
      </c>
      <c r="Q2" s="83">
        <v>44608</v>
      </c>
      <c r="R2" s="83">
        <v>44609</v>
      </c>
      <c r="S2" s="83">
        <v>44610</v>
      </c>
      <c r="T2" s="83">
        <v>44611</v>
      </c>
      <c r="U2" s="83">
        <v>44612</v>
      </c>
      <c r="V2" s="83">
        <v>44613</v>
      </c>
      <c r="W2" s="83">
        <v>44614</v>
      </c>
      <c r="X2" s="83">
        <v>44615</v>
      </c>
      <c r="Y2" s="83">
        <v>44616</v>
      </c>
      <c r="Z2" s="83">
        <v>44617</v>
      </c>
      <c r="AA2" s="83">
        <v>44618</v>
      </c>
      <c r="AB2" s="83">
        <v>44619</v>
      </c>
      <c r="AC2" s="83">
        <v>44620</v>
      </c>
      <c r="AD2" s="83"/>
      <c r="AE2" s="83"/>
      <c r="AF2" s="83">
        <v>44592</v>
      </c>
    </row>
    <row r="3" spans="1:37" ht="16.5">
      <c r="A3" s="87" t="s">
        <v>51</v>
      </c>
      <c r="B3" s="88" t="s">
        <v>53</v>
      </c>
      <c r="C3" s="88" t="s">
        <v>53</v>
      </c>
      <c r="D3" s="88" t="s">
        <v>53</v>
      </c>
      <c r="E3" s="88" t="s">
        <v>53</v>
      </c>
      <c r="F3" s="88" t="s">
        <v>53</v>
      </c>
      <c r="G3" s="88" t="s">
        <v>53</v>
      </c>
      <c r="H3" s="88" t="s">
        <v>53</v>
      </c>
      <c r="I3" s="88" t="s">
        <v>53</v>
      </c>
      <c r="J3" s="88" t="s">
        <v>53</v>
      </c>
      <c r="K3" s="88" t="s">
        <v>53</v>
      </c>
      <c r="L3" s="88" t="s">
        <v>53</v>
      </c>
      <c r="M3" s="90" t="s">
        <v>53</v>
      </c>
      <c r="N3" s="88" t="s">
        <v>53</v>
      </c>
      <c r="O3" s="88" t="s">
        <v>53</v>
      </c>
      <c r="P3" s="88" t="s">
        <v>53</v>
      </c>
      <c r="Q3" s="88" t="s">
        <v>53</v>
      </c>
      <c r="R3" s="88" t="s">
        <v>53</v>
      </c>
      <c r="S3" s="88" t="s">
        <v>53</v>
      </c>
      <c r="T3" s="88" t="s">
        <v>53</v>
      </c>
      <c r="U3" s="88" t="s">
        <v>53</v>
      </c>
      <c r="V3" s="88" t="s">
        <v>53</v>
      </c>
      <c r="W3" s="88" t="s">
        <v>53</v>
      </c>
      <c r="X3" s="88" t="s">
        <v>52</v>
      </c>
      <c r="Y3" s="88" t="s">
        <v>52</v>
      </c>
      <c r="Z3" s="88" t="s">
        <v>53</v>
      </c>
      <c r="AA3" s="88" t="s">
        <v>52</v>
      </c>
      <c r="AB3" s="88" t="s">
        <v>53</v>
      </c>
      <c r="AC3" s="88" t="s">
        <v>53</v>
      </c>
      <c r="AD3" s="271"/>
      <c r="AE3" s="317"/>
      <c r="AF3" s="88" t="s">
        <v>53</v>
      </c>
    </row>
    <row r="4" spans="1:37" ht="20.100000000000001" customHeight="1">
      <c r="A4" s="94" t="s">
        <v>54</v>
      </c>
      <c r="B4" s="394">
        <v>208758</v>
      </c>
      <c r="C4" s="212">
        <v>208953</v>
      </c>
      <c r="D4" s="212">
        <v>209145</v>
      </c>
      <c r="E4" s="212">
        <v>209334</v>
      </c>
      <c r="F4" s="212">
        <v>209511</v>
      </c>
      <c r="G4" s="212">
        <v>209700</v>
      </c>
      <c r="H4" s="212">
        <v>209889</v>
      </c>
      <c r="I4" s="212">
        <v>210079</v>
      </c>
      <c r="J4" s="212">
        <v>210272</v>
      </c>
      <c r="K4" s="212">
        <v>210458</v>
      </c>
      <c r="L4" s="212">
        <v>210645</v>
      </c>
      <c r="M4" s="212">
        <v>210820</v>
      </c>
      <c r="N4" s="212">
        <v>211007</v>
      </c>
      <c r="O4" s="212">
        <v>211197</v>
      </c>
      <c r="P4" s="212">
        <v>211388</v>
      </c>
      <c r="Q4" s="212">
        <v>211580</v>
      </c>
      <c r="R4" s="212">
        <v>211772</v>
      </c>
      <c r="S4" s="212">
        <v>211960</v>
      </c>
      <c r="T4" s="212">
        <v>212134</v>
      </c>
      <c r="U4" s="212">
        <v>212330</v>
      </c>
      <c r="V4" s="212">
        <v>212523</v>
      </c>
      <c r="W4" s="212">
        <v>212716</v>
      </c>
      <c r="X4" s="212">
        <v>212909</v>
      </c>
      <c r="Y4" s="212">
        <v>213099</v>
      </c>
      <c r="Z4" s="212">
        <v>213292</v>
      </c>
      <c r="AA4" s="212">
        <v>213475</v>
      </c>
      <c r="AB4" s="212">
        <v>213664</v>
      </c>
      <c r="AC4" s="212">
        <v>213865</v>
      </c>
      <c r="AD4" s="195"/>
      <c r="AE4" s="195"/>
      <c r="AF4" s="212">
        <v>208566</v>
      </c>
      <c r="AG4" s="101"/>
      <c r="AH4" s="101"/>
      <c r="AK4" s="102"/>
    </row>
    <row r="5" spans="1:37" ht="20.100000000000001" customHeight="1">
      <c r="A5" s="94" t="s">
        <v>55</v>
      </c>
      <c r="B5" s="394">
        <v>5185374</v>
      </c>
      <c r="C5" s="212">
        <v>5192242</v>
      </c>
      <c r="D5" s="212">
        <v>5199030</v>
      </c>
      <c r="E5" s="212">
        <v>5205514</v>
      </c>
      <c r="F5" s="212">
        <v>5211405</v>
      </c>
      <c r="G5" s="212">
        <v>5217739</v>
      </c>
      <c r="H5" s="212">
        <v>5224281</v>
      </c>
      <c r="I5" s="212">
        <v>5230859</v>
      </c>
      <c r="J5" s="212">
        <v>5237435</v>
      </c>
      <c r="K5" s="212">
        <v>5244358</v>
      </c>
      <c r="L5" s="212">
        <v>5250922</v>
      </c>
      <c r="M5" s="212">
        <v>5256926</v>
      </c>
      <c r="N5" s="212">
        <v>5263670</v>
      </c>
      <c r="O5" s="212">
        <v>5270356</v>
      </c>
      <c r="P5" s="212">
        <v>5277175</v>
      </c>
      <c r="Q5" s="212">
        <v>5284013</v>
      </c>
      <c r="R5" s="212">
        <v>5290742</v>
      </c>
      <c r="S5" s="212">
        <v>5297314</v>
      </c>
      <c r="T5" s="212">
        <v>5303171</v>
      </c>
      <c r="U5" s="212">
        <v>5309743</v>
      </c>
      <c r="V5" s="212">
        <v>5316691</v>
      </c>
      <c r="W5" s="212">
        <v>5323486</v>
      </c>
      <c r="X5" s="212">
        <v>5330319</v>
      </c>
      <c r="Y5" s="212">
        <v>5337205</v>
      </c>
      <c r="Z5" s="212">
        <v>5344135</v>
      </c>
      <c r="AA5" s="212">
        <v>5350623</v>
      </c>
      <c r="AB5" s="212">
        <v>5357273</v>
      </c>
      <c r="AC5" s="212">
        <v>5364537</v>
      </c>
      <c r="AD5" s="195"/>
      <c r="AE5" s="195"/>
      <c r="AF5" s="212">
        <v>5178715</v>
      </c>
      <c r="AG5" s="101"/>
      <c r="AH5" s="101"/>
      <c r="AK5" s="102"/>
    </row>
    <row r="6" spans="1:37" ht="20.100000000000001" customHeight="1">
      <c r="A6" s="94" t="s">
        <v>56</v>
      </c>
      <c r="B6" s="394">
        <v>2522838</v>
      </c>
      <c r="C6" s="212">
        <v>2525894</v>
      </c>
      <c r="D6" s="212">
        <v>2528977</v>
      </c>
      <c r="E6" s="212">
        <v>2531945</v>
      </c>
      <c r="F6" s="212">
        <v>2534658</v>
      </c>
      <c r="G6" s="212">
        <v>2537579</v>
      </c>
      <c r="H6" s="212">
        <v>2540590</v>
      </c>
      <c r="I6" s="212">
        <v>2543506</v>
      </c>
      <c r="J6" s="212">
        <v>2546535</v>
      </c>
      <c r="K6" s="212">
        <v>2549513</v>
      </c>
      <c r="L6" s="212">
        <v>2552457</v>
      </c>
      <c r="M6" s="212">
        <v>2555167</v>
      </c>
      <c r="N6" s="212">
        <v>2558066</v>
      </c>
      <c r="O6" s="212">
        <v>2561153</v>
      </c>
      <c r="P6" s="212">
        <v>2564271</v>
      </c>
      <c r="Q6" s="212">
        <v>2567451</v>
      </c>
      <c r="R6" s="212">
        <v>2570612</v>
      </c>
      <c r="S6" s="212">
        <v>2573710</v>
      </c>
      <c r="T6" s="212">
        <v>2576469</v>
      </c>
      <c r="U6" s="212">
        <v>2579592</v>
      </c>
      <c r="V6" s="212">
        <v>2582771</v>
      </c>
      <c r="W6" s="212">
        <v>2585878</v>
      </c>
      <c r="X6" s="212">
        <v>2588982</v>
      </c>
      <c r="Y6" s="212">
        <v>2592070</v>
      </c>
      <c r="Z6" s="212">
        <v>2595203</v>
      </c>
      <c r="AA6" s="212">
        <v>2598177</v>
      </c>
      <c r="AB6" s="212">
        <v>2601315</v>
      </c>
      <c r="AC6" s="212">
        <v>2604684</v>
      </c>
      <c r="AD6" s="195"/>
      <c r="AE6" s="195"/>
      <c r="AF6" s="212">
        <v>2519793</v>
      </c>
      <c r="AG6" s="101"/>
      <c r="AH6" s="101"/>
      <c r="AK6" s="102"/>
    </row>
    <row r="7" spans="1:37" ht="20.100000000000001" customHeight="1">
      <c r="A7" s="94" t="s">
        <v>57</v>
      </c>
      <c r="B7" s="394">
        <v>6772079</v>
      </c>
      <c r="C7" s="212">
        <v>6778604</v>
      </c>
      <c r="D7" s="212">
        <v>6784249</v>
      </c>
      <c r="E7" s="212">
        <v>6784323</v>
      </c>
      <c r="F7" s="212">
        <v>6784395</v>
      </c>
      <c r="G7" s="212">
        <v>6784468</v>
      </c>
      <c r="H7" s="212">
        <v>6784541</v>
      </c>
      <c r="I7" s="212">
        <v>6784614</v>
      </c>
      <c r="J7" s="212">
        <v>6784689</v>
      </c>
      <c r="K7" s="212">
        <v>6784760</v>
      </c>
      <c r="L7" s="212">
        <v>6784833</v>
      </c>
      <c r="M7" s="212">
        <v>6784905</v>
      </c>
      <c r="N7" s="212">
        <v>6784979</v>
      </c>
      <c r="O7" s="212">
        <v>6785050</v>
      </c>
      <c r="P7" s="212">
        <v>6785123</v>
      </c>
      <c r="Q7" s="212">
        <v>6785382</v>
      </c>
      <c r="R7" s="212">
        <v>6791800</v>
      </c>
      <c r="S7" s="212">
        <v>6798493</v>
      </c>
      <c r="T7" s="212">
        <v>6803999</v>
      </c>
      <c r="U7" s="212">
        <v>6804072</v>
      </c>
      <c r="V7" s="212">
        <v>6804997</v>
      </c>
      <c r="W7" s="212">
        <v>6811653</v>
      </c>
      <c r="X7" s="212">
        <v>6818803</v>
      </c>
      <c r="Y7" s="212">
        <v>6818928</v>
      </c>
      <c r="Z7" s="212">
        <v>6819001</v>
      </c>
      <c r="AA7" s="212">
        <v>6819073</v>
      </c>
      <c r="AB7" s="212">
        <v>6819146</v>
      </c>
      <c r="AC7" s="212">
        <v>6819222</v>
      </c>
      <c r="AD7" s="195"/>
      <c r="AE7" s="195"/>
      <c r="AF7" s="212">
        <v>6767199</v>
      </c>
      <c r="AG7" s="101"/>
      <c r="AH7" s="101"/>
      <c r="AK7" s="102"/>
    </row>
    <row r="8" spans="1:37" ht="20.100000000000001" customHeight="1">
      <c r="A8" s="94" t="s">
        <v>58</v>
      </c>
      <c r="B8" s="394">
        <v>2168374</v>
      </c>
      <c r="C8" s="212">
        <v>2168374</v>
      </c>
      <c r="D8" s="212">
        <v>2168619</v>
      </c>
      <c r="E8" s="212">
        <v>2170705</v>
      </c>
      <c r="F8" s="212">
        <v>2172861</v>
      </c>
      <c r="G8" s="212">
        <v>2175170</v>
      </c>
      <c r="H8" s="212">
        <v>2177268</v>
      </c>
      <c r="I8" s="212">
        <v>2179353</v>
      </c>
      <c r="J8" s="212">
        <v>2181730</v>
      </c>
      <c r="K8" s="212">
        <v>2183683</v>
      </c>
      <c r="L8" s="212">
        <v>2185869</v>
      </c>
      <c r="M8" s="212">
        <v>2188091</v>
      </c>
      <c r="N8" s="212">
        <v>2190139</v>
      </c>
      <c r="O8" s="212">
        <v>2192178</v>
      </c>
      <c r="P8" s="212">
        <v>2194369</v>
      </c>
      <c r="Q8" s="212">
        <v>2196395</v>
      </c>
      <c r="R8" s="212">
        <v>2196395</v>
      </c>
      <c r="S8" s="212">
        <v>2196395</v>
      </c>
      <c r="T8" s="212">
        <v>2196587</v>
      </c>
      <c r="U8" s="212">
        <v>2198638</v>
      </c>
      <c r="V8" s="212">
        <v>2200585</v>
      </c>
      <c r="W8" s="212">
        <v>2200585</v>
      </c>
      <c r="X8" s="212">
        <v>2200585</v>
      </c>
      <c r="Y8" s="212">
        <v>2202633</v>
      </c>
      <c r="Z8" s="212">
        <v>2204665</v>
      </c>
      <c r="AA8" s="212">
        <v>2206688</v>
      </c>
      <c r="AB8" s="212">
        <v>2208809</v>
      </c>
      <c r="AC8" s="212">
        <v>2211033</v>
      </c>
      <c r="AD8" s="195"/>
      <c r="AE8" s="195"/>
      <c r="AF8" s="212">
        <v>2168374</v>
      </c>
      <c r="AG8" s="101"/>
      <c r="AH8" s="101"/>
      <c r="AK8" s="102"/>
    </row>
    <row r="9" spans="1:37" ht="20.100000000000001" customHeight="1">
      <c r="A9" s="94" t="s">
        <v>59</v>
      </c>
      <c r="B9" s="395">
        <v>14161009</v>
      </c>
      <c r="C9" s="214">
        <v>14169487</v>
      </c>
      <c r="D9" s="214">
        <v>14177500</v>
      </c>
      <c r="E9" s="214">
        <v>14185449</v>
      </c>
      <c r="F9" s="214">
        <v>14193104</v>
      </c>
      <c r="G9" s="214">
        <v>14200937</v>
      </c>
      <c r="H9" s="214">
        <v>14208895</v>
      </c>
      <c r="I9" s="214">
        <v>14216689</v>
      </c>
      <c r="J9" s="214">
        <v>14224997</v>
      </c>
      <c r="K9" s="214">
        <v>14233341</v>
      </c>
      <c r="L9" s="214">
        <v>14241862</v>
      </c>
      <c r="M9" s="214">
        <v>14250211</v>
      </c>
      <c r="N9" s="214">
        <v>14258752</v>
      </c>
      <c r="O9" s="214">
        <v>14267246</v>
      </c>
      <c r="P9" s="214">
        <v>14275821</v>
      </c>
      <c r="Q9" s="214">
        <v>14284547</v>
      </c>
      <c r="R9" s="214">
        <v>14293135</v>
      </c>
      <c r="S9" s="214">
        <v>14301953</v>
      </c>
      <c r="T9" s="214">
        <v>14310274</v>
      </c>
      <c r="U9" s="214">
        <v>14318890</v>
      </c>
      <c r="V9" s="214">
        <v>14327984</v>
      </c>
      <c r="W9" s="214">
        <v>14337254</v>
      </c>
      <c r="X9" s="214">
        <v>14346274</v>
      </c>
      <c r="Y9" s="214">
        <v>14355166</v>
      </c>
      <c r="Z9" s="214">
        <v>14364130</v>
      </c>
      <c r="AA9" s="214">
        <v>14373031</v>
      </c>
      <c r="AB9" s="214">
        <v>14382087</v>
      </c>
      <c r="AC9" s="214">
        <v>14391547</v>
      </c>
      <c r="AD9" s="197"/>
      <c r="AE9" s="197"/>
      <c r="AF9" s="214">
        <v>14151942</v>
      </c>
      <c r="AG9" s="101"/>
      <c r="AH9" s="101"/>
      <c r="AK9" s="102"/>
    </row>
    <row r="10" spans="1:37" ht="20.100000000000001" customHeight="1">
      <c r="A10" s="94" t="s">
        <v>60</v>
      </c>
      <c r="B10" s="394">
        <v>4121096</v>
      </c>
      <c r="C10" s="212">
        <v>4126813</v>
      </c>
      <c r="D10" s="212">
        <v>4132507</v>
      </c>
      <c r="E10" s="212">
        <v>4138105</v>
      </c>
      <c r="F10" s="212">
        <v>4143408</v>
      </c>
      <c r="G10" s="212">
        <v>4148971</v>
      </c>
      <c r="H10" s="212">
        <v>4154665</v>
      </c>
      <c r="I10" s="212">
        <v>4160290</v>
      </c>
      <c r="J10" s="212">
        <v>4166093</v>
      </c>
      <c r="K10" s="212">
        <v>4171675</v>
      </c>
      <c r="L10" s="212">
        <v>4177291</v>
      </c>
      <c r="M10" s="212">
        <v>4182606</v>
      </c>
      <c r="N10" s="212">
        <v>4188177</v>
      </c>
      <c r="O10" s="212">
        <v>4193890</v>
      </c>
      <c r="P10" s="212">
        <v>4199640</v>
      </c>
      <c r="Q10" s="212">
        <v>4205421</v>
      </c>
      <c r="R10" s="212">
        <v>4211198</v>
      </c>
      <c r="S10" s="212">
        <v>4216872</v>
      </c>
      <c r="T10" s="212">
        <v>4222152</v>
      </c>
      <c r="U10" s="212">
        <v>4227797</v>
      </c>
      <c r="V10" s="212">
        <v>4233583</v>
      </c>
      <c r="W10" s="212">
        <v>4239357</v>
      </c>
      <c r="X10" s="212">
        <v>4245135</v>
      </c>
      <c r="Y10" s="212">
        <v>4250883</v>
      </c>
      <c r="Z10" s="212">
        <v>4256636</v>
      </c>
      <c r="AA10" s="212">
        <v>4262136</v>
      </c>
      <c r="AB10" s="212">
        <v>4267740</v>
      </c>
      <c r="AC10" s="212">
        <v>4273750</v>
      </c>
      <c r="AD10" s="195"/>
      <c r="AE10" s="195"/>
      <c r="AF10" s="212">
        <v>4115383</v>
      </c>
      <c r="AG10" s="101"/>
      <c r="AH10" s="101"/>
      <c r="AK10" s="102"/>
    </row>
    <row r="11" spans="1:37" ht="22.5" customHeight="1">
      <c r="A11" s="94" t="s">
        <v>61</v>
      </c>
      <c r="B11" s="394">
        <v>165100</v>
      </c>
      <c r="C11" s="212">
        <v>165247</v>
      </c>
      <c r="D11" s="212">
        <v>165388</v>
      </c>
      <c r="E11" s="212">
        <v>165524</v>
      </c>
      <c r="F11" s="212">
        <v>165640</v>
      </c>
      <c r="G11" s="212">
        <v>165771</v>
      </c>
      <c r="H11" s="212">
        <v>165911</v>
      </c>
      <c r="I11" s="212">
        <v>166051</v>
      </c>
      <c r="J11" s="212">
        <v>166192</v>
      </c>
      <c r="K11" s="212">
        <v>166329</v>
      </c>
      <c r="L11" s="212">
        <v>166385</v>
      </c>
      <c r="M11" s="212">
        <v>166578</v>
      </c>
      <c r="N11" s="212">
        <v>166711</v>
      </c>
      <c r="O11" s="212">
        <v>166851</v>
      </c>
      <c r="P11" s="212">
        <v>166996</v>
      </c>
      <c r="Q11" s="212">
        <v>167140</v>
      </c>
      <c r="R11" s="212">
        <v>167283</v>
      </c>
      <c r="S11" s="212">
        <v>167421</v>
      </c>
      <c r="T11" s="212">
        <v>167535</v>
      </c>
      <c r="U11" s="212">
        <v>167680</v>
      </c>
      <c r="V11" s="212">
        <v>167831</v>
      </c>
      <c r="W11" s="212">
        <v>167980</v>
      </c>
      <c r="X11" s="212">
        <v>168124</v>
      </c>
      <c r="Y11" s="212">
        <v>168269</v>
      </c>
      <c r="Z11" s="212">
        <v>168416</v>
      </c>
      <c r="AA11" s="212">
        <v>168548</v>
      </c>
      <c r="AB11" s="212">
        <v>168693</v>
      </c>
      <c r="AC11" s="212">
        <v>168859</v>
      </c>
      <c r="AD11" s="195"/>
      <c r="AE11" s="195"/>
      <c r="AF11" s="212">
        <v>164956</v>
      </c>
      <c r="AG11" s="101"/>
      <c r="AH11" s="101"/>
      <c r="AK11" s="102"/>
    </row>
    <row r="12" spans="1:37" s="109" customFormat="1" ht="18" customHeight="1">
      <c r="A12" s="103" t="s">
        <v>62</v>
      </c>
      <c r="B12" s="162"/>
      <c r="C12" s="162"/>
      <c r="D12" s="162"/>
      <c r="E12" s="162"/>
      <c r="F12" s="162"/>
      <c r="G12" s="381"/>
      <c r="H12" s="162"/>
      <c r="I12" s="162"/>
      <c r="J12" s="162"/>
      <c r="K12" s="162"/>
      <c r="L12" s="162"/>
      <c r="M12" s="162"/>
      <c r="N12" s="162"/>
      <c r="O12" s="162"/>
      <c r="P12" s="162"/>
      <c r="Q12" s="162"/>
      <c r="R12" s="162"/>
      <c r="S12" s="162"/>
      <c r="T12" s="162"/>
      <c r="U12" s="162"/>
      <c r="V12" s="162"/>
      <c r="W12" s="162"/>
      <c r="X12" s="162"/>
      <c r="Y12" s="162"/>
      <c r="Z12" s="162"/>
      <c r="AA12" s="162"/>
      <c r="AB12" s="162"/>
      <c r="AC12" s="162"/>
      <c r="AD12" s="198"/>
      <c r="AE12" s="198"/>
      <c r="AF12" s="162"/>
    </row>
    <row r="13" spans="1:37" ht="25.5">
      <c r="A13" s="87" t="s">
        <v>63</v>
      </c>
      <c r="B13" s="181" t="s">
        <v>106</v>
      </c>
      <c r="C13" s="181" t="s">
        <v>106</v>
      </c>
      <c r="D13" s="181" t="s">
        <v>106</v>
      </c>
      <c r="E13" s="181" t="s">
        <v>106</v>
      </c>
      <c r="F13" s="181" t="s">
        <v>106</v>
      </c>
      <c r="G13" s="262" t="s">
        <v>64</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263"/>
      <c r="AE13" s="263"/>
      <c r="AF13" s="181" t="s">
        <v>106</v>
      </c>
    </row>
    <row r="14" spans="1:37">
      <c r="A14" s="87" t="s">
        <v>66</v>
      </c>
      <c r="B14" s="182">
        <v>219881.63</v>
      </c>
      <c r="C14" s="182">
        <v>219881.63</v>
      </c>
      <c r="D14" s="182">
        <v>219881.63</v>
      </c>
      <c r="E14" s="182">
        <v>219881.63</v>
      </c>
      <c r="F14" s="182">
        <v>221452.23</v>
      </c>
      <c r="G14" s="267">
        <v>221452.23</v>
      </c>
      <c r="H14" s="182">
        <v>221452.23</v>
      </c>
      <c r="I14" s="182">
        <v>221452.23</v>
      </c>
      <c r="J14" s="182">
        <v>221452.23</v>
      </c>
      <c r="K14" s="182">
        <v>221452.23</v>
      </c>
      <c r="L14" s="182">
        <v>221452.23</v>
      </c>
      <c r="M14" s="182">
        <v>223038.25</v>
      </c>
      <c r="N14" s="182">
        <v>223038.25</v>
      </c>
      <c r="O14" s="182">
        <v>223038.25</v>
      </c>
      <c r="P14" s="182">
        <v>223038.25</v>
      </c>
      <c r="Q14" s="182">
        <v>223038.25</v>
      </c>
      <c r="R14" s="182">
        <v>223038.25</v>
      </c>
      <c r="S14" s="182">
        <v>223038.25</v>
      </c>
      <c r="T14" s="182">
        <v>224557.18</v>
      </c>
      <c r="U14" s="182">
        <v>224557.18</v>
      </c>
      <c r="V14" s="182">
        <v>224557.18</v>
      </c>
      <c r="W14" s="182">
        <v>224557.18</v>
      </c>
      <c r="X14" s="182">
        <v>224557.18</v>
      </c>
      <c r="Y14" s="182">
        <v>224557.18</v>
      </c>
      <c r="Z14" s="182">
        <v>224557.18</v>
      </c>
      <c r="AA14" s="182">
        <v>226003.71</v>
      </c>
      <c r="AB14" s="182">
        <v>226003.71</v>
      </c>
      <c r="AC14" s="182">
        <v>226003.71</v>
      </c>
      <c r="AD14" s="200"/>
      <c r="AE14" s="200"/>
      <c r="AF14" s="182">
        <v>219881.63</v>
      </c>
    </row>
    <row r="15" spans="1:37" ht="25.5">
      <c r="A15" s="87" t="s">
        <v>67</v>
      </c>
      <c r="B15" s="183">
        <v>1132</v>
      </c>
      <c r="C15" s="183">
        <v>1132</v>
      </c>
      <c r="D15" s="183">
        <v>1132</v>
      </c>
      <c r="E15" s="183">
        <v>1132</v>
      </c>
      <c r="F15" s="183">
        <v>1132</v>
      </c>
      <c r="G15" s="268">
        <v>1132</v>
      </c>
      <c r="H15" s="183">
        <v>1132</v>
      </c>
      <c r="I15" s="183">
        <v>1132</v>
      </c>
      <c r="J15" s="183">
        <v>1132</v>
      </c>
      <c r="K15" s="183">
        <v>1132</v>
      </c>
      <c r="L15" s="183">
        <v>1132</v>
      </c>
      <c r="M15" s="183">
        <v>1132</v>
      </c>
      <c r="N15" s="183">
        <v>1132</v>
      </c>
      <c r="O15" s="183">
        <v>1132</v>
      </c>
      <c r="P15" s="183">
        <v>1132</v>
      </c>
      <c r="Q15" s="183">
        <v>1132</v>
      </c>
      <c r="R15" s="183">
        <v>1132</v>
      </c>
      <c r="S15" s="183">
        <v>1132</v>
      </c>
      <c r="T15" s="183">
        <v>1132</v>
      </c>
      <c r="U15" s="183">
        <v>1132</v>
      </c>
      <c r="V15" s="183">
        <v>1132</v>
      </c>
      <c r="W15" s="183">
        <v>1132</v>
      </c>
      <c r="X15" s="183">
        <v>1132</v>
      </c>
      <c r="Y15" s="183">
        <v>1132</v>
      </c>
      <c r="Z15" s="183">
        <v>1132</v>
      </c>
      <c r="AA15" s="183">
        <v>1132</v>
      </c>
      <c r="AB15" s="183">
        <v>1132</v>
      </c>
      <c r="AC15" s="183">
        <v>1132</v>
      </c>
      <c r="AD15" s="202"/>
      <c r="AE15" s="202"/>
      <c r="AF15" s="183">
        <v>1132</v>
      </c>
    </row>
    <row r="16" spans="1:37" ht="25.5">
      <c r="A16" s="87" t="s">
        <v>68</v>
      </c>
      <c r="B16" s="183">
        <v>4587</v>
      </c>
      <c r="C16" s="183">
        <v>4587</v>
      </c>
      <c r="D16" s="183">
        <v>4587</v>
      </c>
      <c r="E16" s="183">
        <v>4587</v>
      </c>
      <c r="F16" s="183">
        <v>4587</v>
      </c>
      <c r="G16" s="268">
        <v>4587</v>
      </c>
      <c r="H16" s="183">
        <v>4587</v>
      </c>
      <c r="I16" s="183">
        <v>4587</v>
      </c>
      <c r="J16" s="183">
        <v>4587</v>
      </c>
      <c r="K16" s="183">
        <v>4587</v>
      </c>
      <c r="L16" s="183">
        <v>4587</v>
      </c>
      <c r="M16" s="183">
        <v>4587</v>
      </c>
      <c r="N16" s="183">
        <v>4587</v>
      </c>
      <c r="O16" s="183">
        <v>4587</v>
      </c>
      <c r="P16" s="183">
        <v>4587</v>
      </c>
      <c r="Q16" s="183">
        <v>4587</v>
      </c>
      <c r="R16" s="183">
        <v>4587</v>
      </c>
      <c r="S16" s="183">
        <v>4587</v>
      </c>
      <c r="T16" s="183">
        <v>4587</v>
      </c>
      <c r="U16" s="183">
        <v>4587</v>
      </c>
      <c r="V16" s="183">
        <v>4587</v>
      </c>
      <c r="W16" s="183">
        <v>4587</v>
      </c>
      <c r="X16" s="183">
        <v>4587</v>
      </c>
      <c r="Y16" s="183">
        <v>4587</v>
      </c>
      <c r="Z16" s="183">
        <v>4587</v>
      </c>
      <c r="AA16" s="183">
        <v>4587</v>
      </c>
      <c r="AB16" s="183">
        <v>4587</v>
      </c>
      <c r="AC16" s="183">
        <v>4587</v>
      </c>
      <c r="AD16" s="202"/>
      <c r="AE16" s="202"/>
      <c r="AF16" s="183">
        <v>4587</v>
      </c>
    </row>
    <row r="17" spans="1:32" ht="20.100000000000001" customHeight="1">
      <c r="A17" s="121"/>
      <c r="B17" s="162"/>
      <c r="C17" s="162"/>
      <c r="D17" s="162"/>
      <c r="E17" s="162"/>
      <c r="F17" s="162"/>
      <c r="G17" s="381"/>
      <c r="H17" s="162"/>
      <c r="I17" s="162"/>
      <c r="J17" s="162"/>
      <c r="K17" s="162"/>
      <c r="L17" s="162"/>
      <c r="M17" s="162"/>
      <c r="N17" s="162"/>
      <c r="O17" s="162"/>
      <c r="P17" s="162"/>
      <c r="Q17" s="162"/>
      <c r="R17" s="162"/>
      <c r="S17" s="162"/>
      <c r="T17" s="162"/>
      <c r="U17" s="162"/>
      <c r="V17" s="162"/>
      <c r="W17" s="162"/>
      <c r="X17" s="162"/>
      <c r="Y17" s="162"/>
      <c r="Z17" s="162"/>
      <c r="AA17" s="162"/>
      <c r="AB17" s="162"/>
      <c r="AC17" s="162"/>
      <c r="AD17" s="203"/>
      <c r="AE17" s="203"/>
      <c r="AF17" s="162"/>
    </row>
    <row r="18" spans="1:32">
      <c r="A18" s="87" t="s">
        <v>69</v>
      </c>
      <c r="B18" s="181" t="s">
        <v>106</v>
      </c>
      <c r="C18" s="181" t="s">
        <v>106</v>
      </c>
      <c r="D18" s="181" t="s">
        <v>106</v>
      </c>
      <c r="E18" s="181" t="s">
        <v>106</v>
      </c>
      <c r="F18" s="181" t="s">
        <v>106</v>
      </c>
      <c r="G18" s="262" t="s">
        <v>64</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263"/>
      <c r="AE18" s="263"/>
      <c r="AF18" s="181" t="s">
        <v>106</v>
      </c>
    </row>
    <row r="19" spans="1:32" ht="25.5">
      <c r="A19" s="127" t="s">
        <v>70</v>
      </c>
      <c r="B19" s="186">
        <v>58397.7</v>
      </c>
      <c r="C19" s="186">
        <v>58433.5</v>
      </c>
      <c r="D19" s="186">
        <v>58455.3</v>
      </c>
      <c r="E19" s="186">
        <v>58478.6</v>
      </c>
      <c r="F19" s="186">
        <v>58478.6</v>
      </c>
      <c r="G19" s="269">
        <v>58507.4</v>
      </c>
      <c r="H19" s="186">
        <v>58533.9</v>
      </c>
      <c r="I19" s="186">
        <v>58545.1</v>
      </c>
      <c r="J19" s="186">
        <v>58545.1</v>
      </c>
      <c r="K19" s="186">
        <v>58597.1</v>
      </c>
      <c r="L19" s="186">
        <v>58656.1</v>
      </c>
      <c r="M19" s="186">
        <v>58656.1</v>
      </c>
      <c r="N19" s="186">
        <v>58689.599999999999</v>
      </c>
      <c r="O19" s="186">
        <v>58709.3</v>
      </c>
      <c r="P19" s="186">
        <v>58722.1</v>
      </c>
      <c r="Q19" s="186">
        <v>58742.1</v>
      </c>
      <c r="R19" s="186">
        <v>58754.8</v>
      </c>
      <c r="S19" s="186">
        <v>58775.5</v>
      </c>
      <c r="T19" s="186">
        <v>58775.5</v>
      </c>
      <c r="U19" s="186">
        <v>58812.1</v>
      </c>
      <c r="V19" s="186">
        <v>58826.6</v>
      </c>
      <c r="W19" s="186">
        <v>58849.3</v>
      </c>
      <c r="X19" s="186">
        <v>58878.9</v>
      </c>
      <c r="Y19" s="186">
        <v>58901.5</v>
      </c>
      <c r="Z19" s="186">
        <v>58923.8</v>
      </c>
      <c r="AA19" s="186">
        <v>58923.8</v>
      </c>
      <c r="AB19" s="186">
        <v>58941.2</v>
      </c>
      <c r="AC19" s="186">
        <v>58968.5</v>
      </c>
      <c r="AD19" s="201"/>
      <c r="AE19" s="201"/>
      <c r="AF19" s="186">
        <v>58397.7</v>
      </c>
    </row>
    <row r="20" spans="1:32" ht="25.5">
      <c r="A20" s="87" t="s">
        <v>71</v>
      </c>
      <c r="B20" s="183" t="s">
        <v>1423</v>
      </c>
      <c r="C20" s="183" t="s">
        <v>1424</v>
      </c>
      <c r="D20" s="183" t="s">
        <v>1425</v>
      </c>
      <c r="E20" s="183" t="s">
        <v>1426</v>
      </c>
      <c r="F20" s="183" t="s">
        <v>1427</v>
      </c>
      <c r="G20" s="270" t="s">
        <v>1428</v>
      </c>
      <c r="H20" s="183" t="s">
        <v>1429</v>
      </c>
      <c r="I20" s="183" t="s">
        <v>1430</v>
      </c>
      <c r="J20" s="183" t="s">
        <v>1431</v>
      </c>
      <c r="K20" s="183" t="s">
        <v>1432</v>
      </c>
      <c r="L20" s="183" t="s">
        <v>1433</v>
      </c>
      <c r="M20" s="183" t="s">
        <v>1434</v>
      </c>
      <c r="N20" s="183" t="s">
        <v>1435</v>
      </c>
      <c r="O20" s="183" t="s">
        <v>1436</v>
      </c>
      <c r="P20" s="183" t="s">
        <v>1437</v>
      </c>
      <c r="Q20" s="183" t="s">
        <v>1438</v>
      </c>
      <c r="R20" s="183" t="s">
        <v>1439</v>
      </c>
      <c r="S20" s="183" t="s">
        <v>1440</v>
      </c>
      <c r="T20" s="183" t="s">
        <v>1441</v>
      </c>
      <c r="U20" s="183" t="s">
        <v>1442</v>
      </c>
      <c r="V20" s="183" t="s">
        <v>1443</v>
      </c>
      <c r="W20" s="183" t="s">
        <v>1444</v>
      </c>
      <c r="X20" s="183" t="s">
        <v>1445</v>
      </c>
      <c r="Y20" s="183" t="s">
        <v>1446</v>
      </c>
      <c r="Z20" s="183" t="s">
        <v>1447</v>
      </c>
      <c r="AA20" s="183" t="s">
        <v>1448</v>
      </c>
      <c r="AB20" s="183" t="s">
        <v>1449</v>
      </c>
      <c r="AC20" s="183" t="s">
        <v>1450</v>
      </c>
      <c r="AD20" s="206"/>
      <c r="AE20" s="206"/>
      <c r="AF20" s="183" t="s">
        <v>623</v>
      </c>
    </row>
    <row r="21" spans="1:32" ht="25.5">
      <c r="A21" s="87" t="s">
        <v>72</v>
      </c>
      <c r="B21" s="183">
        <v>75056</v>
      </c>
      <c r="C21" s="183">
        <v>75056</v>
      </c>
      <c r="D21" s="183">
        <v>75056</v>
      </c>
      <c r="E21" s="183">
        <v>75056</v>
      </c>
      <c r="F21" s="183">
        <v>75566</v>
      </c>
      <c r="G21" s="268">
        <v>75566</v>
      </c>
      <c r="H21" s="183">
        <v>75566</v>
      </c>
      <c r="I21" s="183">
        <v>75566</v>
      </c>
      <c r="J21" s="183">
        <v>75566</v>
      </c>
      <c r="K21" s="183">
        <v>75566</v>
      </c>
      <c r="L21" s="183">
        <v>75566</v>
      </c>
      <c r="M21" s="183">
        <v>76193</v>
      </c>
      <c r="N21" s="183">
        <v>76193</v>
      </c>
      <c r="O21" s="183">
        <v>76193</v>
      </c>
      <c r="P21" s="183">
        <v>76193</v>
      </c>
      <c r="Q21" s="183">
        <v>76193</v>
      </c>
      <c r="R21" s="183">
        <v>76193</v>
      </c>
      <c r="S21" s="183">
        <v>76193</v>
      </c>
      <c r="T21" s="183">
        <v>76675</v>
      </c>
      <c r="U21" s="183">
        <v>76675</v>
      </c>
      <c r="V21" s="183">
        <v>76675</v>
      </c>
      <c r="W21" s="183">
        <v>76675</v>
      </c>
      <c r="X21" s="183">
        <v>76675</v>
      </c>
      <c r="Y21" s="183">
        <v>76675</v>
      </c>
      <c r="Z21" s="183">
        <v>76675</v>
      </c>
      <c r="AA21" s="183">
        <v>77238</v>
      </c>
      <c r="AB21" s="183">
        <v>77238</v>
      </c>
      <c r="AC21" s="183">
        <v>77238</v>
      </c>
      <c r="AD21" s="201"/>
      <c r="AE21" s="201"/>
      <c r="AF21" s="183">
        <v>75056</v>
      </c>
    </row>
    <row r="22" spans="1:32" ht="25.5">
      <c r="A22" s="87" t="s">
        <v>73</v>
      </c>
      <c r="B22" s="183">
        <v>138251</v>
      </c>
      <c r="C22" s="183">
        <v>138307</v>
      </c>
      <c r="D22" s="183">
        <v>138354</v>
      </c>
      <c r="E22" s="183">
        <v>138401</v>
      </c>
      <c r="F22" s="183">
        <v>138438</v>
      </c>
      <c r="G22" s="268">
        <v>138476</v>
      </c>
      <c r="H22" s="183">
        <v>138476</v>
      </c>
      <c r="I22" s="183">
        <v>138562</v>
      </c>
      <c r="J22" s="183">
        <v>138598</v>
      </c>
      <c r="K22" s="183">
        <v>138598</v>
      </c>
      <c r="L22" s="183">
        <v>138807</v>
      </c>
      <c r="M22" s="183">
        <v>138846</v>
      </c>
      <c r="N22" s="183">
        <v>138846</v>
      </c>
      <c r="O22" s="183">
        <v>138926</v>
      </c>
      <c r="P22" s="183">
        <v>138964</v>
      </c>
      <c r="Q22" s="183">
        <v>139007</v>
      </c>
      <c r="R22" s="183">
        <v>139059</v>
      </c>
      <c r="S22" s="183">
        <v>139102</v>
      </c>
      <c r="T22" s="183">
        <v>139148</v>
      </c>
      <c r="U22" s="183">
        <v>139189</v>
      </c>
      <c r="V22" s="183">
        <v>139239</v>
      </c>
      <c r="W22" s="183">
        <v>139288</v>
      </c>
      <c r="X22" s="183">
        <v>139336</v>
      </c>
      <c r="Y22" s="183">
        <v>139382</v>
      </c>
      <c r="Z22" s="183">
        <v>139425</v>
      </c>
      <c r="AA22" s="183">
        <v>139469</v>
      </c>
      <c r="AB22" s="183">
        <v>139514</v>
      </c>
      <c r="AC22" s="183">
        <v>139564</v>
      </c>
      <c r="AD22" s="201">
        <f>AC22-AF22</f>
        <v>1369</v>
      </c>
      <c r="AE22" s="201"/>
      <c r="AF22" s="183">
        <v>138195</v>
      </c>
    </row>
    <row r="23" spans="1:32">
      <c r="A23" s="189" t="s">
        <v>136</v>
      </c>
      <c r="B23" s="183">
        <v>2586</v>
      </c>
      <c r="C23" s="183">
        <v>2586</v>
      </c>
      <c r="D23" s="183">
        <v>2586</v>
      </c>
      <c r="E23" s="183">
        <v>2586</v>
      </c>
      <c r="F23" s="183">
        <v>2636</v>
      </c>
      <c r="G23" s="268">
        <v>2636</v>
      </c>
      <c r="H23" s="183">
        <v>2636</v>
      </c>
      <c r="I23" s="183">
        <v>2636</v>
      </c>
      <c r="J23" s="183">
        <v>2636</v>
      </c>
      <c r="K23" s="183">
        <v>2636</v>
      </c>
      <c r="L23" s="183">
        <v>2636</v>
      </c>
      <c r="M23" s="183">
        <v>2676</v>
      </c>
      <c r="N23" s="183">
        <v>2676</v>
      </c>
      <c r="O23" s="183">
        <v>2676</v>
      </c>
      <c r="P23" s="183">
        <v>2676</v>
      </c>
      <c r="Q23" s="183">
        <v>2676</v>
      </c>
      <c r="R23" s="183">
        <v>2676</v>
      </c>
      <c r="S23" s="183">
        <v>2676</v>
      </c>
      <c r="T23" s="183">
        <v>2725</v>
      </c>
      <c r="U23" s="183">
        <v>2725</v>
      </c>
      <c r="V23" s="183">
        <v>2725</v>
      </c>
      <c r="W23" s="183">
        <v>2725</v>
      </c>
      <c r="X23" s="183">
        <v>2725</v>
      </c>
      <c r="Y23" s="183">
        <v>2725</v>
      </c>
      <c r="Z23" s="183">
        <v>2725</v>
      </c>
      <c r="AA23" s="183">
        <v>2773</v>
      </c>
      <c r="AB23" s="183">
        <v>2773</v>
      </c>
      <c r="AC23" s="183">
        <v>2773</v>
      </c>
      <c r="AD23" s="396">
        <f>AC23-B23</f>
        <v>187</v>
      </c>
      <c r="AE23" s="205">
        <v>187</v>
      </c>
      <c r="AF23" s="183">
        <v>2586</v>
      </c>
    </row>
    <row r="24" spans="1:32">
      <c r="A24" s="189" t="s">
        <v>139</v>
      </c>
      <c r="B24" s="183">
        <v>2985</v>
      </c>
      <c r="C24" s="183">
        <v>2985</v>
      </c>
      <c r="D24" s="183">
        <v>2985</v>
      </c>
      <c r="E24" s="183">
        <v>2985</v>
      </c>
      <c r="F24" s="183">
        <v>3015</v>
      </c>
      <c r="G24" s="268">
        <v>3015</v>
      </c>
      <c r="H24" s="183">
        <v>3015</v>
      </c>
      <c r="I24" s="183">
        <v>3015</v>
      </c>
      <c r="J24" s="183">
        <v>3015</v>
      </c>
      <c r="K24" s="183">
        <v>3015</v>
      </c>
      <c r="L24" s="183">
        <v>3015</v>
      </c>
      <c r="M24" s="183">
        <v>3042</v>
      </c>
      <c r="N24" s="183">
        <v>3042</v>
      </c>
      <c r="O24" s="183">
        <v>3042</v>
      </c>
      <c r="P24" s="183">
        <v>3042</v>
      </c>
      <c r="Q24" s="183">
        <v>3042</v>
      </c>
      <c r="R24" s="183">
        <v>3042</v>
      </c>
      <c r="S24" s="183">
        <v>3042</v>
      </c>
      <c r="T24" s="183">
        <v>3064</v>
      </c>
      <c r="U24" s="183">
        <v>3064</v>
      </c>
      <c r="V24" s="183">
        <v>3064</v>
      </c>
      <c r="W24" s="183">
        <v>3064</v>
      </c>
      <c r="X24" s="183">
        <v>3064</v>
      </c>
      <c r="Y24" s="183">
        <v>3064</v>
      </c>
      <c r="Z24" s="183">
        <v>3064</v>
      </c>
      <c r="AA24" s="183">
        <v>3084</v>
      </c>
      <c r="AB24" s="183">
        <v>3084</v>
      </c>
      <c r="AC24" s="183">
        <v>3084</v>
      </c>
      <c r="AD24" s="396">
        <f t="shared" ref="AD24:AD29" si="0">AC24-B24</f>
        <v>99</v>
      </c>
      <c r="AE24" s="205">
        <v>99</v>
      </c>
      <c r="AF24" s="183">
        <v>2985</v>
      </c>
    </row>
    <row r="25" spans="1:32">
      <c r="A25" s="189" t="s">
        <v>142</v>
      </c>
      <c r="B25" s="183">
        <v>1018</v>
      </c>
      <c r="C25" s="183">
        <v>1018</v>
      </c>
      <c r="D25" s="183">
        <v>1018</v>
      </c>
      <c r="E25" s="183">
        <v>1018</v>
      </c>
      <c r="F25" s="183">
        <v>1041</v>
      </c>
      <c r="G25" s="268">
        <v>1041</v>
      </c>
      <c r="H25" s="183">
        <v>1041</v>
      </c>
      <c r="I25" s="183">
        <v>1041</v>
      </c>
      <c r="J25" s="183">
        <v>1041</v>
      </c>
      <c r="K25" s="183">
        <v>1041</v>
      </c>
      <c r="L25" s="183">
        <v>1041</v>
      </c>
      <c r="M25" s="183">
        <v>1057</v>
      </c>
      <c r="N25" s="183">
        <v>1057</v>
      </c>
      <c r="O25" s="183">
        <v>1057</v>
      </c>
      <c r="P25" s="183">
        <v>1057</v>
      </c>
      <c r="Q25" s="183">
        <v>1057</v>
      </c>
      <c r="R25" s="183">
        <v>1057</v>
      </c>
      <c r="S25" s="183">
        <v>1057</v>
      </c>
      <c r="T25" s="183">
        <v>1075</v>
      </c>
      <c r="U25" s="183">
        <v>1075</v>
      </c>
      <c r="V25" s="183">
        <v>1075</v>
      </c>
      <c r="W25" s="183">
        <v>1075</v>
      </c>
      <c r="X25" s="183">
        <v>1075</v>
      </c>
      <c r="Y25" s="183">
        <v>1075</v>
      </c>
      <c r="Z25" s="183">
        <v>1075</v>
      </c>
      <c r="AA25" s="183">
        <v>1095</v>
      </c>
      <c r="AB25" s="183">
        <v>1095</v>
      </c>
      <c r="AC25" s="183">
        <v>1095</v>
      </c>
      <c r="AD25" s="396">
        <f t="shared" si="0"/>
        <v>77</v>
      </c>
      <c r="AE25" s="205">
        <v>77</v>
      </c>
      <c r="AF25" s="183">
        <v>1018</v>
      </c>
    </row>
    <row r="26" spans="1:32">
      <c r="A26" s="189" t="s">
        <v>145</v>
      </c>
      <c r="B26" s="183">
        <v>159</v>
      </c>
      <c r="C26" s="183">
        <v>159</v>
      </c>
      <c r="D26" s="183">
        <v>159</v>
      </c>
      <c r="E26" s="183">
        <v>159</v>
      </c>
      <c r="F26" s="183">
        <v>161</v>
      </c>
      <c r="G26" s="268">
        <v>161</v>
      </c>
      <c r="H26" s="183">
        <v>161</v>
      </c>
      <c r="I26" s="183">
        <v>161</v>
      </c>
      <c r="J26" s="183">
        <v>161</v>
      </c>
      <c r="K26" s="183">
        <v>161</v>
      </c>
      <c r="L26" s="183">
        <v>161</v>
      </c>
      <c r="M26" s="183">
        <v>161</v>
      </c>
      <c r="N26" s="183">
        <v>161</v>
      </c>
      <c r="O26" s="183">
        <v>161</v>
      </c>
      <c r="P26" s="183">
        <v>161</v>
      </c>
      <c r="Q26" s="183">
        <v>161</v>
      </c>
      <c r="R26" s="183">
        <v>161</v>
      </c>
      <c r="S26" s="183">
        <v>161</v>
      </c>
      <c r="T26" s="183">
        <v>161</v>
      </c>
      <c r="U26" s="183">
        <v>161</v>
      </c>
      <c r="V26" s="183">
        <v>161</v>
      </c>
      <c r="W26" s="183">
        <v>161</v>
      </c>
      <c r="X26" s="183">
        <v>161</v>
      </c>
      <c r="Y26" s="183">
        <v>161</v>
      </c>
      <c r="Z26" s="183">
        <v>161</v>
      </c>
      <c r="AA26" s="183">
        <v>161</v>
      </c>
      <c r="AB26" s="183">
        <v>161</v>
      </c>
      <c r="AC26" s="183">
        <v>161</v>
      </c>
      <c r="AD26" s="396">
        <f t="shared" si="0"/>
        <v>2</v>
      </c>
      <c r="AE26" s="205">
        <v>2</v>
      </c>
      <c r="AF26" s="183">
        <v>159</v>
      </c>
    </row>
    <row r="27" spans="1:32">
      <c r="A27" s="189" t="s">
        <v>148</v>
      </c>
      <c r="B27" s="183">
        <v>3086</v>
      </c>
      <c r="C27" s="183">
        <v>3086</v>
      </c>
      <c r="D27" s="183">
        <v>3086</v>
      </c>
      <c r="E27" s="183">
        <v>3086</v>
      </c>
      <c r="F27" s="183">
        <v>3140</v>
      </c>
      <c r="G27" s="268">
        <v>3140</v>
      </c>
      <c r="H27" s="183">
        <v>3140</v>
      </c>
      <c r="I27" s="183">
        <v>3140</v>
      </c>
      <c r="J27" s="183">
        <v>3140</v>
      </c>
      <c r="K27" s="183">
        <v>3140</v>
      </c>
      <c r="L27" s="183">
        <v>3140</v>
      </c>
      <c r="M27" s="183">
        <v>3188</v>
      </c>
      <c r="N27" s="183">
        <v>3188</v>
      </c>
      <c r="O27" s="183">
        <v>3188</v>
      </c>
      <c r="P27" s="183">
        <v>3188</v>
      </c>
      <c r="Q27" s="183">
        <v>3188</v>
      </c>
      <c r="R27" s="183">
        <v>3188</v>
      </c>
      <c r="S27" s="183">
        <v>3188</v>
      </c>
      <c r="T27" s="183">
        <v>3233</v>
      </c>
      <c r="U27" s="183">
        <v>3233</v>
      </c>
      <c r="V27" s="183">
        <v>3233</v>
      </c>
      <c r="W27" s="183">
        <v>3233</v>
      </c>
      <c r="X27" s="183">
        <v>3233</v>
      </c>
      <c r="Y27" s="183">
        <v>3233</v>
      </c>
      <c r="Z27" s="183">
        <v>3233</v>
      </c>
      <c r="AA27" s="183">
        <v>3271</v>
      </c>
      <c r="AB27" s="183">
        <v>3271</v>
      </c>
      <c r="AC27" s="183">
        <v>3271</v>
      </c>
      <c r="AD27" s="396">
        <f t="shared" si="0"/>
        <v>185</v>
      </c>
      <c r="AE27" s="205">
        <v>185</v>
      </c>
      <c r="AF27" s="183">
        <v>3086</v>
      </c>
    </row>
    <row r="28" spans="1:32">
      <c r="A28" s="189" t="s">
        <v>151</v>
      </c>
      <c r="B28" s="183">
        <v>576</v>
      </c>
      <c r="C28" s="183">
        <v>576</v>
      </c>
      <c r="D28" s="183">
        <v>576</v>
      </c>
      <c r="E28" s="183">
        <v>576</v>
      </c>
      <c r="F28" s="183">
        <v>588</v>
      </c>
      <c r="G28" s="268">
        <v>588</v>
      </c>
      <c r="H28" s="183">
        <v>588</v>
      </c>
      <c r="I28" s="183">
        <v>588</v>
      </c>
      <c r="J28" s="183">
        <v>588</v>
      </c>
      <c r="K28" s="183">
        <v>588</v>
      </c>
      <c r="L28" s="183">
        <v>588</v>
      </c>
      <c r="M28" s="183">
        <v>590</v>
      </c>
      <c r="N28" s="183">
        <v>590</v>
      </c>
      <c r="O28" s="183">
        <v>590</v>
      </c>
      <c r="P28" s="183">
        <v>590</v>
      </c>
      <c r="Q28" s="183">
        <v>590</v>
      </c>
      <c r="R28" s="183">
        <v>590</v>
      </c>
      <c r="S28" s="183">
        <v>590</v>
      </c>
      <c r="T28" s="183">
        <v>611</v>
      </c>
      <c r="U28" s="183">
        <v>611</v>
      </c>
      <c r="V28" s="183">
        <v>611</v>
      </c>
      <c r="W28" s="183">
        <v>611</v>
      </c>
      <c r="X28" s="183">
        <v>611</v>
      </c>
      <c r="Y28" s="183">
        <v>611</v>
      </c>
      <c r="Z28" s="183">
        <v>611</v>
      </c>
      <c r="AA28" s="183">
        <v>623</v>
      </c>
      <c r="AB28" s="183">
        <v>623</v>
      </c>
      <c r="AC28" s="183">
        <v>623</v>
      </c>
      <c r="AD28" s="396">
        <f t="shared" si="0"/>
        <v>47</v>
      </c>
      <c r="AE28" s="205">
        <v>47</v>
      </c>
      <c r="AF28" s="183">
        <v>576</v>
      </c>
    </row>
    <row r="29" spans="1:32">
      <c r="A29" s="189" t="s">
        <v>154</v>
      </c>
      <c r="B29" s="183">
        <v>238</v>
      </c>
      <c r="C29" s="183">
        <v>238</v>
      </c>
      <c r="D29" s="183">
        <v>238</v>
      </c>
      <c r="E29" s="183">
        <v>238</v>
      </c>
      <c r="F29" s="183">
        <v>245</v>
      </c>
      <c r="G29" s="268">
        <v>245</v>
      </c>
      <c r="H29" s="183">
        <v>245</v>
      </c>
      <c r="I29" s="183">
        <v>245</v>
      </c>
      <c r="J29" s="183">
        <v>245</v>
      </c>
      <c r="K29" s="183">
        <v>245</v>
      </c>
      <c r="L29" s="183">
        <v>245</v>
      </c>
      <c r="M29" s="183">
        <v>252</v>
      </c>
      <c r="N29" s="183">
        <v>252</v>
      </c>
      <c r="O29" s="183">
        <v>252</v>
      </c>
      <c r="P29" s="183">
        <v>252</v>
      </c>
      <c r="Q29" s="183">
        <v>252</v>
      </c>
      <c r="R29" s="183">
        <v>252</v>
      </c>
      <c r="S29" s="183">
        <v>252</v>
      </c>
      <c r="T29" s="183">
        <v>259</v>
      </c>
      <c r="U29" s="183">
        <v>259</v>
      </c>
      <c r="V29" s="183">
        <v>259</v>
      </c>
      <c r="W29" s="183">
        <v>259</v>
      </c>
      <c r="X29" s="183">
        <v>259</v>
      </c>
      <c r="Y29" s="183">
        <v>259</v>
      </c>
      <c r="Z29" s="183">
        <v>259</v>
      </c>
      <c r="AA29" s="183">
        <v>266</v>
      </c>
      <c r="AB29" s="183">
        <v>266</v>
      </c>
      <c r="AC29" s="183">
        <v>266</v>
      </c>
      <c r="AD29" s="396">
        <f t="shared" si="0"/>
        <v>28</v>
      </c>
      <c r="AE29" s="205">
        <v>28</v>
      </c>
      <c r="AF29" s="183">
        <v>238</v>
      </c>
    </row>
    <row r="30" spans="1:32">
      <c r="A30" s="138"/>
      <c r="B30" s="162"/>
      <c r="C30" s="162"/>
      <c r="D30" s="162"/>
      <c r="E30" s="162"/>
      <c r="F30" s="162"/>
      <c r="G30" s="381"/>
      <c r="H30" s="162"/>
      <c r="I30" s="162"/>
      <c r="J30" s="162"/>
      <c r="K30" s="162"/>
      <c r="L30" s="162"/>
      <c r="M30" s="162"/>
      <c r="N30" s="162"/>
      <c r="O30" s="162"/>
      <c r="P30" s="162"/>
      <c r="Q30" s="162"/>
      <c r="R30" s="162"/>
      <c r="S30" s="162"/>
      <c r="T30" s="162"/>
      <c r="U30" s="162"/>
      <c r="V30" s="162"/>
      <c r="W30" s="162"/>
      <c r="X30" s="162"/>
      <c r="Y30" s="162"/>
      <c r="Z30" s="162"/>
      <c r="AA30" s="162"/>
      <c r="AB30" s="162"/>
      <c r="AC30" s="162"/>
      <c r="AD30" s="207"/>
      <c r="AE30" s="207"/>
      <c r="AF30" s="162"/>
    </row>
    <row r="31" spans="1:32" ht="18">
      <c r="A31" s="87" t="s">
        <v>74</v>
      </c>
      <c r="B31" s="181" t="s">
        <v>157</v>
      </c>
      <c r="C31" s="181" t="s">
        <v>157</v>
      </c>
      <c r="D31" s="181" t="s">
        <v>157</v>
      </c>
      <c r="E31" s="181" t="s">
        <v>157</v>
      </c>
      <c r="F31" s="181" t="s">
        <v>157</v>
      </c>
      <c r="G31" s="262" t="s">
        <v>75</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263"/>
      <c r="AE31" s="263"/>
      <c r="AF31" s="181" t="s">
        <v>157</v>
      </c>
    </row>
    <row r="32" spans="1:32" ht="25.5">
      <c r="A32" s="127" t="s">
        <v>77</v>
      </c>
      <c r="B32" s="190" t="s">
        <v>78</v>
      </c>
      <c r="C32" s="190" t="s">
        <v>78</v>
      </c>
      <c r="D32" s="190" t="s">
        <v>78</v>
      </c>
      <c r="E32" s="190" t="s">
        <v>78</v>
      </c>
      <c r="F32" s="190" t="s">
        <v>78</v>
      </c>
      <c r="G32" s="27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209"/>
      <c r="AE32" s="209"/>
      <c r="AF32" s="190" t="s">
        <v>78</v>
      </c>
    </row>
    <row r="33" spans="1:32" ht="25.5">
      <c r="A33" s="87" t="s">
        <v>80</v>
      </c>
      <c r="B33" s="187" t="s">
        <v>1399</v>
      </c>
      <c r="C33" s="187" t="s">
        <v>1401</v>
      </c>
      <c r="D33" s="187" t="s">
        <v>1401</v>
      </c>
      <c r="E33" s="187" t="s">
        <v>1401</v>
      </c>
      <c r="F33" s="187" t="s">
        <v>1451</v>
      </c>
      <c r="G33" s="270" t="s">
        <v>1452</v>
      </c>
      <c r="H33" s="187" t="s">
        <v>1452</v>
      </c>
      <c r="I33" s="187" t="s">
        <v>1452</v>
      </c>
      <c r="J33" s="187" t="s">
        <v>1453</v>
      </c>
      <c r="K33" s="187" t="s">
        <v>1454</v>
      </c>
      <c r="L33" s="187" t="s">
        <v>1455</v>
      </c>
      <c r="M33" s="187" t="s">
        <v>1456</v>
      </c>
      <c r="N33" s="187" t="s">
        <v>1456</v>
      </c>
      <c r="O33" s="187" t="s">
        <v>1457</v>
      </c>
      <c r="P33" s="187" t="s">
        <v>1458</v>
      </c>
      <c r="Q33" s="187" t="s">
        <v>1459</v>
      </c>
      <c r="R33" s="187" t="s">
        <v>1460</v>
      </c>
      <c r="S33" s="187" t="s">
        <v>1461</v>
      </c>
      <c r="T33" s="187" t="s">
        <v>1461</v>
      </c>
      <c r="U33" s="187" t="s">
        <v>1462</v>
      </c>
      <c r="V33" s="187" t="s">
        <v>1462</v>
      </c>
      <c r="W33" s="187" t="s">
        <v>1462</v>
      </c>
      <c r="X33" s="187" t="s">
        <v>1461</v>
      </c>
      <c r="Y33" s="187" t="s">
        <v>1463</v>
      </c>
      <c r="Z33" s="187" t="s">
        <v>1463</v>
      </c>
      <c r="AA33" s="187" t="s">
        <v>1464</v>
      </c>
      <c r="AB33" s="187" t="s">
        <v>1465</v>
      </c>
      <c r="AC33" s="187" t="s">
        <v>1465</v>
      </c>
      <c r="AD33" s="206"/>
      <c r="AE33" s="206"/>
      <c r="AF33" s="187" t="s">
        <v>647</v>
      </c>
    </row>
    <row r="34" spans="1:32" ht="15.75" thickBot="1">
      <c r="A34" s="139" t="s">
        <v>81</v>
      </c>
      <c r="B34" s="187" t="s">
        <v>651</v>
      </c>
      <c r="C34" s="187" t="s">
        <v>651</v>
      </c>
      <c r="D34" s="187" t="s">
        <v>651</v>
      </c>
      <c r="E34" s="187" t="s">
        <v>651</v>
      </c>
      <c r="F34" s="187" t="s">
        <v>651</v>
      </c>
      <c r="G34" s="270" t="s">
        <v>651</v>
      </c>
      <c r="H34" s="187" t="s">
        <v>651</v>
      </c>
      <c r="I34" s="187" t="s">
        <v>651</v>
      </c>
      <c r="J34" s="187" t="s">
        <v>651</v>
      </c>
      <c r="K34" s="187" t="s">
        <v>651</v>
      </c>
      <c r="L34" s="187" t="s">
        <v>651</v>
      </c>
      <c r="M34" s="187" t="s">
        <v>651</v>
      </c>
      <c r="N34" s="187" t="s">
        <v>651</v>
      </c>
      <c r="O34" s="187" t="s">
        <v>651</v>
      </c>
      <c r="P34" s="187" t="s">
        <v>651</v>
      </c>
      <c r="Q34" s="187" t="s">
        <v>651</v>
      </c>
      <c r="R34" s="187" t="s">
        <v>651</v>
      </c>
      <c r="S34" s="187" t="s">
        <v>651</v>
      </c>
      <c r="T34" s="187" t="s">
        <v>651</v>
      </c>
      <c r="U34" s="187" t="s">
        <v>651</v>
      </c>
      <c r="V34" s="187" t="s">
        <v>651</v>
      </c>
      <c r="W34" s="187" t="s">
        <v>651</v>
      </c>
      <c r="X34" s="187" t="s">
        <v>651</v>
      </c>
      <c r="Y34" s="187" t="s">
        <v>651</v>
      </c>
      <c r="Z34" s="187" t="s">
        <v>651</v>
      </c>
      <c r="AA34" s="187" t="s">
        <v>651</v>
      </c>
      <c r="AB34" s="187" t="s">
        <v>651</v>
      </c>
      <c r="AC34" s="187" t="s">
        <v>651</v>
      </c>
      <c r="AD34" s="206"/>
      <c r="AE34" s="206"/>
      <c r="AF34" s="187" t="s">
        <v>651</v>
      </c>
    </row>
    <row r="35" spans="1:32">
      <c r="AD35" s="211"/>
      <c r="AE35" s="211"/>
    </row>
    <row r="36" spans="1:32">
      <c r="AD36" s="211"/>
      <c r="AE36" s="211"/>
    </row>
  </sheetData>
  <mergeCells count="1">
    <mergeCell ref="A1:AF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643D-95DF-46EB-8FBB-A8B6D5C06F4B}">
  <dimension ref="A1:AN36"/>
  <sheetViews>
    <sheetView topLeftCell="S3" zoomScale="115" zoomScaleNormal="115" workbookViewId="0">
      <selection activeCell="AG23" sqref="AG23"/>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2" width="12.85546875" style="144" customWidth="1"/>
    <col min="33" max="34" width="9.140625" style="144"/>
    <col min="35" max="35" width="12.85546875" style="144" customWidth="1"/>
    <col min="36" max="36" width="11" style="144" customWidth="1"/>
    <col min="37" max="37" width="11.42578125" style="144" customWidth="1"/>
    <col min="38" max="16384" width="9.140625" style="144"/>
  </cols>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44621</v>
      </c>
      <c r="C2" s="281">
        <v>44622</v>
      </c>
      <c r="D2" s="281">
        <v>44623</v>
      </c>
      <c r="E2" s="281">
        <v>44624</v>
      </c>
      <c r="F2" s="281">
        <v>44625</v>
      </c>
      <c r="G2" s="281">
        <v>44626</v>
      </c>
      <c r="H2" s="281">
        <v>44627</v>
      </c>
      <c r="I2" s="281">
        <v>44628</v>
      </c>
      <c r="J2" s="281">
        <v>44629</v>
      </c>
      <c r="K2" s="281">
        <v>44630</v>
      </c>
      <c r="L2" s="281">
        <v>44631</v>
      </c>
      <c r="M2" s="281">
        <v>44632</v>
      </c>
      <c r="N2" s="281">
        <v>44633</v>
      </c>
      <c r="O2" s="281">
        <v>44634</v>
      </c>
      <c r="P2" s="281">
        <v>44635</v>
      </c>
      <c r="Q2" s="281">
        <v>44636</v>
      </c>
      <c r="R2" s="281">
        <v>44637</v>
      </c>
      <c r="S2" s="281">
        <v>44638</v>
      </c>
      <c r="T2" s="281">
        <v>44639</v>
      </c>
      <c r="U2" s="281">
        <v>44640</v>
      </c>
      <c r="V2" s="281">
        <v>44641</v>
      </c>
      <c r="W2" s="281">
        <v>44642</v>
      </c>
      <c r="X2" s="281">
        <v>44643</v>
      </c>
      <c r="Y2" s="281">
        <v>44644</v>
      </c>
      <c r="Z2" s="281">
        <v>44645</v>
      </c>
      <c r="AA2" s="281">
        <v>44646</v>
      </c>
      <c r="AB2" s="281">
        <v>44647</v>
      </c>
      <c r="AC2" s="281">
        <v>44648</v>
      </c>
      <c r="AD2" s="281">
        <v>44649</v>
      </c>
      <c r="AE2" s="281">
        <v>44650</v>
      </c>
      <c r="AF2" s="281">
        <v>44651</v>
      </c>
      <c r="AG2" s="281"/>
      <c r="AH2" s="281"/>
      <c r="AI2" s="281">
        <v>44620</v>
      </c>
    </row>
    <row r="3" spans="1:40"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53</v>
      </c>
      <c r="AF3" s="283" t="s">
        <v>53</v>
      </c>
      <c r="AG3" s="271"/>
      <c r="AH3" s="317"/>
      <c r="AI3" s="283" t="s">
        <v>53</v>
      </c>
    </row>
    <row r="4" spans="1:40" ht="20.100000000000001" customHeight="1">
      <c r="A4" s="285" t="s">
        <v>54</v>
      </c>
      <c r="B4" s="397">
        <v>214053</v>
      </c>
      <c r="C4" s="397">
        <v>214246</v>
      </c>
      <c r="D4" s="397">
        <v>214438</v>
      </c>
      <c r="E4" s="397">
        <v>214629</v>
      </c>
      <c r="F4" s="397">
        <v>214809</v>
      </c>
      <c r="G4" s="397">
        <v>214999</v>
      </c>
      <c r="H4" s="397">
        <v>215192</v>
      </c>
      <c r="I4" s="397">
        <v>215387</v>
      </c>
      <c r="J4" s="397">
        <v>215582</v>
      </c>
      <c r="K4" s="397">
        <v>215779</v>
      </c>
      <c r="L4" s="397">
        <v>215971</v>
      </c>
      <c r="M4" s="397">
        <v>216152</v>
      </c>
      <c r="N4" s="397">
        <v>216348</v>
      </c>
      <c r="O4" s="397">
        <v>216542</v>
      </c>
      <c r="P4" s="397">
        <v>216741</v>
      </c>
      <c r="Q4" s="397">
        <v>216941</v>
      </c>
      <c r="R4" s="397">
        <v>217134</v>
      </c>
      <c r="S4" s="397">
        <v>217321</v>
      </c>
      <c r="T4" s="397">
        <v>217498</v>
      </c>
      <c r="U4" s="397">
        <v>217684</v>
      </c>
      <c r="V4" s="397">
        <v>217875</v>
      </c>
      <c r="W4" s="397">
        <v>218065</v>
      </c>
      <c r="X4" s="397">
        <v>218259</v>
      </c>
      <c r="Y4" s="397">
        <v>218455</v>
      </c>
      <c r="Z4" s="397">
        <v>218648</v>
      </c>
      <c r="AA4" s="397">
        <v>218829</v>
      </c>
      <c r="AB4" s="397">
        <v>219016</v>
      </c>
      <c r="AC4" s="397">
        <v>219220</v>
      </c>
      <c r="AD4" s="397">
        <v>219411</v>
      </c>
      <c r="AE4" s="397">
        <v>219605</v>
      </c>
      <c r="AF4" s="397">
        <v>219799</v>
      </c>
      <c r="AG4" s="287"/>
      <c r="AH4" s="287"/>
      <c r="AI4" s="397">
        <v>213865</v>
      </c>
      <c r="AJ4" s="318"/>
      <c r="AK4" s="318"/>
      <c r="AN4" s="288"/>
    </row>
    <row r="5" spans="1:40" ht="20.100000000000001" customHeight="1">
      <c r="A5" s="285" t="s">
        <v>55</v>
      </c>
      <c r="B5" s="397">
        <v>5371253</v>
      </c>
      <c r="C5" s="397">
        <v>5378046</v>
      </c>
      <c r="D5" s="397">
        <v>5384830</v>
      </c>
      <c r="E5" s="397">
        <v>5391492</v>
      </c>
      <c r="F5" s="397">
        <v>5397688</v>
      </c>
      <c r="G5" s="397">
        <v>5404351</v>
      </c>
      <c r="H5" s="397">
        <v>5411337</v>
      </c>
      <c r="I5" s="397">
        <v>5418270</v>
      </c>
      <c r="J5" s="397">
        <v>5425313</v>
      </c>
      <c r="K5" s="397">
        <v>5432483</v>
      </c>
      <c r="L5" s="397">
        <v>5439289</v>
      </c>
      <c r="M5" s="397">
        <v>5445566</v>
      </c>
      <c r="N5" s="397">
        <v>5452694</v>
      </c>
      <c r="O5" s="397">
        <v>5459622</v>
      </c>
      <c r="P5" s="397">
        <v>5466700</v>
      </c>
      <c r="Q5" s="397">
        <v>5473851</v>
      </c>
      <c r="R5" s="397">
        <v>5480634</v>
      </c>
      <c r="S5" s="397">
        <v>5487087</v>
      </c>
      <c r="T5" s="397">
        <v>5493173</v>
      </c>
      <c r="U5" s="397">
        <v>5499607</v>
      </c>
      <c r="V5" s="397">
        <v>5506523</v>
      </c>
      <c r="W5" s="397">
        <v>5513518</v>
      </c>
      <c r="X5" s="397">
        <v>5520419</v>
      </c>
      <c r="Y5" s="397">
        <v>5527387</v>
      </c>
      <c r="Z5" s="397">
        <v>5534300</v>
      </c>
      <c r="AA5" s="397">
        <v>5540979</v>
      </c>
      <c r="AB5" s="397">
        <v>5547030</v>
      </c>
      <c r="AC5" s="397">
        <v>5554472</v>
      </c>
      <c r="AD5" s="397">
        <v>5561323</v>
      </c>
      <c r="AE5" s="397">
        <v>5568261</v>
      </c>
      <c r="AF5" s="397">
        <v>5575388</v>
      </c>
      <c r="AG5" s="287"/>
      <c r="AH5" s="287"/>
      <c r="AI5" s="397">
        <v>5364537</v>
      </c>
      <c r="AJ5" s="318"/>
      <c r="AK5" s="318"/>
      <c r="AN5" s="288"/>
    </row>
    <row r="6" spans="1:40" ht="20.100000000000001" customHeight="1">
      <c r="A6" s="285" t="s">
        <v>56</v>
      </c>
      <c r="B6" s="397">
        <v>2607737</v>
      </c>
      <c r="C6" s="397">
        <v>2610910</v>
      </c>
      <c r="D6" s="397">
        <v>2614046</v>
      </c>
      <c r="E6" s="397">
        <v>2617112</v>
      </c>
      <c r="F6" s="397">
        <v>2620003</v>
      </c>
      <c r="G6" s="397">
        <v>2623069</v>
      </c>
      <c r="H6" s="397">
        <v>2626280</v>
      </c>
      <c r="I6" s="397">
        <v>2629472</v>
      </c>
      <c r="J6" s="397">
        <v>2632885</v>
      </c>
      <c r="K6" s="397">
        <v>2636353</v>
      </c>
      <c r="L6" s="397">
        <v>2639621</v>
      </c>
      <c r="M6" s="397">
        <v>2642890</v>
      </c>
      <c r="N6" s="397">
        <v>2646144</v>
      </c>
      <c r="O6" s="397">
        <v>2649333</v>
      </c>
      <c r="P6" s="397">
        <v>2652660</v>
      </c>
      <c r="Q6" s="397">
        <v>2656109</v>
      </c>
      <c r="R6" s="397">
        <v>2659452</v>
      </c>
      <c r="S6" s="397">
        <v>2662485</v>
      </c>
      <c r="T6" s="397">
        <v>2665322</v>
      </c>
      <c r="U6" s="397">
        <v>2668337</v>
      </c>
      <c r="V6" s="397">
        <v>2671737</v>
      </c>
      <c r="W6" s="397">
        <v>2675365</v>
      </c>
      <c r="X6" s="397">
        <v>2678695</v>
      </c>
      <c r="Y6" s="397">
        <v>2682103</v>
      </c>
      <c r="Z6" s="397">
        <v>2685738</v>
      </c>
      <c r="AA6" s="397">
        <v>2689092</v>
      </c>
      <c r="AB6" s="397">
        <v>2691975</v>
      </c>
      <c r="AC6" s="397">
        <v>2695659</v>
      </c>
      <c r="AD6" s="397">
        <v>2698958</v>
      </c>
      <c r="AE6" s="397">
        <v>2702355</v>
      </c>
      <c r="AF6" s="397">
        <v>2705846</v>
      </c>
      <c r="AG6" s="287"/>
      <c r="AH6" s="287"/>
      <c r="AI6" s="397">
        <v>2604684</v>
      </c>
      <c r="AJ6" s="318"/>
      <c r="AK6" s="318"/>
      <c r="AN6" s="288"/>
    </row>
    <row r="7" spans="1:40" ht="20.100000000000001" customHeight="1">
      <c r="A7" s="285" t="s">
        <v>57</v>
      </c>
      <c r="B7" s="397">
        <v>6825843</v>
      </c>
      <c r="C7" s="397">
        <v>6832515</v>
      </c>
      <c r="D7" s="397">
        <v>6839380</v>
      </c>
      <c r="E7" s="397">
        <v>6846208</v>
      </c>
      <c r="F7" s="397">
        <v>6852866</v>
      </c>
      <c r="G7" s="397">
        <v>6859862</v>
      </c>
      <c r="H7" s="397">
        <v>6866284</v>
      </c>
      <c r="I7" s="397">
        <v>6873493</v>
      </c>
      <c r="J7" s="397">
        <v>6880455</v>
      </c>
      <c r="K7" s="397">
        <v>6887842</v>
      </c>
      <c r="L7" s="397">
        <v>6893033</v>
      </c>
      <c r="M7" s="397">
        <v>6900103</v>
      </c>
      <c r="N7" s="397">
        <v>6908040</v>
      </c>
      <c r="O7" s="397">
        <v>6915779</v>
      </c>
      <c r="P7" s="397">
        <v>6923608</v>
      </c>
      <c r="Q7" s="397">
        <v>6931229</v>
      </c>
      <c r="R7" s="397">
        <v>6937266</v>
      </c>
      <c r="S7" s="397">
        <v>6937439</v>
      </c>
      <c r="T7" s="397">
        <v>6937516</v>
      </c>
      <c r="U7" s="397">
        <v>6937592</v>
      </c>
      <c r="V7" s="397">
        <v>6937666</v>
      </c>
      <c r="W7" s="397">
        <v>6937740</v>
      </c>
      <c r="X7" s="397">
        <v>6937814</v>
      </c>
      <c r="Y7" s="397">
        <v>6937887</v>
      </c>
      <c r="Z7" s="397">
        <v>6937962</v>
      </c>
      <c r="AA7" s="397">
        <v>6938039</v>
      </c>
      <c r="AB7" s="397">
        <v>6938107</v>
      </c>
      <c r="AC7" s="397">
        <v>6938187</v>
      </c>
      <c r="AD7" s="397">
        <v>6938259</v>
      </c>
      <c r="AE7" s="397">
        <v>6938335</v>
      </c>
      <c r="AF7" s="397">
        <v>6938411</v>
      </c>
      <c r="AG7" s="287"/>
      <c r="AH7" s="287"/>
      <c r="AI7" s="397">
        <v>6819222</v>
      </c>
      <c r="AJ7" s="318"/>
      <c r="AK7" s="318"/>
      <c r="AN7" s="288"/>
    </row>
    <row r="8" spans="1:40" ht="20.100000000000001" customHeight="1">
      <c r="A8" s="285" t="s">
        <v>58</v>
      </c>
      <c r="B8" s="397">
        <v>2211033</v>
      </c>
      <c r="C8" s="397">
        <v>2211033</v>
      </c>
      <c r="D8" s="397">
        <v>2211033</v>
      </c>
      <c r="E8" s="397">
        <v>2211033</v>
      </c>
      <c r="F8" s="397">
        <v>2211033</v>
      </c>
      <c r="G8" s="397">
        <v>2211033</v>
      </c>
      <c r="H8" s="397">
        <v>2211033</v>
      </c>
      <c r="I8" s="397">
        <v>2211033</v>
      </c>
      <c r="J8" s="397">
        <v>2211033</v>
      </c>
      <c r="K8" s="397">
        <v>2211073</v>
      </c>
      <c r="L8" s="397">
        <v>2211922</v>
      </c>
      <c r="M8" s="397">
        <v>2211922</v>
      </c>
      <c r="N8" s="397">
        <v>2211922</v>
      </c>
      <c r="O8" s="397">
        <v>2211922</v>
      </c>
      <c r="P8" s="397">
        <v>2211922</v>
      </c>
      <c r="Q8" s="397">
        <v>2211922</v>
      </c>
      <c r="R8" s="397">
        <v>2211922</v>
      </c>
      <c r="S8" s="397">
        <v>2213466</v>
      </c>
      <c r="T8" s="397">
        <v>2214847</v>
      </c>
      <c r="U8" s="397">
        <v>2216457</v>
      </c>
      <c r="V8" s="397">
        <v>2218292</v>
      </c>
      <c r="W8" s="397">
        <v>2220626</v>
      </c>
      <c r="X8" s="397">
        <v>2222981</v>
      </c>
      <c r="Y8" s="397">
        <v>2225162</v>
      </c>
      <c r="Z8" s="397">
        <v>2227375</v>
      </c>
      <c r="AA8" s="397">
        <v>2229655</v>
      </c>
      <c r="AB8" s="397">
        <v>2231670</v>
      </c>
      <c r="AC8" s="397">
        <v>2234146</v>
      </c>
      <c r="AD8" s="397">
        <v>2236018</v>
      </c>
      <c r="AE8" s="397">
        <v>2238240</v>
      </c>
      <c r="AF8" s="397">
        <v>2240262</v>
      </c>
      <c r="AG8" s="287"/>
      <c r="AH8" s="287"/>
      <c r="AI8" s="397">
        <v>2211033</v>
      </c>
      <c r="AJ8" s="318"/>
      <c r="AK8" s="318"/>
      <c r="AN8" s="288"/>
    </row>
    <row r="9" spans="1:40" ht="20.100000000000001" customHeight="1">
      <c r="A9" s="285" t="s">
        <v>59</v>
      </c>
      <c r="B9" s="398">
        <v>14400456</v>
      </c>
      <c r="C9" s="398">
        <v>14409525</v>
      </c>
      <c r="D9" s="398">
        <v>14417844</v>
      </c>
      <c r="E9" s="398">
        <v>14426130</v>
      </c>
      <c r="F9" s="398">
        <v>14434151</v>
      </c>
      <c r="G9" s="398">
        <v>14442530</v>
      </c>
      <c r="H9" s="398">
        <v>14451065</v>
      </c>
      <c r="I9" s="398">
        <v>14459598</v>
      </c>
      <c r="J9" s="398">
        <v>14468251</v>
      </c>
      <c r="K9" s="398">
        <v>14477361</v>
      </c>
      <c r="L9" s="398">
        <v>14486438</v>
      </c>
      <c r="M9" s="398">
        <v>14494960</v>
      </c>
      <c r="N9" s="398">
        <v>14504193</v>
      </c>
      <c r="O9" s="398">
        <v>14513358</v>
      </c>
      <c r="P9" s="398">
        <v>14522817</v>
      </c>
      <c r="Q9" s="398">
        <v>14532183</v>
      </c>
      <c r="R9" s="398">
        <v>14541227</v>
      </c>
      <c r="S9" s="398">
        <v>14550047</v>
      </c>
      <c r="T9" s="398">
        <v>14558807</v>
      </c>
      <c r="U9" s="398">
        <v>14567892</v>
      </c>
      <c r="V9" s="398">
        <v>14577086</v>
      </c>
      <c r="W9" s="398">
        <v>14586348</v>
      </c>
      <c r="X9" s="398">
        <v>14595633</v>
      </c>
      <c r="Y9" s="398">
        <v>14604934</v>
      </c>
      <c r="Z9" s="398">
        <v>14614408</v>
      </c>
      <c r="AA9" s="398">
        <v>14623843</v>
      </c>
      <c r="AB9" s="398">
        <v>14632134</v>
      </c>
      <c r="AC9" s="398">
        <v>14641683</v>
      </c>
      <c r="AD9" s="398">
        <v>14650779</v>
      </c>
      <c r="AE9" s="398">
        <v>14660195</v>
      </c>
      <c r="AF9" s="398">
        <v>14668914</v>
      </c>
      <c r="AG9" s="290"/>
      <c r="AH9" s="290"/>
      <c r="AI9" s="398">
        <v>14391547</v>
      </c>
      <c r="AJ9" s="318"/>
      <c r="AK9" s="318"/>
      <c r="AN9" s="288"/>
    </row>
    <row r="10" spans="1:40" ht="20.100000000000001" customHeight="1">
      <c r="A10" s="285" t="s">
        <v>60</v>
      </c>
      <c r="B10" s="397">
        <v>4279487</v>
      </c>
      <c r="C10" s="397">
        <v>4285320</v>
      </c>
      <c r="D10" s="397">
        <v>4291116</v>
      </c>
      <c r="E10" s="397">
        <v>4296918</v>
      </c>
      <c r="F10" s="397">
        <v>4302433</v>
      </c>
      <c r="G10" s="397">
        <v>4308248</v>
      </c>
      <c r="H10" s="397">
        <v>4314173</v>
      </c>
      <c r="I10" s="397">
        <v>4320114</v>
      </c>
      <c r="J10" s="397">
        <v>4326163</v>
      </c>
      <c r="K10" s="397">
        <v>4332190</v>
      </c>
      <c r="L10" s="397">
        <v>4338110</v>
      </c>
      <c r="M10" s="397">
        <v>4343696</v>
      </c>
      <c r="N10" s="397">
        <v>4349695</v>
      </c>
      <c r="O10" s="397">
        <v>4355592</v>
      </c>
      <c r="P10" s="397">
        <v>4361489</v>
      </c>
      <c r="Q10" s="397">
        <v>4367507</v>
      </c>
      <c r="R10" s="397">
        <v>4373252</v>
      </c>
      <c r="S10" s="397">
        <v>4378878</v>
      </c>
      <c r="T10" s="397">
        <v>4384340</v>
      </c>
      <c r="U10" s="397">
        <v>4390026</v>
      </c>
      <c r="V10" s="397">
        <v>4395632</v>
      </c>
      <c r="W10" s="397">
        <v>4401796</v>
      </c>
      <c r="X10" s="397">
        <v>4407860</v>
      </c>
      <c r="Y10" s="397">
        <v>4413821</v>
      </c>
      <c r="Z10" s="397">
        <v>4419534</v>
      </c>
      <c r="AA10" s="397">
        <v>4425301</v>
      </c>
      <c r="AB10" s="397">
        <v>4430676</v>
      </c>
      <c r="AC10" s="397">
        <v>4436857</v>
      </c>
      <c r="AD10" s="397">
        <v>4442671</v>
      </c>
      <c r="AE10" s="397">
        <v>4448682</v>
      </c>
      <c r="AF10" s="397">
        <v>4454733</v>
      </c>
      <c r="AG10" s="287"/>
      <c r="AH10" s="287"/>
      <c r="AI10" s="397">
        <v>4273750</v>
      </c>
      <c r="AJ10" s="318"/>
      <c r="AK10" s="318"/>
      <c r="AN10" s="288"/>
    </row>
    <row r="11" spans="1:40" ht="22.5" customHeight="1">
      <c r="A11" s="285" t="s">
        <v>61</v>
      </c>
      <c r="B11" s="397">
        <v>169007</v>
      </c>
      <c r="C11" s="397">
        <v>169164</v>
      </c>
      <c r="D11" s="397">
        <v>169317</v>
      </c>
      <c r="E11" s="397">
        <v>169470</v>
      </c>
      <c r="F11" s="397">
        <v>169608</v>
      </c>
      <c r="G11" s="397">
        <v>169760</v>
      </c>
      <c r="H11" s="397">
        <v>169923</v>
      </c>
      <c r="I11" s="397">
        <v>170086</v>
      </c>
      <c r="J11" s="397">
        <v>170249</v>
      </c>
      <c r="K11" s="397">
        <v>170413</v>
      </c>
      <c r="L11" s="397">
        <v>170563</v>
      </c>
      <c r="M11" s="397">
        <v>170701</v>
      </c>
      <c r="N11" s="397">
        <v>170857</v>
      </c>
      <c r="O11" s="397">
        <v>171016</v>
      </c>
      <c r="P11" s="397">
        <v>171172</v>
      </c>
      <c r="Q11" s="397">
        <v>171332</v>
      </c>
      <c r="R11" s="397">
        <v>171480</v>
      </c>
      <c r="S11" s="397">
        <v>171617</v>
      </c>
      <c r="T11" s="397">
        <v>171744</v>
      </c>
      <c r="U11" s="397">
        <v>171883</v>
      </c>
      <c r="V11" s="397">
        <v>172034</v>
      </c>
      <c r="W11" s="397">
        <v>172184</v>
      </c>
      <c r="X11" s="397">
        <v>172335</v>
      </c>
      <c r="Y11" s="397">
        <v>172489</v>
      </c>
      <c r="Z11" s="397">
        <v>172638</v>
      </c>
      <c r="AA11" s="397">
        <v>172774</v>
      </c>
      <c r="AB11" s="397">
        <v>172903</v>
      </c>
      <c r="AC11" s="397">
        <v>173067</v>
      </c>
      <c r="AD11" s="397">
        <v>173213</v>
      </c>
      <c r="AE11" s="397">
        <v>173360</v>
      </c>
      <c r="AF11" s="397">
        <v>173513</v>
      </c>
      <c r="AG11" s="287"/>
      <c r="AH11" s="287"/>
      <c r="AI11" s="397">
        <v>168859</v>
      </c>
      <c r="AJ11" s="318"/>
      <c r="AK11" s="318"/>
      <c r="AN11" s="288"/>
    </row>
    <row r="12" spans="1:40" s="294" customFormat="1" ht="18" customHeight="1">
      <c r="A12" s="291" t="s">
        <v>62</v>
      </c>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c r="AA12" s="126"/>
      <c r="AB12" s="126"/>
      <c r="AC12" s="126"/>
      <c r="AD12" s="126"/>
      <c r="AE12" s="126"/>
      <c r="AF12" s="126"/>
      <c r="AG12" s="293"/>
      <c r="AH12" s="293"/>
      <c r="AI12" s="126"/>
    </row>
    <row r="13" spans="1:40" ht="25.5">
      <c r="A13" s="282" t="s">
        <v>63</v>
      </c>
      <c r="B13" s="399" t="s">
        <v>106</v>
      </c>
      <c r="C13" s="399" t="s">
        <v>106</v>
      </c>
      <c r="D13" s="399" t="s">
        <v>106</v>
      </c>
      <c r="E13" s="399" t="s">
        <v>106</v>
      </c>
      <c r="F13" s="399" t="s">
        <v>106</v>
      </c>
      <c r="G13" s="399" t="s">
        <v>106</v>
      </c>
      <c r="H13" s="399" t="s">
        <v>106</v>
      </c>
      <c r="I13" s="399" t="s">
        <v>106</v>
      </c>
      <c r="J13" s="399" t="s">
        <v>106</v>
      </c>
      <c r="K13" s="399" t="s">
        <v>106</v>
      </c>
      <c r="L13" s="399" t="s">
        <v>106</v>
      </c>
      <c r="M13" s="399" t="s">
        <v>106</v>
      </c>
      <c r="N13" s="399" t="s">
        <v>106</v>
      </c>
      <c r="O13" s="399" t="s">
        <v>106</v>
      </c>
      <c r="P13" s="399" t="s">
        <v>106</v>
      </c>
      <c r="Q13" s="399" t="s">
        <v>106</v>
      </c>
      <c r="R13" s="399" t="s">
        <v>106</v>
      </c>
      <c r="S13" s="399" t="s">
        <v>106</v>
      </c>
      <c r="T13" s="399" t="s">
        <v>106</v>
      </c>
      <c r="U13" s="399" t="s">
        <v>106</v>
      </c>
      <c r="V13" s="399" t="s">
        <v>106</v>
      </c>
      <c r="W13" s="399" t="s">
        <v>106</v>
      </c>
      <c r="X13" s="399" t="s">
        <v>106</v>
      </c>
      <c r="Y13" s="399" t="s">
        <v>106</v>
      </c>
      <c r="Z13" s="399" t="s">
        <v>106</v>
      </c>
      <c r="AA13" s="399" t="s">
        <v>106</v>
      </c>
      <c r="AB13" s="399" t="s">
        <v>106</v>
      </c>
      <c r="AC13" s="399" t="s">
        <v>106</v>
      </c>
      <c r="AD13" s="399" t="s">
        <v>106</v>
      </c>
      <c r="AE13" s="399" t="s">
        <v>106</v>
      </c>
      <c r="AF13" s="399" t="s">
        <v>106</v>
      </c>
      <c r="AG13" s="296"/>
      <c r="AH13" s="296"/>
      <c r="AI13" s="399" t="s">
        <v>106</v>
      </c>
    </row>
    <row r="14" spans="1:40">
      <c r="A14" s="282" t="s">
        <v>66</v>
      </c>
      <c r="B14" s="302">
        <v>226003.71</v>
      </c>
      <c r="C14" s="302">
        <v>226003.71</v>
      </c>
      <c r="D14" s="302">
        <v>226003.71</v>
      </c>
      <c r="E14" s="302">
        <v>226003.71</v>
      </c>
      <c r="F14" s="302">
        <v>227410.23</v>
      </c>
      <c r="G14" s="302">
        <v>227410.23</v>
      </c>
      <c r="H14" s="302">
        <v>227410.23</v>
      </c>
      <c r="I14" s="302">
        <v>227410.23</v>
      </c>
      <c r="J14" s="302">
        <v>227410.23</v>
      </c>
      <c r="K14" s="302">
        <v>227410.23</v>
      </c>
      <c r="L14" s="302">
        <v>227410.23</v>
      </c>
      <c r="M14" s="302">
        <v>229070.2</v>
      </c>
      <c r="N14" s="302">
        <v>229070.2</v>
      </c>
      <c r="O14" s="302">
        <v>229070.2</v>
      </c>
      <c r="P14" s="302">
        <v>229070.2</v>
      </c>
      <c r="Q14" s="302">
        <v>229070.2</v>
      </c>
      <c r="R14" s="302">
        <v>229070.2</v>
      </c>
      <c r="S14" s="302">
        <v>229070.2</v>
      </c>
      <c r="T14" s="302">
        <v>230525.97</v>
      </c>
      <c r="U14" s="302">
        <v>230525.97</v>
      </c>
      <c r="V14" s="302">
        <v>230525.97</v>
      </c>
      <c r="W14" s="302">
        <v>230525.97</v>
      </c>
      <c r="X14" s="302">
        <v>230525.97</v>
      </c>
      <c r="Y14" s="302">
        <v>230525.97</v>
      </c>
      <c r="Z14" s="302">
        <v>230525.97</v>
      </c>
      <c r="AA14" s="302">
        <v>232417.15</v>
      </c>
      <c r="AB14" s="302">
        <v>232417.15</v>
      </c>
      <c r="AC14" s="302">
        <v>232417.15</v>
      </c>
      <c r="AD14" s="302">
        <v>232417.15</v>
      </c>
      <c r="AE14" s="302">
        <v>232417.15</v>
      </c>
      <c r="AF14" s="302">
        <v>232417.15</v>
      </c>
      <c r="AG14" s="319"/>
      <c r="AH14" s="319"/>
      <c r="AI14" s="302">
        <v>226003.71</v>
      </c>
    </row>
    <row r="15" spans="1:40" ht="25.5">
      <c r="A15" s="282" t="s">
        <v>67</v>
      </c>
      <c r="B15" s="400">
        <v>1132</v>
      </c>
      <c r="C15" s="400">
        <v>1132</v>
      </c>
      <c r="D15" s="400">
        <v>1132</v>
      </c>
      <c r="E15" s="400">
        <v>1132</v>
      </c>
      <c r="F15" s="400">
        <v>1132</v>
      </c>
      <c r="G15" s="400">
        <v>1132</v>
      </c>
      <c r="H15" s="400">
        <v>1132</v>
      </c>
      <c r="I15" s="400">
        <v>1132</v>
      </c>
      <c r="J15" s="400">
        <v>1132</v>
      </c>
      <c r="K15" s="400">
        <v>1132</v>
      </c>
      <c r="L15" s="400">
        <v>1132</v>
      </c>
      <c r="M15" s="400">
        <v>1132</v>
      </c>
      <c r="N15" s="400">
        <v>1132</v>
      </c>
      <c r="O15" s="400">
        <v>1132</v>
      </c>
      <c r="P15" s="400">
        <v>1132</v>
      </c>
      <c r="Q15" s="400">
        <v>1132</v>
      </c>
      <c r="R15" s="400">
        <v>1132</v>
      </c>
      <c r="S15" s="400">
        <v>1132</v>
      </c>
      <c r="T15" s="400">
        <v>1132</v>
      </c>
      <c r="U15" s="400">
        <v>1132</v>
      </c>
      <c r="V15" s="400">
        <v>1132</v>
      </c>
      <c r="W15" s="400">
        <v>1132</v>
      </c>
      <c r="X15" s="400">
        <v>1132</v>
      </c>
      <c r="Y15" s="400">
        <v>1132</v>
      </c>
      <c r="Z15" s="400">
        <v>1132</v>
      </c>
      <c r="AA15" s="400">
        <v>1132</v>
      </c>
      <c r="AB15" s="400">
        <v>1132</v>
      </c>
      <c r="AC15" s="400">
        <v>1132</v>
      </c>
      <c r="AD15" s="400">
        <v>1132</v>
      </c>
      <c r="AE15" s="400">
        <v>1132</v>
      </c>
      <c r="AF15" s="400">
        <v>1132</v>
      </c>
      <c r="AG15" s="320"/>
      <c r="AH15" s="320"/>
      <c r="AI15" s="400">
        <v>1132</v>
      </c>
    </row>
    <row r="16" spans="1:40" ht="25.5">
      <c r="A16" s="282" t="s">
        <v>68</v>
      </c>
      <c r="B16" s="400">
        <v>4587</v>
      </c>
      <c r="C16" s="400">
        <v>4587</v>
      </c>
      <c r="D16" s="400">
        <v>4587</v>
      </c>
      <c r="E16" s="400">
        <v>4587</v>
      </c>
      <c r="F16" s="400">
        <v>4587</v>
      </c>
      <c r="G16" s="400">
        <v>4587</v>
      </c>
      <c r="H16" s="400">
        <v>4587</v>
      </c>
      <c r="I16" s="400">
        <v>4587</v>
      </c>
      <c r="J16" s="400">
        <v>4587</v>
      </c>
      <c r="K16" s="400">
        <v>4587</v>
      </c>
      <c r="L16" s="400">
        <v>4587</v>
      </c>
      <c r="M16" s="400">
        <v>4587</v>
      </c>
      <c r="N16" s="400">
        <v>4587</v>
      </c>
      <c r="O16" s="400">
        <v>4587</v>
      </c>
      <c r="P16" s="400">
        <v>4587</v>
      </c>
      <c r="Q16" s="400">
        <v>4587</v>
      </c>
      <c r="R16" s="400">
        <v>4587</v>
      </c>
      <c r="S16" s="400">
        <v>4587</v>
      </c>
      <c r="T16" s="400">
        <v>4587</v>
      </c>
      <c r="U16" s="400">
        <v>4587</v>
      </c>
      <c r="V16" s="400">
        <v>4587</v>
      </c>
      <c r="W16" s="400">
        <v>4587</v>
      </c>
      <c r="X16" s="400">
        <v>4587</v>
      </c>
      <c r="Y16" s="400">
        <v>4587</v>
      </c>
      <c r="Z16" s="400">
        <v>4587</v>
      </c>
      <c r="AA16" s="400">
        <v>4587</v>
      </c>
      <c r="AB16" s="400">
        <v>4587</v>
      </c>
      <c r="AC16" s="400">
        <v>4587</v>
      </c>
      <c r="AD16" s="400">
        <v>4587</v>
      </c>
      <c r="AE16" s="400">
        <v>4587</v>
      </c>
      <c r="AF16" s="400">
        <v>4587</v>
      </c>
      <c r="AG16" s="320"/>
      <c r="AH16" s="320"/>
      <c r="AI16" s="400">
        <v>4587</v>
      </c>
    </row>
    <row r="17" spans="1:36" ht="20.100000000000001" customHeight="1">
      <c r="A17" s="303"/>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304"/>
      <c r="AH17" s="304"/>
      <c r="AI17" s="126"/>
    </row>
    <row r="18" spans="1:36">
      <c r="A18" s="282" t="s">
        <v>69</v>
      </c>
      <c r="B18" s="399" t="s">
        <v>106</v>
      </c>
      <c r="C18" s="399" t="s">
        <v>106</v>
      </c>
      <c r="D18" s="399" t="s">
        <v>106</v>
      </c>
      <c r="E18" s="399" t="s">
        <v>106</v>
      </c>
      <c r="F18" s="399" t="s">
        <v>106</v>
      </c>
      <c r="G18" s="399" t="s">
        <v>106</v>
      </c>
      <c r="H18" s="399" t="s">
        <v>106</v>
      </c>
      <c r="I18" s="399" t="s">
        <v>106</v>
      </c>
      <c r="J18" s="399" t="s">
        <v>106</v>
      </c>
      <c r="K18" s="399" t="s">
        <v>106</v>
      </c>
      <c r="L18" s="399" t="s">
        <v>106</v>
      </c>
      <c r="M18" s="399" t="s">
        <v>106</v>
      </c>
      <c r="N18" s="399" t="s">
        <v>106</v>
      </c>
      <c r="O18" s="399" t="s">
        <v>106</v>
      </c>
      <c r="P18" s="399" t="s">
        <v>106</v>
      </c>
      <c r="Q18" s="399" t="s">
        <v>106</v>
      </c>
      <c r="R18" s="399" t="s">
        <v>106</v>
      </c>
      <c r="S18" s="399" t="s">
        <v>106</v>
      </c>
      <c r="T18" s="399" t="s">
        <v>106</v>
      </c>
      <c r="U18" s="399" t="s">
        <v>106</v>
      </c>
      <c r="V18" s="399" t="s">
        <v>106</v>
      </c>
      <c r="W18" s="399" t="s">
        <v>106</v>
      </c>
      <c r="X18" s="399" t="s">
        <v>106</v>
      </c>
      <c r="Y18" s="399" t="s">
        <v>106</v>
      </c>
      <c r="Z18" s="399" t="s">
        <v>106</v>
      </c>
      <c r="AA18" s="399" t="s">
        <v>106</v>
      </c>
      <c r="AB18" s="399" t="s">
        <v>106</v>
      </c>
      <c r="AC18" s="399" t="s">
        <v>106</v>
      </c>
      <c r="AD18" s="399" t="s">
        <v>106</v>
      </c>
      <c r="AE18" s="399" t="s">
        <v>106</v>
      </c>
      <c r="AF18" s="399" t="s">
        <v>106</v>
      </c>
      <c r="AG18" s="296"/>
      <c r="AH18" s="296"/>
      <c r="AI18" s="399" t="s">
        <v>106</v>
      </c>
    </row>
    <row r="19" spans="1:36" ht="25.5">
      <c r="A19" s="282" t="s">
        <v>70</v>
      </c>
      <c r="B19" s="401">
        <v>58997.4</v>
      </c>
      <c r="C19" s="401">
        <v>59014.7</v>
      </c>
      <c r="D19" s="401">
        <v>59043.4</v>
      </c>
      <c r="E19" s="401">
        <v>59061.599999999999</v>
      </c>
      <c r="F19" s="401">
        <v>59061.599999999999</v>
      </c>
      <c r="G19" s="401">
        <v>59096.6</v>
      </c>
      <c r="H19" s="401">
        <v>59125.5</v>
      </c>
      <c r="I19" s="401">
        <v>59152.7</v>
      </c>
      <c r="J19" s="401">
        <v>59184.5</v>
      </c>
      <c r="K19" s="401">
        <v>59212.800000000003</v>
      </c>
      <c r="L19" s="401">
        <v>59238.7</v>
      </c>
      <c r="M19" s="401">
        <v>59238.7</v>
      </c>
      <c r="N19" s="401">
        <v>59309.1</v>
      </c>
      <c r="O19" s="401">
        <v>59333.4</v>
      </c>
      <c r="P19" s="401">
        <v>59363.5</v>
      </c>
      <c r="Q19" s="401">
        <v>59392.1</v>
      </c>
      <c r="R19" s="401">
        <v>59437.7</v>
      </c>
      <c r="S19" s="401">
        <v>59458.7</v>
      </c>
      <c r="T19" s="401">
        <v>59458.7</v>
      </c>
      <c r="U19" s="401">
        <v>59492.6</v>
      </c>
      <c r="V19" s="401">
        <v>59515.4</v>
      </c>
      <c r="W19" s="401">
        <v>59545.7</v>
      </c>
      <c r="X19" s="401">
        <v>59569.599999999999</v>
      </c>
      <c r="Y19" s="401">
        <v>59599.4</v>
      </c>
      <c r="Z19" s="401">
        <v>59628.2</v>
      </c>
      <c r="AA19" s="401">
        <v>59628.2</v>
      </c>
      <c r="AB19" s="401">
        <v>59679.199999999997</v>
      </c>
      <c r="AC19" s="401">
        <v>59767.1</v>
      </c>
      <c r="AD19" s="401">
        <v>59795.9</v>
      </c>
      <c r="AE19" s="401">
        <v>59827.6</v>
      </c>
      <c r="AF19" s="401">
        <v>59849.8</v>
      </c>
      <c r="AG19" s="321"/>
      <c r="AH19" s="321"/>
      <c r="AI19" s="401">
        <v>58968.5</v>
      </c>
      <c r="AJ19" s="307"/>
    </row>
    <row r="20" spans="1:36" ht="25.5">
      <c r="A20" s="282" t="s">
        <v>71</v>
      </c>
      <c r="B20" s="400">
        <v>6080381</v>
      </c>
      <c r="C20" s="400">
        <v>5991735</v>
      </c>
      <c r="D20" s="400">
        <v>5903052</v>
      </c>
      <c r="E20" s="402">
        <v>5815009</v>
      </c>
      <c r="F20" s="400">
        <v>5724409</v>
      </c>
      <c r="G20" s="400">
        <v>5633116</v>
      </c>
      <c r="H20" s="400">
        <v>5542790</v>
      </c>
      <c r="I20" s="400">
        <v>5449236</v>
      </c>
      <c r="J20" s="400">
        <v>5359520</v>
      </c>
      <c r="K20" s="400">
        <v>5266576</v>
      </c>
      <c r="L20" s="400">
        <v>5178016</v>
      </c>
      <c r="M20" s="400">
        <v>5081050</v>
      </c>
      <c r="N20" s="400">
        <v>4988446</v>
      </c>
      <c r="O20" s="400">
        <v>4895542</v>
      </c>
      <c r="P20" s="400">
        <v>4801838</v>
      </c>
      <c r="Q20" s="400">
        <v>4707530</v>
      </c>
      <c r="R20" s="400">
        <v>4613323</v>
      </c>
      <c r="S20" s="400">
        <v>4519918</v>
      </c>
      <c r="T20" s="400">
        <v>4421860</v>
      </c>
      <c r="U20" s="400">
        <v>4325493</v>
      </c>
      <c r="V20" s="400">
        <v>4229658</v>
      </c>
      <c r="W20" s="400">
        <v>4132985</v>
      </c>
      <c r="X20" s="400">
        <v>4035765</v>
      </c>
      <c r="Y20" s="400">
        <v>3939395</v>
      </c>
      <c r="Z20" s="400">
        <v>3842673</v>
      </c>
      <c r="AA20" s="400">
        <v>3745755</v>
      </c>
      <c r="AB20" s="400">
        <v>3650050</v>
      </c>
      <c r="AC20" s="400">
        <v>3552230</v>
      </c>
      <c r="AD20" s="400">
        <v>3454450</v>
      </c>
      <c r="AE20" s="400">
        <v>3356267</v>
      </c>
      <c r="AF20" s="400">
        <v>3257301</v>
      </c>
      <c r="AG20" s="209"/>
      <c r="AH20" s="209"/>
      <c r="AI20" s="400">
        <v>6168762</v>
      </c>
      <c r="AJ20" s="307"/>
    </row>
    <row r="21" spans="1:36" ht="25.5">
      <c r="A21" s="282" t="s">
        <v>72</v>
      </c>
      <c r="B21" s="400">
        <v>77238</v>
      </c>
      <c r="C21" s="400">
        <v>77238</v>
      </c>
      <c r="D21" s="400">
        <v>77238</v>
      </c>
      <c r="E21" s="400">
        <v>77238</v>
      </c>
      <c r="F21" s="400">
        <v>77792</v>
      </c>
      <c r="G21" s="400">
        <v>77792</v>
      </c>
      <c r="H21" s="400">
        <v>77792</v>
      </c>
      <c r="I21" s="400">
        <v>77792</v>
      </c>
      <c r="J21" s="400">
        <v>77792</v>
      </c>
      <c r="K21" s="400">
        <v>77792</v>
      </c>
      <c r="L21" s="400">
        <v>77792</v>
      </c>
      <c r="M21" s="400">
        <v>78486</v>
      </c>
      <c r="N21" s="400">
        <v>78486</v>
      </c>
      <c r="O21" s="400">
        <v>78486</v>
      </c>
      <c r="P21" s="400">
        <v>78486</v>
      </c>
      <c r="Q21" s="400">
        <v>78486</v>
      </c>
      <c r="R21" s="400">
        <v>78486</v>
      </c>
      <c r="S21" s="400">
        <v>78486</v>
      </c>
      <c r="T21" s="400">
        <v>79253</v>
      </c>
      <c r="U21" s="400">
        <v>79253</v>
      </c>
      <c r="V21" s="400">
        <v>79253</v>
      </c>
      <c r="W21" s="400">
        <v>79253</v>
      </c>
      <c r="X21" s="400">
        <v>79253</v>
      </c>
      <c r="Y21" s="400">
        <v>79253</v>
      </c>
      <c r="Z21" s="400">
        <v>79253</v>
      </c>
      <c r="AA21" s="400">
        <v>79901</v>
      </c>
      <c r="AB21" s="400">
        <v>79901</v>
      </c>
      <c r="AC21" s="400">
        <v>79901</v>
      </c>
      <c r="AD21" s="400">
        <v>79901</v>
      </c>
      <c r="AE21" s="400">
        <v>79901</v>
      </c>
      <c r="AF21" s="400">
        <v>79901</v>
      </c>
      <c r="AG21" s="321"/>
      <c r="AH21" s="321"/>
      <c r="AI21" s="400">
        <v>77238</v>
      </c>
      <c r="AJ21" s="307"/>
    </row>
    <row r="22" spans="1:36">
      <c r="A22" s="282" t="s">
        <v>73</v>
      </c>
      <c r="B22" s="400">
        <v>139615</v>
      </c>
      <c r="C22" s="400">
        <v>139663</v>
      </c>
      <c r="D22" s="400">
        <v>139715</v>
      </c>
      <c r="E22" s="400">
        <v>139778</v>
      </c>
      <c r="F22" s="400">
        <v>139831</v>
      </c>
      <c r="G22" s="400">
        <v>139881</v>
      </c>
      <c r="H22" s="400">
        <v>139940</v>
      </c>
      <c r="I22" s="400">
        <v>140007</v>
      </c>
      <c r="J22" s="400">
        <v>140007</v>
      </c>
      <c r="K22" s="400">
        <v>140131</v>
      </c>
      <c r="L22" s="400">
        <v>140193</v>
      </c>
      <c r="M22" s="400">
        <v>140262</v>
      </c>
      <c r="N22" s="400">
        <v>140319</v>
      </c>
      <c r="O22" s="400">
        <v>140390</v>
      </c>
      <c r="P22" s="400">
        <v>140390</v>
      </c>
      <c r="Q22" s="400">
        <v>140390</v>
      </c>
      <c r="R22" s="400">
        <v>140593</v>
      </c>
      <c r="S22" s="400">
        <v>140639</v>
      </c>
      <c r="T22" s="400">
        <v>140681</v>
      </c>
      <c r="U22" s="400">
        <v>140723</v>
      </c>
      <c r="V22" s="400">
        <v>140789</v>
      </c>
      <c r="W22" s="400">
        <v>140847</v>
      </c>
      <c r="X22" s="400">
        <v>140905</v>
      </c>
      <c r="Y22" s="400">
        <v>140968</v>
      </c>
      <c r="Z22" s="400">
        <v>141039</v>
      </c>
      <c r="AA22" s="400">
        <v>141084</v>
      </c>
      <c r="AB22" s="400">
        <v>141139</v>
      </c>
      <c r="AC22" s="400">
        <v>141151</v>
      </c>
      <c r="AD22" s="400">
        <v>141199</v>
      </c>
      <c r="AE22" s="400">
        <v>141254</v>
      </c>
      <c r="AF22" s="400">
        <v>141316</v>
      </c>
      <c r="AG22" s="321">
        <f>AF22-B22</f>
        <v>1701</v>
      </c>
      <c r="AH22" s="321"/>
      <c r="AI22" s="400">
        <v>13954</v>
      </c>
      <c r="AJ22" s="307"/>
    </row>
    <row r="23" spans="1:36">
      <c r="A23" s="309" t="s">
        <v>136</v>
      </c>
      <c r="B23" s="400">
        <v>2773</v>
      </c>
      <c r="C23" s="400">
        <v>2773</v>
      </c>
      <c r="D23" s="400">
        <v>2773</v>
      </c>
      <c r="E23" s="400">
        <v>2773</v>
      </c>
      <c r="F23" s="400">
        <v>2819</v>
      </c>
      <c r="G23" s="400">
        <v>2819</v>
      </c>
      <c r="H23" s="400">
        <v>2819</v>
      </c>
      <c r="I23" s="400">
        <v>2819</v>
      </c>
      <c r="J23" s="400">
        <v>2819</v>
      </c>
      <c r="K23" s="400">
        <v>2819</v>
      </c>
      <c r="L23" s="400">
        <v>2819</v>
      </c>
      <c r="M23" s="400">
        <v>2865</v>
      </c>
      <c r="N23" s="400">
        <v>2865</v>
      </c>
      <c r="O23" s="400">
        <v>2865</v>
      </c>
      <c r="P23" s="400">
        <v>2865</v>
      </c>
      <c r="Q23" s="400">
        <v>2865</v>
      </c>
      <c r="R23" s="400">
        <v>2865</v>
      </c>
      <c r="S23" s="400">
        <v>2865</v>
      </c>
      <c r="T23" s="400">
        <v>2900</v>
      </c>
      <c r="U23" s="400">
        <v>2900</v>
      </c>
      <c r="V23" s="400">
        <v>2900</v>
      </c>
      <c r="W23" s="400">
        <v>2900</v>
      </c>
      <c r="X23" s="400">
        <v>2900</v>
      </c>
      <c r="Y23" s="400">
        <v>2900</v>
      </c>
      <c r="Z23" s="400">
        <v>2900</v>
      </c>
      <c r="AA23" s="400">
        <v>3026</v>
      </c>
      <c r="AB23" s="400">
        <v>3026</v>
      </c>
      <c r="AC23" s="400">
        <v>3026</v>
      </c>
      <c r="AD23" s="400">
        <v>3026</v>
      </c>
      <c r="AE23" s="400">
        <v>3026</v>
      </c>
      <c r="AF23" s="400">
        <v>3026</v>
      </c>
      <c r="AG23" s="323">
        <f>AF23-B23</f>
        <v>253</v>
      </c>
      <c r="AH23" s="208">
        <v>253</v>
      </c>
      <c r="AI23" s="400">
        <v>2773</v>
      </c>
      <c r="AJ23" s="307"/>
    </row>
    <row r="24" spans="1:36">
      <c r="A24" s="309" t="s">
        <v>139</v>
      </c>
      <c r="B24" s="400">
        <v>3084</v>
      </c>
      <c r="C24" s="400">
        <v>3084</v>
      </c>
      <c r="D24" s="400">
        <v>3084</v>
      </c>
      <c r="E24" s="400">
        <v>3084</v>
      </c>
      <c r="F24" s="400">
        <v>3101</v>
      </c>
      <c r="G24" s="400">
        <v>3101</v>
      </c>
      <c r="H24" s="400">
        <v>3101</v>
      </c>
      <c r="I24" s="400">
        <v>3101</v>
      </c>
      <c r="J24" s="400">
        <v>3101</v>
      </c>
      <c r="K24" s="400">
        <v>3101</v>
      </c>
      <c r="L24" s="400">
        <v>3101</v>
      </c>
      <c r="M24" s="400">
        <v>3127</v>
      </c>
      <c r="N24" s="400">
        <v>3127</v>
      </c>
      <c r="O24" s="400">
        <v>3127</v>
      </c>
      <c r="P24" s="400">
        <v>3127</v>
      </c>
      <c r="Q24" s="400">
        <v>3127</v>
      </c>
      <c r="R24" s="400">
        <v>3127</v>
      </c>
      <c r="S24" s="400">
        <v>3127</v>
      </c>
      <c r="T24" s="400">
        <v>3141</v>
      </c>
      <c r="U24" s="400">
        <v>3141</v>
      </c>
      <c r="V24" s="400">
        <v>3141</v>
      </c>
      <c r="W24" s="400">
        <v>3141</v>
      </c>
      <c r="X24" s="400">
        <v>3141</v>
      </c>
      <c r="Y24" s="400">
        <v>3141</v>
      </c>
      <c r="Z24" s="400">
        <v>3141</v>
      </c>
      <c r="AA24" s="400">
        <v>3195</v>
      </c>
      <c r="AB24" s="400">
        <v>3195</v>
      </c>
      <c r="AC24" s="400">
        <v>3195</v>
      </c>
      <c r="AD24" s="400">
        <v>3195</v>
      </c>
      <c r="AE24" s="400">
        <v>3195</v>
      </c>
      <c r="AF24" s="400">
        <v>3195</v>
      </c>
      <c r="AG24" s="323">
        <f t="shared" ref="AG24:AG29" si="0">AF24-B24</f>
        <v>111</v>
      </c>
      <c r="AH24" s="208">
        <v>111</v>
      </c>
      <c r="AI24" s="400">
        <v>3084</v>
      </c>
      <c r="AJ24" s="307"/>
    </row>
    <row r="25" spans="1:36">
      <c r="A25" s="309" t="s">
        <v>142</v>
      </c>
      <c r="B25" s="400">
        <v>1095</v>
      </c>
      <c r="C25" s="400">
        <v>1095</v>
      </c>
      <c r="D25" s="400">
        <v>1095</v>
      </c>
      <c r="E25" s="400">
        <v>1095</v>
      </c>
      <c r="F25" s="400">
        <v>1122</v>
      </c>
      <c r="G25" s="400">
        <v>1122</v>
      </c>
      <c r="H25" s="400">
        <v>1122</v>
      </c>
      <c r="I25" s="400">
        <v>1122</v>
      </c>
      <c r="J25" s="400">
        <v>1122</v>
      </c>
      <c r="K25" s="400">
        <v>1122</v>
      </c>
      <c r="L25" s="400">
        <v>1122</v>
      </c>
      <c r="M25" s="400">
        <v>1142</v>
      </c>
      <c r="N25" s="400">
        <v>1142</v>
      </c>
      <c r="O25" s="400">
        <v>1142</v>
      </c>
      <c r="P25" s="400">
        <v>1142</v>
      </c>
      <c r="Q25" s="400">
        <v>1142</v>
      </c>
      <c r="R25" s="400">
        <v>1142</v>
      </c>
      <c r="S25" s="400">
        <v>1142</v>
      </c>
      <c r="T25" s="400">
        <v>1162</v>
      </c>
      <c r="U25" s="400">
        <v>1162</v>
      </c>
      <c r="V25" s="400">
        <v>1162</v>
      </c>
      <c r="W25" s="400">
        <v>1162</v>
      </c>
      <c r="X25" s="400">
        <v>1162</v>
      </c>
      <c r="Y25" s="400">
        <v>1162</v>
      </c>
      <c r="Z25" s="400">
        <v>1162</v>
      </c>
      <c r="AA25" s="400">
        <v>1190</v>
      </c>
      <c r="AB25" s="400">
        <v>1190</v>
      </c>
      <c r="AC25" s="400">
        <v>1190</v>
      </c>
      <c r="AD25" s="400">
        <v>1190</v>
      </c>
      <c r="AE25" s="400">
        <v>1190</v>
      </c>
      <c r="AF25" s="400">
        <v>1190</v>
      </c>
      <c r="AG25" s="323">
        <f t="shared" si="0"/>
        <v>95</v>
      </c>
      <c r="AH25" s="208">
        <v>95</v>
      </c>
      <c r="AI25" s="400">
        <v>1095</v>
      </c>
      <c r="AJ25" s="307"/>
    </row>
    <row r="26" spans="1:36">
      <c r="A26" s="309" t="s">
        <v>145</v>
      </c>
      <c r="B26" s="400">
        <v>161</v>
      </c>
      <c r="C26" s="400">
        <v>161</v>
      </c>
      <c r="D26" s="400">
        <v>161</v>
      </c>
      <c r="E26" s="400">
        <v>161</v>
      </c>
      <c r="F26" s="400">
        <v>161</v>
      </c>
      <c r="G26" s="400">
        <v>161</v>
      </c>
      <c r="H26" s="400">
        <v>161</v>
      </c>
      <c r="I26" s="400">
        <v>161</v>
      </c>
      <c r="J26" s="400">
        <v>161</v>
      </c>
      <c r="K26" s="400">
        <v>161</v>
      </c>
      <c r="L26" s="400">
        <v>161</v>
      </c>
      <c r="M26" s="400">
        <v>161</v>
      </c>
      <c r="N26" s="400">
        <v>161</v>
      </c>
      <c r="O26" s="400">
        <v>161</v>
      </c>
      <c r="P26" s="400">
        <v>161</v>
      </c>
      <c r="Q26" s="400">
        <v>161</v>
      </c>
      <c r="R26" s="400">
        <v>161</v>
      </c>
      <c r="S26" s="400">
        <v>161</v>
      </c>
      <c r="T26" s="400">
        <v>161</v>
      </c>
      <c r="U26" s="400">
        <v>161</v>
      </c>
      <c r="V26" s="400">
        <v>161</v>
      </c>
      <c r="W26" s="400">
        <v>161</v>
      </c>
      <c r="X26" s="400">
        <v>161</v>
      </c>
      <c r="Y26" s="400">
        <v>161</v>
      </c>
      <c r="Z26" s="400">
        <v>161</v>
      </c>
      <c r="AA26" s="400">
        <v>161</v>
      </c>
      <c r="AB26" s="400">
        <v>161</v>
      </c>
      <c r="AC26" s="400">
        <v>161</v>
      </c>
      <c r="AD26" s="400">
        <v>161</v>
      </c>
      <c r="AE26" s="400">
        <v>161</v>
      </c>
      <c r="AF26" s="400">
        <v>161</v>
      </c>
      <c r="AG26" s="323">
        <f t="shared" si="0"/>
        <v>0</v>
      </c>
      <c r="AH26" s="208">
        <v>0</v>
      </c>
      <c r="AI26" s="400">
        <v>161</v>
      </c>
      <c r="AJ26" s="307"/>
    </row>
    <row r="27" spans="1:36">
      <c r="A27" s="309" t="s">
        <v>148</v>
      </c>
      <c r="B27" s="400">
        <v>3271</v>
      </c>
      <c r="C27" s="400">
        <v>3271</v>
      </c>
      <c r="D27" s="400">
        <v>3271</v>
      </c>
      <c r="E27" s="400">
        <v>3271</v>
      </c>
      <c r="F27" s="400">
        <v>3316</v>
      </c>
      <c r="G27" s="400">
        <v>3316</v>
      </c>
      <c r="H27" s="400">
        <v>3316</v>
      </c>
      <c r="I27" s="400">
        <v>3316</v>
      </c>
      <c r="J27" s="400">
        <v>3316</v>
      </c>
      <c r="K27" s="400">
        <v>3316</v>
      </c>
      <c r="L27" s="400">
        <v>3316</v>
      </c>
      <c r="M27" s="400">
        <v>3369</v>
      </c>
      <c r="N27" s="400">
        <v>3369</v>
      </c>
      <c r="O27" s="400">
        <v>3369</v>
      </c>
      <c r="P27" s="400">
        <v>3369</v>
      </c>
      <c r="Q27" s="400">
        <v>3369</v>
      </c>
      <c r="R27" s="400">
        <v>3369</v>
      </c>
      <c r="S27" s="400">
        <v>3369</v>
      </c>
      <c r="T27" s="400">
        <v>3435</v>
      </c>
      <c r="U27" s="400">
        <v>3435</v>
      </c>
      <c r="V27" s="400">
        <v>3435</v>
      </c>
      <c r="W27" s="400">
        <v>3435</v>
      </c>
      <c r="X27" s="400">
        <v>3435</v>
      </c>
      <c r="Y27" s="400">
        <v>3435</v>
      </c>
      <c r="Z27" s="400">
        <v>3435</v>
      </c>
      <c r="AA27" s="400">
        <v>3540</v>
      </c>
      <c r="AB27" s="400">
        <v>3540</v>
      </c>
      <c r="AC27" s="400">
        <v>3540</v>
      </c>
      <c r="AD27" s="400">
        <v>3540</v>
      </c>
      <c r="AE27" s="400">
        <v>3540</v>
      </c>
      <c r="AF27" s="400">
        <v>3540</v>
      </c>
      <c r="AG27" s="323">
        <f t="shared" si="0"/>
        <v>269</v>
      </c>
      <c r="AH27" s="208">
        <v>269</v>
      </c>
      <c r="AI27" s="400">
        <v>3271</v>
      </c>
      <c r="AJ27" s="307"/>
    </row>
    <row r="28" spans="1:36">
      <c r="A28" s="309" t="s">
        <v>151</v>
      </c>
      <c r="B28" s="400">
        <v>623</v>
      </c>
      <c r="C28" s="400">
        <v>623</v>
      </c>
      <c r="D28" s="400">
        <v>623</v>
      </c>
      <c r="E28" s="400">
        <v>623</v>
      </c>
      <c r="F28" s="400">
        <v>637</v>
      </c>
      <c r="G28" s="400">
        <v>637</v>
      </c>
      <c r="H28" s="400">
        <v>637</v>
      </c>
      <c r="I28" s="400">
        <v>637</v>
      </c>
      <c r="J28" s="400">
        <v>637</v>
      </c>
      <c r="K28" s="400">
        <v>637</v>
      </c>
      <c r="L28" s="400">
        <v>637</v>
      </c>
      <c r="M28" s="400">
        <v>649</v>
      </c>
      <c r="N28" s="400">
        <v>649</v>
      </c>
      <c r="O28" s="400">
        <v>649</v>
      </c>
      <c r="P28" s="400">
        <v>649</v>
      </c>
      <c r="Q28" s="400">
        <v>649</v>
      </c>
      <c r="R28" s="400">
        <v>649</v>
      </c>
      <c r="S28" s="400">
        <v>649</v>
      </c>
      <c r="T28" s="400">
        <v>662</v>
      </c>
      <c r="U28" s="400">
        <v>662</v>
      </c>
      <c r="V28" s="400">
        <v>662</v>
      </c>
      <c r="W28" s="400">
        <v>662</v>
      </c>
      <c r="X28" s="400">
        <v>662</v>
      </c>
      <c r="Y28" s="400">
        <v>662</v>
      </c>
      <c r="Z28" s="400">
        <v>662</v>
      </c>
      <c r="AA28" s="400">
        <v>676</v>
      </c>
      <c r="AB28" s="400">
        <v>676</v>
      </c>
      <c r="AC28" s="400">
        <v>676</v>
      </c>
      <c r="AD28" s="400">
        <v>676</v>
      </c>
      <c r="AE28" s="400">
        <v>676</v>
      </c>
      <c r="AF28" s="400">
        <v>676</v>
      </c>
      <c r="AG28" s="323">
        <f t="shared" si="0"/>
        <v>53</v>
      </c>
      <c r="AH28" s="208">
        <v>53</v>
      </c>
      <c r="AI28" s="400">
        <v>623</v>
      </c>
      <c r="AJ28" s="307"/>
    </row>
    <row r="29" spans="1:36">
      <c r="A29" s="309" t="s">
        <v>154</v>
      </c>
      <c r="B29" s="400">
        <v>266</v>
      </c>
      <c r="C29" s="400">
        <v>266</v>
      </c>
      <c r="D29" s="400">
        <v>266</v>
      </c>
      <c r="E29" s="400">
        <v>266</v>
      </c>
      <c r="F29" s="400">
        <v>272</v>
      </c>
      <c r="G29" s="400">
        <v>272</v>
      </c>
      <c r="H29" s="400">
        <v>272</v>
      </c>
      <c r="I29" s="400">
        <v>272</v>
      </c>
      <c r="J29" s="400">
        <v>272</v>
      </c>
      <c r="K29" s="400">
        <v>272</v>
      </c>
      <c r="L29" s="400">
        <v>272</v>
      </c>
      <c r="M29" s="400">
        <v>279</v>
      </c>
      <c r="N29" s="400">
        <v>279</v>
      </c>
      <c r="O29" s="400">
        <v>279</v>
      </c>
      <c r="P29" s="400">
        <v>279</v>
      </c>
      <c r="Q29" s="400">
        <v>279</v>
      </c>
      <c r="R29" s="400">
        <v>279</v>
      </c>
      <c r="S29" s="400">
        <v>279</v>
      </c>
      <c r="T29" s="400">
        <v>286</v>
      </c>
      <c r="U29" s="400">
        <v>286</v>
      </c>
      <c r="V29" s="400">
        <v>286</v>
      </c>
      <c r="W29" s="400">
        <v>286</v>
      </c>
      <c r="X29" s="400">
        <v>286</v>
      </c>
      <c r="Y29" s="400">
        <v>286</v>
      </c>
      <c r="Z29" s="400">
        <v>286</v>
      </c>
      <c r="AA29" s="400">
        <v>292</v>
      </c>
      <c r="AB29" s="400">
        <v>292</v>
      </c>
      <c r="AC29" s="400">
        <v>292</v>
      </c>
      <c r="AD29" s="400">
        <v>292</v>
      </c>
      <c r="AE29" s="400">
        <v>292</v>
      </c>
      <c r="AF29" s="400">
        <v>292</v>
      </c>
      <c r="AG29" s="323">
        <f t="shared" si="0"/>
        <v>26</v>
      </c>
      <c r="AH29" s="208">
        <v>26</v>
      </c>
      <c r="AI29" s="400">
        <v>266</v>
      </c>
      <c r="AJ29" s="307"/>
    </row>
    <row r="30" spans="1:36">
      <c r="A30" s="303"/>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304"/>
      <c r="AH30" s="304"/>
      <c r="AI30" s="126"/>
      <c r="AJ30" s="307"/>
    </row>
    <row r="31" spans="1:36">
      <c r="A31" s="282" t="s">
        <v>74</v>
      </c>
      <c r="B31" s="399" t="s">
        <v>1466</v>
      </c>
      <c r="C31" s="399" t="s">
        <v>1466</v>
      </c>
      <c r="D31" s="399" t="s">
        <v>1466</v>
      </c>
      <c r="E31" s="399" t="s">
        <v>1466</v>
      </c>
      <c r="F31" s="399" t="s">
        <v>1466</v>
      </c>
      <c r="G31" s="399" t="s">
        <v>1466</v>
      </c>
      <c r="H31" s="399" t="s">
        <v>1466</v>
      </c>
      <c r="I31" s="399" t="s">
        <v>1466</v>
      </c>
      <c r="J31" s="399" t="s">
        <v>1466</v>
      </c>
      <c r="K31" s="399" t="s">
        <v>1466</v>
      </c>
      <c r="L31" s="399" t="s">
        <v>1466</v>
      </c>
      <c r="M31" s="399" t="s">
        <v>1466</v>
      </c>
      <c r="N31" s="399" t="s">
        <v>1466</v>
      </c>
      <c r="O31" s="399" t="s">
        <v>1466</v>
      </c>
      <c r="P31" s="399" t="s">
        <v>1466</v>
      </c>
      <c r="Q31" s="399" t="s">
        <v>1466</v>
      </c>
      <c r="R31" s="399" t="s">
        <v>1466</v>
      </c>
      <c r="S31" s="399" t="s">
        <v>1466</v>
      </c>
      <c r="T31" s="399" t="s">
        <v>1466</v>
      </c>
      <c r="U31" s="399" t="s">
        <v>1466</v>
      </c>
      <c r="V31" s="399" t="s">
        <v>1466</v>
      </c>
      <c r="W31" s="399" t="s">
        <v>1466</v>
      </c>
      <c r="X31" s="399" t="s">
        <v>1466</v>
      </c>
      <c r="Y31" s="399" t="s">
        <v>1466</v>
      </c>
      <c r="Z31" s="399" t="s">
        <v>1466</v>
      </c>
      <c r="AA31" s="399" t="s">
        <v>1466</v>
      </c>
      <c r="AB31" s="399" t="s">
        <v>1466</v>
      </c>
      <c r="AC31" s="399" t="s">
        <v>157</v>
      </c>
      <c r="AD31" s="399" t="s">
        <v>157</v>
      </c>
      <c r="AE31" s="399" t="s">
        <v>157</v>
      </c>
      <c r="AF31" s="399" t="s">
        <v>157</v>
      </c>
      <c r="AG31" s="296"/>
      <c r="AH31" s="296"/>
      <c r="AI31" s="399" t="s">
        <v>1466</v>
      </c>
      <c r="AJ31" s="307"/>
    </row>
    <row r="32" spans="1:36" ht="25.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190" t="s">
        <v>78</v>
      </c>
      <c r="AG32" s="209"/>
      <c r="AH32" s="209"/>
      <c r="AI32" s="190" t="s">
        <v>78</v>
      </c>
      <c r="AJ32" s="307"/>
    </row>
    <row r="33" spans="1:36" ht="25.5">
      <c r="A33" s="282" t="s">
        <v>80</v>
      </c>
      <c r="B33" s="190">
        <v>46147</v>
      </c>
      <c r="C33" s="190">
        <v>46145</v>
      </c>
      <c r="D33" s="190">
        <v>46145</v>
      </c>
      <c r="E33" s="190">
        <v>46145</v>
      </c>
      <c r="F33" s="190">
        <v>46145</v>
      </c>
      <c r="G33" s="190">
        <v>46145</v>
      </c>
      <c r="H33" s="190">
        <v>46145</v>
      </c>
      <c r="I33" s="190">
        <v>46146</v>
      </c>
      <c r="J33" s="190">
        <v>46146</v>
      </c>
      <c r="K33" s="190">
        <v>46147</v>
      </c>
      <c r="L33" s="190">
        <v>46148</v>
      </c>
      <c r="M33" s="190">
        <v>46149</v>
      </c>
      <c r="N33" s="190">
        <v>46151</v>
      </c>
      <c r="O33" s="190">
        <v>46152</v>
      </c>
      <c r="P33" s="190">
        <v>46154</v>
      </c>
      <c r="Q33" s="190">
        <v>46151</v>
      </c>
      <c r="R33" s="190">
        <v>46153</v>
      </c>
      <c r="S33" s="190">
        <v>46154</v>
      </c>
      <c r="T33" s="190">
        <v>46155</v>
      </c>
      <c r="U33" s="190">
        <v>46155</v>
      </c>
      <c r="V33" s="190">
        <v>46155</v>
      </c>
      <c r="W33" s="190">
        <v>46155</v>
      </c>
      <c r="X33" s="190">
        <v>46155</v>
      </c>
      <c r="Y33" s="190">
        <v>46156</v>
      </c>
      <c r="Z33" s="190">
        <v>46157</v>
      </c>
      <c r="AA33" s="190">
        <v>46157</v>
      </c>
      <c r="AB33" s="190">
        <v>46158</v>
      </c>
      <c r="AC33" s="190">
        <v>46160</v>
      </c>
      <c r="AD33" s="190">
        <v>46161</v>
      </c>
      <c r="AE33" s="190">
        <v>46161</v>
      </c>
      <c r="AF33" s="190">
        <v>46161</v>
      </c>
      <c r="AG33" s="209"/>
      <c r="AH33" s="209"/>
      <c r="AI33" s="190">
        <v>46147</v>
      </c>
      <c r="AJ33" s="307"/>
    </row>
    <row r="34" spans="1:36" ht="15.75" thickBot="1">
      <c r="A34" s="310" t="s">
        <v>81</v>
      </c>
      <c r="B34" s="190">
        <v>2800</v>
      </c>
      <c r="C34" s="190">
        <v>2800</v>
      </c>
      <c r="D34" s="190">
        <v>2800</v>
      </c>
      <c r="E34" s="190">
        <v>2800</v>
      </c>
      <c r="F34" s="190">
        <v>2800</v>
      </c>
      <c r="G34" s="190">
        <v>2800</v>
      </c>
      <c r="H34" s="190">
        <v>2800</v>
      </c>
      <c r="I34" s="190">
        <v>2800</v>
      </c>
      <c r="J34" s="190">
        <v>2800</v>
      </c>
      <c r="K34" s="190">
        <v>2800</v>
      </c>
      <c r="L34" s="190">
        <v>2800</v>
      </c>
      <c r="M34" s="190">
        <v>2800</v>
      </c>
      <c r="N34" s="190">
        <v>2800</v>
      </c>
      <c r="O34" s="190">
        <v>2800</v>
      </c>
      <c r="P34" s="190">
        <v>2800</v>
      </c>
      <c r="Q34" s="190">
        <v>2800</v>
      </c>
      <c r="R34" s="190">
        <v>2800</v>
      </c>
      <c r="S34" s="190">
        <v>2800</v>
      </c>
      <c r="T34" s="190">
        <v>2800</v>
      </c>
      <c r="U34" s="190">
        <v>2800</v>
      </c>
      <c r="V34" s="190">
        <v>2800</v>
      </c>
      <c r="W34" s="190">
        <v>2800</v>
      </c>
      <c r="X34" s="190">
        <v>2800</v>
      </c>
      <c r="Y34" s="190">
        <v>2800</v>
      </c>
      <c r="Z34" s="190">
        <v>2800</v>
      </c>
      <c r="AA34" s="190">
        <v>2800</v>
      </c>
      <c r="AB34" s="190">
        <v>2800</v>
      </c>
      <c r="AC34" s="190">
        <v>2800</v>
      </c>
      <c r="AD34" s="190">
        <v>2800</v>
      </c>
      <c r="AE34" s="190">
        <v>2800</v>
      </c>
      <c r="AF34" s="190">
        <v>2800</v>
      </c>
      <c r="AG34" s="209"/>
      <c r="AH34" s="209"/>
      <c r="AI34" s="190">
        <v>2800</v>
      </c>
      <c r="AJ34" s="307"/>
    </row>
    <row r="35" spans="1:36">
      <c r="AG35" s="211"/>
      <c r="AH35" s="211"/>
    </row>
    <row r="36" spans="1:36">
      <c r="AG36" s="211"/>
      <c r="AH36" s="211"/>
    </row>
  </sheetData>
  <mergeCells count="1">
    <mergeCell ref="A1:AI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D4C9E-86CC-43ED-BBB5-645E0A324940}">
  <dimension ref="A1:AM36"/>
  <sheetViews>
    <sheetView topLeftCell="O1" workbookViewId="0">
      <selection activeCell="AF23" sqref="AF23"/>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1" width="12.85546875" style="144" customWidth="1"/>
    <col min="32" max="33" width="9.140625" style="144"/>
    <col min="34" max="34" width="12.85546875" style="144" customWidth="1"/>
    <col min="35" max="35" width="11" style="144" customWidth="1"/>
    <col min="36" max="36" width="11.42578125" style="144" customWidth="1"/>
    <col min="37" max="16384" width="9.140625" style="144"/>
  </cols>
  <sheetData>
    <row r="1" spans="1:39"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9" ht="15.75">
      <c r="A2" s="280"/>
      <c r="B2" s="281">
        <v>44652</v>
      </c>
      <c r="C2" s="281">
        <v>44653</v>
      </c>
      <c r="D2" s="281">
        <v>44654</v>
      </c>
      <c r="E2" s="281">
        <v>44655</v>
      </c>
      <c r="F2" s="281">
        <v>44656</v>
      </c>
      <c r="G2" s="281">
        <v>44657</v>
      </c>
      <c r="H2" s="281">
        <v>44658</v>
      </c>
      <c r="I2" s="281">
        <v>44659</v>
      </c>
      <c r="J2" s="281">
        <v>44660</v>
      </c>
      <c r="K2" s="281">
        <v>44661</v>
      </c>
      <c r="L2" s="281">
        <v>44662</v>
      </c>
      <c r="M2" s="281">
        <v>44663</v>
      </c>
      <c r="N2" s="281">
        <v>44664</v>
      </c>
      <c r="O2" s="281">
        <v>44665</v>
      </c>
      <c r="P2" s="281">
        <v>44666</v>
      </c>
      <c r="Q2" s="281">
        <v>44667</v>
      </c>
      <c r="R2" s="281">
        <v>44668</v>
      </c>
      <c r="S2" s="281">
        <v>44669</v>
      </c>
      <c r="T2" s="281">
        <v>44670</v>
      </c>
      <c r="U2" s="281">
        <v>44671</v>
      </c>
      <c r="V2" s="281">
        <v>44672</v>
      </c>
      <c r="W2" s="281">
        <v>44673</v>
      </c>
      <c r="X2" s="281">
        <v>44674</v>
      </c>
      <c r="Y2" s="281">
        <v>44675</v>
      </c>
      <c r="Z2" s="281">
        <v>44676</v>
      </c>
      <c r="AA2" s="281">
        <v>44677</v>
      </c>
      <c r="AB2" s="281">
        <v>44678</v>
      </c>
      <c r="AC2" s="281">
        <v>44679</v>
      </c>
      <c r="AD2" s="281">
        <v>44680</v>
      </c>
      <c r="AE2" s="281">
        <v>44681</v>
      </c>
      <c r="AF2" s="281"/>
      <c r="AG2" s="281"/>
      <c r="AH2" s="281">
        <v>44651</v>
      </c>
    </row>
    <row r="3" spans="1:39"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53</v>
      </c>
      <c r="AF3" s="271"/>
      <c r="AG3" s="317"/>
      <c r="AH3" s="283" t="s">
        <v>53</v>
      </c>
    </row>
    <row r="4" spans="1:39" ht="20.100000000000001" customHeight="1">
      <c r="A4" s="285" t="s">
        <v>54</v>
      </c>
      <c r="B4" s="212">
        <v>219991</v>
      </c>
      <c r="C4" s="212">
        <v>220170</v>
      </c>
      <c r="D4" s="212">
        <v>220362</v>
      </c>
      <c r="E4" s="212">
        <v>220555</v>
      </c>
      <c r="F4" s="212">
        <v>220751</v>
      </c>
      <c r="G4" s="212">
        <v>220949</v>
      </c>
      <c r="H4" s="212">
        <v>221146</v>
      </c>
      <c r="I4" s="212">
        <v>221345</v>
      </c>
      <c r="J4" s="212">
        <v>221538</v>
      </c>
      <c r="K4" s="212">
        <v>221734</v>
      </c>
      <c r="L4" s="212">
        <v>221937</v>
      </c>
      <c r="M4" s="212">
        <v>222138</v>
      </c>
      <c r="N4" s="212">
        <v>222338</v>
      </c>
      <c r="O4" s="212">
        <v>222545</v>
      </c>
      <c r="P4" s="212">
        <v>222745</v>
      </c>
      <c r="Q4" s="212">
        <v>222938</v>
      </c>
      <c r="R4" s="212">
        <v>223144</v>
      </c>
      <c r="S4" s="212">
        <v>223345</v>
      </c>
      <c r="T4" s="212">
        <v>223538</v>
      </c>
      <c r="U4" s="212">
        <v>223735</v>
      </c>
      <c r="V4" s="212">
        <v>223941</v>
      </c>
      <c r="W4" s="212">
        <v>224139</v>
      </c>
      <c r="X4" s="212">
        <v>224317</v>
      </c>
      <c r="Y4" s="212">
        <v>224523</v>
      </c>
      <c r="Z4" s="212">
        <v>224726</v>
      </c>
      <c r="AA4" s="212">
        <v>224933</v>
      </c>
      <c r="AB4" s="212">
        <v>225138</v>
      </c>
      <c r="AC4" s="212">
        <v>225346</v>
      </c>
      <c r="AD4" s="212">
        <v>225548</v>
      </c>
      <c r="AE4" s="212">
        <v>225742</v>
      </c>
      <c r="AF4" s="287"/>
      <c r="AG4" s="287"/>
      <c r="AH4" s="397">
        <v>219799</v>
      </c>
      <c r="AI4" s="318"/>
      <c r="AJ4" s="318"/>
      <c r="AM4" s="288"/>
    </row>
    <row r="5" spans="1:39" ht="20.100000000000001" customHeight="1">
      <c r="A5" s="285" t="s">
        <v>55</v>
      </c>
      <c r="B5" s="212">
        <v>5582181</v>
      </c>
      <c r="C5" s="212">
        <v>5588406</v>
      </c>
      <c r="D5" s="212">
        <v>5595190</v>
      </c>
      <c r="E5" s="212">
        <v>5602178</v>
      </c>
      <c r="F5" s="212">
        <v>5609171</v>
      </c>
      <c r="G5" s="212">
        <v>5616102</v>
      </c>
      <c r="H5" s="212">
        <v>5622950</v>
      </c>
      <c r="I5" s="212">
        <v>5630019</v>
      </c>
      <c r="J5" s="212">
        <v>5637188</v>
      </c>
      <c r="K5" s="212">
        <v>5644036</v>
      </c>
      <c r="L5" s="212">
        <v>5651274</v>
      </c>
      <c r="M5" s="212">
        <v>5658395</v>
      </c>
      <c r="N5" s="212">
        <v>5665292</v>
      </c>
      <c r="O5" s="212">
        <v>5672369</v>
      </c>
      <c r="P5" s="212">
        <v>5679355</v>
      </c>
      <c r="Q5" s="212">
        <v>5686038</v>
      </c>
      <c r="R5" s="212">
        <v>5693462</v>
      </c>
      <c r="S5" s="212">
        <v>5700308</v>
      </c>
      <c r="T5" s="212">
        <v>5706952</v>
      </c>
      <c r="U5" s="212">
        <v>5713673</v>
      </c>
      <c r="V5" s="212">
        <v>5720933</v>
      </c>
      <c r="W5" s="212">
        <v>5727971</v>
      </c>
      <c r="X5" s="212">
        <v>5734152</v>
      </c>
      <c r="Y5" s="212">
        <v>5741194</v>
      </c>
      <c r="Z5" s="212">
        <v>5748549</v>
      </c>
      <c r="AA5" s="212">
        <v>5755876</v>
      </c>
      <c r="AB5" s="212">
        <v>5763211</v>
      </c>
      <c r="AC5" s="212">
        <v>5770699</v>
      </c>
      <c r="AD5" s="212">
        <v>5777739</v>
      </c>
      <c r="AE5" s="212">
        <v>5784240</v>
      </c>
      <c r="AF5" s="287"/>
      <c r="AG5" s="287"/>
      <c r="AH5" s="397">
        <v>5575388</v>
      </c>
      <c r="AI5" s="318"/>
      <c r="AJ5" s="318"/>
      <c r="AM5" s="288"/>
    </row>
    <row r="6" spans="1:39" ht="20.100000000000001" customHeight="1">
      <c r="A6" s="285" t="s">
        <v>56</v>
      </c>
      <c r="B6" s="212">
        <v>2709156</v>
      </c>
      <c r="C6" s="212">
        <v>2712168</v>
      </c>
      <c r="D6" s="212">
        <v>2715424</v>
      </c>
      <c r="E6" s="212">
        <v>2718884</v>
      </c>
      <c r="F6" s="212">
        <v>2722328</v>
      </c>
      <c r="G6" s="212">
        <v>2725754</v>
      </c>
      <c r="H6" s="212">
        <v>2729321</v>
      </c>
      <c r="I6" s="212">
        <v>2733013</v>
      </c>
      <c r="J6" s="212">
        <v>2736438</v>
      </c>
      <c r="K6" s="212">
        <v>2740037</v>
      </c>
      <c r="L6" s="212">
        <v>2743747</v>
      </c>
      <c r="M6" s="212">
        <v>2747453</v>
      </c>
      <c r="N6" s="212">
        <v>2751206</v>
      </c>
      <c r="O6" s="212">
        <v>2755278</v>
      </c>
      <c r="P6" s="212">
        <v>2758777</v>
      </c>
      <c r="Q6" s="212">
        <v>2762159</v>
      </c>
      <c r="R6" s="212">
        <v>2765941</v>
      </c>
      <c r="S6" s="212">
        <v>2769452</v>
      </c>
      <c r="T6" s="212">
        <v>2772821</v>
      </c>
      <c r="U6" s="212">
        <v>2776288</v>
      </c>
      <c r="V6" s="212">
        <v>2779977</v>
      </c>
      <c r="W6" s="212">
        <v>2783517</v>
      </c>
      <c r="X6" s="212">
        <v>2786653</v>
      </c>
      <c r="Y6" s="212">
        <v>2790215</v>
      </c>
      <c r="Z6" s="212">
        <v>2793927</v>
      </c>
      <c r="AA6" s="212">
        <v>2797587</v>
      </c>
      <c r="AB6" s="212">
        <v>2801194</v>
      </c>
      <c r="AC6" s="212">
        <v>2804893</v>
      </c>
      <c r="AD6" s="212">
        <v>2808028</v>
      </c>
      <c r="AE6" s="212">
        <v>2810850</v>
      </c>
      <c r="AF6" s="287"/>
      <c r="AG6" s="287"/>
      <c r="AH6" s="397">
        <v>2705846</v>
      </c>
      <c r="AI6" s="318"/>
      <c r="AJ6" s="318"/>
      <c r="AM6" s="288"/>
    </row>
    <row r="7" spans="1:39" ht="20.100000000000001" customHeight="1">
      <c r="A7" s="285" t="s">
        <v>57</v>
      </c>
      <c r="B7" s="212">
        <v>6938484</v>
      </c>
      <c r="C7" s="212">
        <v>6938556</v>
      </c>
      <c r="D7" s="212">
        <v>6938627</v>
      </c>
      <c r="E7" s="212">
        <v>6939171</v>
      </c>
      <c r="F7" s="212">
        <v>6946098</v>
      </c>
      <c r="G7" s="212">
        <v>6946171</v>
      </c>
      <c r="H7" s="212">
        <v>6946243</v>
      </c>
      <c r="I7" s="212">
        <v>6949760</v>
      </c>
      <c r="J7" s="212">
        <v>6957278</v>
      </c>
      <c r="K7" s="212">
        <v>6965968</v>
      </c>
      <c r="L7" s="212">
        <v>6974294</v>
      </c>
      <c r="M7" s="212">
        <v>6982270</v>
      </c>
      <c r="N7" s="212">
        <v>6990689</v>
      </c>
      <c r="O7" s="212">
        <v>6999642</v>
      </c>
      <c r="P7" s="212">
        <v>7011727</v>
      </c>
      <c r="Q7" s="212">
        <v>7022669</v>
      </c>
      <c r="R7" s="212">
        <v>7029453</v>
      </c>
      <c r="S7" s="212">
        <v>7032604</v>
      </c>
      <c r="T7" s="212">
        <v>7038929</v>
      </c>
      <c r="U7" s="212">
        <v>7045795</v>
      </c>
      <c r="V7" s="212">
        <v>7052757</v>
      </c>
      <c r="W7" s="212">
        <v>7058831</v>
      </c>
      <c r="X7" s="212">
        <v>7064220</v>
      </c>
      <c r="Y7" s="212">
        <v>7064297</v>
      </c>
      <c r="Z7" s="212">
        <v>7064369</v>
      </c>
      <c r="AA7" s="212">
        <v>7064441</v>
      </c>
      <c r="AB7" s="212">
        <v>7064514</v>
      </c>
      <c r="AC7" s="212">
        <v>7064587</v>
      </c>
      <c r="AD7" s="212">
        <v>7064660</v>
      </c>
      <c r="AE7" s="212">
        <v>7064812</v>
      </c>
      <c r="AF7" s="287"/>
      <c r="AG7" s="287"/>
      <c r="AH7" s="397">
        <v>6938411</v>
      </c>
      <c r="AI7" s="318"/>
      <c r="AJ7" s="318"/>
      <c r="AM7" s="288"/>
    </row>
    <row r="8" spans="1:39" ht="20.100000000000001" customHeight="1">
      <c r="A8" s="285" t="s">
        <v>58</v>
      </c>
      <c r="B8" s="212">
        <v>2242584</v>
      </c>
      <c r="C8" s="212">
        <v>2244831</v>
      </c>
      <c r="D8" s="212">
        <v>2247281</v>
      </c>
      <c r="E8" s="212">
        <v>2249677</v>
      </c>
      <c r="F8" s="212">
        <v>2250020</v>
      </c>
      <c r="G8" s="212">
        <v>2252551</v>
      </c>
      <c r="H8" s="212">
        <v>2255111</v>
      </c>
      <c r="I8" s="212">
        <v>2255975</v>
      </c>
      <c r="J8" s="212">
        <v>2255975</v>
      </c>
      <c r="K8" s="212">
        <v>2255975</v>
      </c>
      <c r="L8" s="212">
        <v>2255975</v>
      </c>
      <c r="M8" s="212">
        <v>2255975</v>
      </c>
      <c r="N8" s="212">
        <v>2255975</v>
      </c>
      <c r="O8" s="212">
        <v>2255982</v>
      </c>
      <c r="P8" s="212">
        <v>2255996</v>
      </c>
      <c r="Q8" s="212">
        <v>2256261</v>
      </c>
      <c r="R8" s="212">
        <v>2257250</v>
      </c>
      <c r="S8" s="212">
        <v>2260052</v>
      </c>
      <c r="T8" s="212">
        <v>2260975</v>
      </c>
      <c r="U8" s="212">
        <v>2261972</v>
      </c>
      <c r="V8" s="212">
        <v>2263031</v>
      </c>
      <c r="W8" s="212">
        <v>2263999</v>
      </c>
      <c r="X8" s="212">
        <v>2264966</v>
      </c>
      <c r="Y8" s="212">
        <v>2268879</v>
      </c>
      <c r="Z8" s="212">
        <v>2272730</v>
      </c>
      <c r="AA8" s="212">
        <v>2276531</v>
      </c>
      <c r="AB8" s="212">
        <v>2280255</v>
      </c>
      <c r="AC8" s="212">
        <v>2284091</v>
      </c>
      <c r="AD8" s="212">
        <v>2287781</v>
      </c>
      <c r="AE8" s="212">
        <v>2291296</v>
      </c>
      <c r="AF8" s="287"/>
      <c r="AG8" s="287"/>
      <c r="AH8" s="397">
        <v>2240262</v>
      </c>
      <c r="AI8" s="318"/>
      <c r="AJ8" s="318"/>
      <c r="AM8" s="288"/>
    </row>
    <row r="9" spans="1:39" ht="20.100000000000001" customHeight="1">
      <c r="A9" s="285" t="s">
        <v>59</v>
      </c>
      <c r="B9" s="214">
        <v>14677398</v>
      </c>
      <c r="C9" s="214">
        <v>14685740</v>
      </c>
      <c r="D9" s="214">
        <v>14694725</v>
      </c>
      <c r="E9" s="214">
        <v>14703557</v>
      </c>
      <c r="F9" s="214">
        <v>14712431</v>
      </c>
      <c r="G9" s="214">
        <v>14721260</v>
      </c>
      <c r="H9" s="214">
        <v>14730564</v>
      </c>
      <c r="I9" s="214">
        <v>14736967</v>
      </c>
      <c r="J9" s="214">
        <v>14745423</v>
      </c>
      <c r="K9" s="214">
        <v>14755459</v>
      </c>
      <c r="L9" s="214">
        <v>14765194</v>
      </c>
      <c r="M9" s="214">
        <v>14775077</v>
      </c>
      <c r="N9" s="214">
        <v>14784686</v>
      </c>
      <c r="O9" s="214">
        <v>14794551</v>
      </c>
      <c r="P9" s="214">
        <v>14807366</v>
      </c>
      <c r="Q9" s="214">
        <v>14820057</v>
      </c>
      <c r="R9" s="214">
        <v>14831502</v>
      </c>
      <c r="S9" s="214">
        <v>14844313</v>
      </c>
      <c r="T9" s="214">
        <v>14855326</v>
      </c>
      <c r="U9" s="214">
        <v>14866192</v>
      </c>
      <c r="V9" s="214">
        <v>14877433</v>
      </c>
      <c r="W9" s="214">
        <v>14887939</v>
      </c>
      <c r="X9" s="214">
        <v>14897601</v>
      </c>
      <c r="Y9" s="214">
        <v>14910395</v>
      </c>
      <c r="Z9" s="214">
        <v>14922734</v>
      </c>
      <c r="AA9" s="214">
        <v>14934939</v>
      </c>
      <c r="AB9" s="214">
        <v>14947372</v>
      </c>
      <c r="AC9" s="214">
        <v>14960417</v>
      </c>
      <c r="AD9" s="214">
        <v>14972897</v>
      </c>
      <c r="AE9" s="214">
        <v>14984976</v>
      </c>
      <c r="AF9" s="290"/>
      <c r="AG9" s="290"/>
      <c r="AH9" s="398">
        <v>14668914</v>
      </c>
      <c r="AI9" s="318"/>
      <c r="AJ9" s="318"/>
      <c r="AM9" s="288"/>
    </row>
    <row r="10" spans="1:39" ht="20.100000000000001" customHeight="1">
      <c r="A10" s="285" t="s">
        <v>60</v>
      </c>
      <c r="B10" s="212">
        <v>4460354</v>
      </c>
      <c r="C10" s="212">
        <v>4465984</v>
      </c>
      <c r="D10" s="212">
        <v>4471745</v>
      </c>
      <c r="E10" s="212">
        <v>4477640</v>
      </c>
      <c r="F10" s="212">
        <v>4483544</v>
      </c>
      <c r="G10" s="212">
        <v>4489481</v>
      </c>
      <c r="H10" s="212">
        <v>4495424</v>
      </c>
      <c r="I10" s="212">
        <v>4501267</v>
      </c>
      <c r="J10" s="212">
        <v>4506874</v>
      </c>
      <c r="K10" s="212">
        <v>4512735</v>
      </c>
      <c r="L10" s="212">
        <v>4518781</v>
      </c>
      <c r="M10" s="212">
        <v>4524756</v>
      </c>
      <c r="N10" s="212">
        <v>4530747</v>
      </c>
      <c r="O10" s="212">
        <v>4536823</v>
      </c>
      <c r="P10" s="212">
        <v>4542648</v>
      </c>
      <c r="Q10" s="212">
        <v>4548269</v>
      </c>
      <c r="R10" s="212">
        <v>4554317</v>
      </c>
      <c r="S10" s="212">
        <v>4560274</v>
      </c>
      <c r="T10" s="212">
        <v>4566113</v>
      </c>
      <c r="U10" s="212">
        <v>4571960</v>
      </c>
      <c r="V10" s="212">
        <v>4578044</v>
      </c>
      <c r="W10" s="212">
        <v>4583922</v>
      </c>
      <c r="X10" s="212">
        <v>4589330</v>
      </c>
      <c r="Y10" s="212">
        <v>4595377</v>
      </c>
      <c r="Z10" s="212">
        <v>4601352</v>
      </c>
      <c r="AA10" s="212">
        <v>4607288</v>
      </c>
      <c r="AB10" s="212">
        <v>4613244</v>
      </c>
      <c r="AC10" s="212">
        <v>4619296</v>
      </c>
      <c r="AD10" s="212">
        <v>4622704</v>
      </c>
      <c r="AE10" s="212">
        <v>4625500</v>
      </c>
      <c r="AF10" s="287"/>
      <c r="AG10" s="287"/>
      <c r="AH10" s="397">
        <v>4454733</v>
      </c>
      <c r="AI10" s="318"/>
      <c r="AJ10" s="318"/>
      <c r="AM10" s="288"/>
    </row>
    <row r="11" spans="1:39" ht="22.5" customHeight="1">
      <c r="A11" s="285" t="s">
        <v>61</v>
      </c>
      <c r="B11" s="212">
        <v>173655</v>
      </c>
      <c r="C11" s="212">
        <v>173777</v>
      </c>
      <c r="D11" s="212">
        <v>173919</v>
      </c>
      <c r="E11" s="212">
        <v>174070</v>
      </c>
      <c r="F11" s="212">
        <v>174222</v>
      </c>
      <c r="G11" s="212">
        <v>174378</v>
      </c>
      <c r="H11" s="212">
        <v>174535</v>
      </c>
      <c r="I11" s="212">
        <v>174688</v>
      </c>
      <c r="J11" s="212">
        <v>174834</v>
      </c>
      <c r="K11" s="212">
        <v>174986</v>
      </c>
      <c r="L11" s="212">
        <v>175152</v>
      </c>
      <c r="M11" s="212">
        <v>175314</v>
      </c>
      <c r="N11" s="212">
        <v>175482</v>
      </c>
      <c r="O11" s="212">
        <v>175652</v>
      </c>
      <c r="P11" s="212">
        <v>175813</v>
      </c>
      <c r="Q11" s="212">
        <v>175960</v>
      </c>
      <c r="R11" s="212">
        <v>176136</v>
      </c>
      <c r="S11" s="212">
        <v>176303</v>
      </c>
      <c r="T11" s="212">
        <v>176474</v>
      </c>
      <c r="U11" s="212">
        <v>176651</v>
      </c>
      <c r="V11" s="212">
        <v>176835</v>
      </c>
      <c r="W11" s="212">
        <v>177012</v>
      </c>
      <c r="X11" s="212">
        <v>177169</v>
      </c>
      <c r="Y11" s="212">
        <v>177356</v>
      </c>
      <c r="Z11" s="212">
        <v>177540</v>
      </c>
      <c r="AA11" s="212">
        <v>177722</v>
      </c>
      <c r="AB11" s="212">
        <v>177907</v>
      </c>
      <c r="AC11" s="212">
        <v>178094</v>
      </c>
      <c r="AD11" s="212">
        <v>178275</v>
      </c>
      <c r="AE11" s="212">
        <v>178447</v>
      </c>
      <c r="AF11" s="287"/>
      <c r="AG11" s="287"/>
      <c r="AH11" s="397">
        <v>173513</v>
      </c>
      <c r="AI11" s="318"/>
      <c r="AJ11" s="318"/>
      <c r="AM11" s="288"/>
    </row>
    <row r="12" spans="1:39" s="294" customFormat="1" ht="18" customHeight="1">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293"/>
      <c r="AG12" s="293"/>
      <c r="AH12" s="126"/>
    </row>
    <row r="13" spans="1:39" ht="25.5">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296"/>
      <c r="AG13" s="296"/>
      <c r="AH13" s="399" t="s">
        <v>106</v>
      </c>
    </row>
    <row r="14" spans="1:39">
      <c r="A14" s="282" t="s">
        <v>66</v>
      </c>
      <c r="B14" s="182">
        <v>232417.15</v>
      </c>
      <c r="C14" s="182">
        <v>234063.31</v>
      </c>
      <c r="D14" s="182">
        <v>234063.31</v>
      </c>
      <c r="E14" s="182">
        <v>234063.31</v>
      </c>
      <c r="F14" s="182">
        <v>234063.31</v>
      </c>
      <c r="G14" s="182">
        <v>234063.31</v>
      </c>
      <c r="H14" s="182">
        <v>234063.31</v>
      </c>
      <c r="I14" s="182">
        <v>234063.31</v>
      </c>
      <c r="J14" s="182">
        <v>235752.59</v>
      </c>
      <c r="K14" s="182">
        <v>235752.59</v>
      </c>
      <c r="L14" s="182">
        <v>235752.59</v>
      </c>
      <c r="M14" s="182">
        <v>235752.59</v>
      </c>
      <c r="N14" s="182">
        <v>235752.59</v>
      </c>
      <c r="O14" s="182">
        <v>235752.59</v>
      </c>
      <c r="P14" s="182">
        <v>235752.59</v>
      </c>
      <c r="Q14" s="182">
        <v>237066.32</v>
      </c>
      <c r="R14" s="182">
        <v>237066.32</v>
      </c>
      <c r="S14" s="182">
        <v>237066.32</v>
      </c>
      <c r="T14" s="182">
        <v>237066.32</v>
      </c>
      <c r="U14" s="182">
        <v>237066.32</v>
      </c>
      <c r="V14" s="182">
        <v>237066.32</v>
      </c>
      <c r="W14" s="182">
        <v>237066.32</v>
      </c>
      <c r="X14" s="182">
        <v>238426.27</v>
      </c>
      <c r="Y14" s="182">
        <v>238426.27</v>
      </c>
      <c r="Z14" s="182">
        <v>238426.27</v>
      </c>
      <c r="AA14" s="182">
        <v>238426.27</v>
      </c>
      <c r="AB14" s="182">
        <v>238426.27</v>
      </c>
      <c r="AC14" s="182">
        <v>238426.27</v>
      </c>
      <c r="AD14" s="182">
        <v>238426.27</v>
      </c>
      <c r="AE14" s="182">
        <v>239772.24</v>
      </c>
      <c r="AF14" s="319"/>
      <c r="AG14" s="319"/>
      <c r="AH14" s="302">
        <v>232417.15</v>
      </c>
    </row>
    <row r="15" spans="1:39" ht="25.5">
      <c r="A15" s="282" t="s">
        <v>67</v>
      </c>
      <c r="B15" s="183">
        <v>1132</v>
      </c>
      <c r="C15" s="183">
        <v>1132</v>
      </c>
      <c r="D15" s="183">
        <v>1135</v>
      </c>
      <c r="E15" s="183">
        <v>1135</v>
      </c>
      <c r="F15" s="183">
        <v>1135</v>
      </c>
      <c r="G15" s="183">
        <v>1135</v>
      </c>
      <c r="H15" s="183">
        <v>1135</v>
      </c>
      <c r="I15" s="183">
        <v>1135</v>
      </c>
      <c r="J15" s="183">
        <v>1135</v>
      </c>
      <c r="K15" s="183">
        <v>1335</v>
      </c>
      <c r="L15" s="183">
        <v>1335</v>
      </c>
      <c r="M15" s="183">
        <v>1335</v>
      </c>
      <c r="N15" s="183">
        <v>1335</v>
      </c>
      <c r="O15" s="183">
        <v>1335</v>
      </c>
      <c r="P15" s="183">
        <v>1335</v>
      </c>
      <c r="Q15" s="183">
        <v>1335</v>
      </c>
      <c r="R15" s="183">
        <v>1335</v>
      </c>
      <c r="S15" s="183">
        <v>1335</v>
      </c>
      <c r="T15" s="183">
        <v>1335</v>
      </c>
      <c r="U15" s="183">
        <v>1335</v>
      </c>
      <c r="V15" s="183">
        <v>1335</v>
      </c>
      <c r="W15" s="183">
        <v>1335</v>
      </c>
      <c r="X15" s="183">
        <v>1335</v>
      </c>
      <c r="Y15" s="183">
        <v>1335</v>
      </c>
      <c r="Z15" s="183">
        <v>1335</v>
      </c>
      <c r="AA15" s="183">
        <v>1335</v>
      </c>
      <c r="AB15" s="183">
        <v>1335</v>
      </c>
      <c r="AC15" s="183">
        <v>1335</v>
      </c>
      <c r="AD15" s="183">
        <v>1335</v>
      </c>
      <c r="AE15" s="183">
        <v>1335</v>
      </c>
      <c r="AF15" s="320"/>
      <c r="AG15" s="320"/>
      <c r="AH15" s="400">
        <v>1132</v>
      </c>
    </row>
    <row r="16" spans="1:39" ht="25.5">
      <c r="A16" s="282" t="s">
        <v>68</v>
      </c>
      <c r="B16" s="183">
        <v>4587</v>
      </c>
      <c r="C16" s="183">
        <v>4590</v>
      </c>
      <c r="D16" s="183">
        <v>4590</v>
      </c>
      <c r="E16" s="183">
        <v>4590</v>
      </c>
      <c r="F16" s="183">
        <v>4590</v>
      </c>
      <c r="G16" s="183">
        <v>4590</v>
      </c>
      <c r="H16" s="183">
        <v>4590</v>
      </c>
      <c r="I16" s="183">
        <v>4590</v>
      </c>
      <c r="J16" s="183">
        <v>4590</v>
      </c>
      <c r="K16" s="183">
        <v>4590</v>
      </c>
      <c r="L16" s="183">
        <v>4590</v>
      </c>
      <c r="M16" s="183">
        <v>4590</v>
      </c>
      <c r="N16" s="183">
        <v>4590</v>
      </c>
      <c r="O16" s="183">
        <v>4590</v>
      </c>
      <c r="P16" s="183">
        <v>4590</v>
      </c>
      <c r="Q16" s="183">
        <v>4590</v>
      </c>
      <c r="R16" s="183">
        <v>4590</v>
      </c>
      <c r="S16" s="183">
        <v>4590</v>
      </c>
      <c r="T16" s="183">
        <v>4590</v>
      </c>
      <c r="U16" s="183">
        <v>4590</v>
      </c>
      <c r="V16" s="183">
        <v>4590</v>
      </c>
      <c r="W16" s="183">
        <v>4590</v>
      </c>
      <c r="X16" s="183">
        <v>4590</v>
      </c>
      <c r="Y16" s="183">
        <v>4590</v>
      </c>
      <c r="Z16" s="183">
        <v>4590</v>
      </c>
      <c r="AA16" s="183">
        <v>4590</v>
      </c>
      <c r="AB16" s="183">
        <v>4590</v>
      </c>
      <c r="AC16" s="183">
        <v>4590</v>
      </c>
      <c r="AD16" s="183">
        <v>4590</v>
      </c>
      <c r="AE16" s="183">
        <v>4590</v>
      </c>
      <c r="AF16" s="320"/>
      <c r="AG16" s="320"/>
      <c r="AH16" s="400">
        <v>4587</v>
      </c>
    </row>
    <row r="17" spans="1:35" ht="20.100000000000001" customHeight="1">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304"/>
      <c r="AG17" s="304"/>
      <c r="AH17" s="126"/>
    </row>
    <row r="18" spans="1:35">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296"/>
      <c r="AG18" s="296"/>
      <c r="AH18" s="399" t="s">
        <v>106</v>
      </c>
    </row>
    <row r="19" spans="1:35" ht="25.5">
      <c r="A19" s="282" t="s">
        <v>70</v>
      </c>
      <c r="B19" s="186">
        <v>59870.1</v>
      </c>
      <c r="C19" s="186">
        <v>59870.2</v>
      </c>
      <c r="D19" s="186">
        <v>59934.1</v>
      </c>
      <c r="E19" s="186">
        <v>59963.199999999997</v>
      </c>
      <c r="F19" s="186">
        <v>59989.599999999999</v>
      </c>
      <c r="G19" s="186">
        <v>60017.5</v>
      </c>
      <c r="H19" s="186">
        <v>60049.5</v>
      </c>
      <c r="I19" s="186">
        <v>60080.5</v>
      </c>
      <c r="J19" s="186">
        <v>60080.5</v>
      </c>
      <c r="K19" s="186">
        <v>60116.2</v>
      </c>
      <c r="L19" s="186">
        <v>60157.3</v>
      </c>
      <c r="M19" s="186">
        <v>60202.2</v>
      </c>
      <c r="N19" s="186">
        <v>60237.2</v>
      </c>
      <c r="O19" s="186">
        <v>60270.1</v>
      </c>
      <c r="P19" s="186">
        <v>60306.6</v>
      </c>
      <c r="Q19" s="186">
        <v>60306.6</v>
      </c>
      <c r="R19" s="186">
        <v>60370.6</v>
      </c>
      <c r="S19" s="186">
        <v>60409.7</v>
      </c>
      <c r="T19" s="186">
        <v>60454.1</v>
      </c>
      <c r="U19" s="186">
        <v>60489.1</v>
      </c>
      <c r="V19" s="186">
        <v>60524.7</v>
      </c>
      <c r="W19" s="186">
        <v>60556.7</v>
      </c>
      <c r="X19" s="186">
        <v>60556.7</v>
      </c>
      <c r="Y19" s="186">
        <v>60633.8</v>
      </c>
      <c r="Z19" s="186">
        <v>60656.800000000003</v>
      </c>
      <c r="AA19" s="186">
        <v>60684.5</v>
      </c>
      <c r="AB19" s="186">
        <v>60725.5</v>
      </c>
      <c r="AC19" s="186">
        <v>60726.1</v>
      </c>
      <c r="AD19" s="186">
        <v>60737.8</v>
      </c>
      <c r="AE19" s="186">
        <v>60737.8</v>
      </c>
      <c r="AF19" s="321"/>
      <c r="AG19" s="321"/>
      <c r="AH19" s="401">
        <v>59849.8</v>
      </c>
      <c r="AI19" s="307"/>
    </row>
    <row r="20" spans="1:35" ht="25.5">
      <c r="A20" s="282" t="s">
        <v>71</v>
      </c>
      <c r="B20" s="183" t="s">
        <v>1467</v>
      </c>
      <c r="C20" s="183" t="s">
        <v>1468</v>
      </c>
      <c r="D20" s="183" t="s">
        <v>1469</v>
      </c>
      <c r="E20" s="183" t="s">
        <v>1470</v>
      </c>
      <c r="F20" s="183" t="s">
        <v>1471</v>
      </c>
      <c r="G20" s="183" t="s">
        <v>1472</v>
      </c>
      <c r="H20" s="183" t="s">
        <v>1473</v>
      </c>
      <c r="I20" s="183" t="s">
        <v>1474</v>
      </c>
      <c r="J20" s="183" t="s">
        <v>1475</v>
      </c>
      <c r="K20" s="183" t="s">
        <v>1476</v>
      </c>
      <c r="L20" s="183" t="s">
        <v>1477</v>
      </c>
      <c r="M20" s="183" t="s">
        <v>1478</v>
      </c>
      <c r="N20" s="183" t="s">
        <v>1479</v>
      </c>
      <c r="O20" s="183" t="s">
        <v>1480</v>
      </c>
      <c r="P20" s="183" t="s">
        <v>1481</v>
      </c>
      <c r="Q20" s="183" t="s">
        <v>1482</v>
      </c>
      <c r="R20" s="183" t="s">
        <v>1483</v>
      </c>
      <c r="S20" s="183" t="s">
        <v>1484</v>
      </c>
      <c r="T20" s="183" t="s">
        <v>1485</v>
      </c>
      <c r="U20" s="183" t="s">
        <v>1486</v>
      </c>
      <c r="V20" s="183" t="s">
        <v>1487</v>
      </c>
      <c r="W20" s="183" t="s">
        <v>1488</v>
      </c>
      <c r="X20" s="183" t="s">
        <v>1488</v>
      </c>
      <c r="Y20" s="183" t="s">
        <v>1488</v>
      </c>
      <c r="Z20" s="183" t="s">
        <v>1489</v>
      </c>
      <c r="AA20" s="183" t="s">
        <v>1490</v>
      </c>
      <c r="AB20" s="183" t="s">
        <v>1490</v>
      </c>
      <c r="AC20" s="183" t="s">
        <v>1490</v>
      </c>
      <c r="AD20" s="183" t="s">
        <v>1490</v>
      </c>
      <c r="AE20" s="183" t="s">
        <v>1490</v>
      </c>
      <c r="AF20" s="209"/>
      <c r="AG20" s="209"/>
      <c r="AH20" s="400">
        <v>3257301</v>
      </c>
      <c r="AI20" s="307"/>
    </row>
    <row r="21" spans="1:35" ht="25.5">
      <c r="A21" s="282" t="s">
        <v>72</v>
      </c>
      <c r="B21" s="183">
        <v>79901</v>
      </c>
      <c r="C21" s="183">
        <v>80811</v>
      </c>
      <c r="D21" s="183">
        <v>80811</v>
      </c>
      <c r="E21" s="183">
        <v>80811</v>
      </c>
      <c r="F21" s="183">
        <v>80811</v>
      </c>
      <c r="G21" s="183">
        <v>80811</v>
      </c>
      <c r="H21" s="183">
        <v>80811</v>
      </c>
      <c r="I21" s="183">
        <v>80811</v>
      </c>
      <c r="J21" s="183">
        <v>81594</v>
      </c>
      <c r="K21" s="183">
        <v>81594</v>
      </c>
      <c r="L21" s="183">
        <v>81594</v>
      </c>
      <c r="M21" s="183">
        <v>81594</v>
      </c>
      <c r="N21" s="183">
        <v>81594</v>
      </c>
      <c r="O21" s="183">
        <v>81594</v>
      </c>
      <c r="P21" s="183">
        <v>81594</v>
      </c>
      <c r="Q21" s="183">
        <v>82375</v>
      </c>
      <c r="R21" s="183">
        <v>82375</v>
      </c>
      <c r="S21" s="183">
        <v>82375</v>
      </c>
      <c r="T21" s="183">
        <v>82375</v>
      </c>
      <c r="U21" s="183">
        <v>82375</v>
      </c>
      <c r="V21" s="183">
        <v>82375</v>
      </c>
      <c r="W21" s="183">
        <v>82375</v>
      </c>
      <c r="X21" s="183">
        <v>83287</v>
      </c>
      <c r="Y21" s="183">
        <v>83287</v>
      </c>
      <c r="Z21" s="183">
        <v>83287</v>
      </c>
      <c r="AA21" s="183">
        <v>83287</v>
      </c>
      <c r="AB21" s="183">
        <v>83287</v>
      </c>
      <c r="AC21" s="183">
        <v>83287</v>
      </c>
      <c r="AD21" s="183">
        <v>83287</v>
      </c>
      <c r="AE21" s="183">
        <v>84092</v>
      </c>
      <c r="AF21" s="321"/>
      <c r="AG21" s="321"/>
      <c r="AH21" s="400">
        <v>79901</v>
      </c>
      <c r="AI21" s="307"/>
    </row>
    <row r="22" spans="1:35" ht="25.5">
      <c r="A22" s="282" t="s">
        <v>73</v>
      </c>
      <c r="B22" s="183">
        <v>141372</v>
      </c>
      <c r="C22" s="183">
        <v>141439</v>
      </c>
      <c r="D22" s="183">
        <v>141522</v>
      </c>
      <c r="E22" s="183">
        <v>141584</v>
      </c>
      <c r="F22" s="183">
        <v>141644</v>
      </c>
      <c r="G22" s="183">
        <v>141703</v>
      </c>
      <c r="H22" s="183">
        <v>141775</v>
      </c>
      <c r="I22" s="183">
        <v>141854</v>
      </c>
      <c r="J22" s="183">
        <v>141893</v>
      </c>
      <c r="K22" s="183">
        <v>141966</v>
      </c>
      <c r="L22" s="183">
        <v>142049</v>
      </c>
      <c r="M22" s="183">
        <v>142127</v>
      </c>
      <c r="N22" s="183">
        <v>142202</v>
      </c>
      <c r="O22" s="183">
        <v>142278</v>
      </c>
      <c r="P22" s="183">
        <v>142411</v>
      </c>
      <c r="Q22" s="183">
        <v>142461</v>
      </c>
      <c r="R22" s="183">
        <v>142547</v>
      </c>
      <c r="S22" s="183">
        <v>142632</v>
      </c>
      <c r="T22" s="183">
        <v>142713</v>
      </c>
      <c r="U22" s="183">
        <v>142794</v>
      </c>
      <c r="V22" s="183">
        <v>142868</v>
      </c>
      <c r="W22" s="183">
        <v>142974</v>
      </c>
      <c r="X22" s="183">
        <v>143021</v>
      </c>
      <c r="Y22" s="183">
        <v>143099</v>
      </c>
      <c r="Z22" s="183">
        <v>143195</v>
      </c>
      <c r="AA22" s="183">
        <v>143283</v>
      </c>
      <c r="AB22" s="183">
        <v>143364</v>
      </c>
      <c r="AC22" s="183">
        <v>143453</v>
      </c>
      <c r="AD22" s="183">
        <v>143566</v>
      </c>
      <c r="AE22" s="183">
        <v>143621</v>
      </c>
      <c r="AF22" s="321">
        <f>AE22-AH22</f>
        <v>2305</v>
      </c>
      <c r="AG22" s="321"/>
      <c r="AH22" s="400">
        <v>141316</v>
      </c>
      <c r="AI22" s="307"/>
    </row>
    <row r="23" spans="1:35">
      <c r="A23" s="309" t="s">
        <v>136</v>
      </c>
      <c r="B23" s="183">
        <v>3026</v>
      </c>
      <c r="C23" s="183">
        <v>3075</v>
      </c>
      <c r="D23" s="183">
        <v>3075</v>
      </c>
      <c r="E23" s="183">
        <v>3075</v>
      </c>
      <c r="F23" s="183">
        <v>3075</v>
      </c>
      <c r="G23" s="183">
        <v>3075</v>
      </c>
      <c r="H23" s="183">
        <v>3075</v>
      </c>
      <c r="I23" s="183">
        <v>3075</v>
      </c>
      <c r="J23" s="183">
        <v>3092</v>
      </c>
      <c r="K23" s="183">
        <v>3092</v>
      </c>
      <c r="L23" s="183">
        <v>3092</v>
      </c>
      <c r="M23" s="183">
        <v>3092</v>
      </c>
      <c r="N23" s="183">
        <v>3092</v>
      </c>
      <c r="O23" s="183">
        <v>3092</v>
      </c>
      <c r="P23" s="183">
        <v>3092</v>
      </c>
      <c r="Q23" s="183">
        <v>3108</v>
      </c>
      <c r="R23" s="183">
        <v>3108</v>
      </c>
      <c r="S23" s="183">
        <v>3108</v>
      </c>
      <c r="T23" s="183">
        <v>3108</v>
      </c>
      <c r="U23" s="183">
        <v>3108</v>
      </c>
      <c r="V23" s="183">
        <v>3108</v>
      </c>
      <c r="W23" s="183">
        <v>3108</v>
      </c>
      <c r="X23" s="183">
        <v>3120</v>
      </c>
      <c r="Y23" s="183">
        <v>3120</v>
      </c>
      <c r="Z23" s="183">
        <v>3120</v>
      </c>
      <c r="AA23" s="183">
        <v>3120</v>
      </c>
      <c r="AB23" s="183">
        <v>3120</v>
      </c>
      <c r="AC23" s="183">
        <v>3120</v>
      </c>
      <c r="AD23" s="183">
        <v>3120</v>
      </c>
      <c r="AE23" s="183">
        <v>3140</v>
      </c>
      <c r="AF23" s="323">
        <f>AE23-B23</f>
        <v>114</v>
      </c>
      <c r="AG23" s="208">
        <v>114</v>
      </c>
      <c r="AH23" s="400">
        <v>3026</v>
      </c>
      <c r="AI23" s="307"/>
    </row>
    <row r="24" spans="1:35">
      <c r="A24" s="309" t="s">
        <v>139</v>
      </c>
      <c r="B24" s="183">
        <v>3195</v>
      </c>
      <c r="C24" s="183">
        <v>3219</v>
      </c>
      <c r="D24" s="183">
        <v>3219</v>
      </c>
      <c r="E24" s="183">
        <v>3219</v>
      </c>
      <c r="F24" s="183">
        <v>3219</v>
      </c>
      <c r="G24" s="183">
        <v>3219</v>
      </c>
      <c r="H24" s="183">
        <v>3219</v>
      </c>
      <c r="I24" s="183">
        <v>3219</v>
      </c>
      <c r="J24" s="183">
        <v>3233</v>
      </c>
      <c r="K24" s="183">
        <v>3233</v>
      </c>
      <c r="L24" s="183">
        <v>3233</v>
      </c>
      <c r="M24" s="183">
        <v>3233</v>
      </c>
      <c r="N24" s="183">
        <v>3233</v>
      </c>
      <c r="O24" s="183">
        <v>3233</v>
      </c>
      <c r="P24" s="183">
        <v>3233</v>
      </c>
      <c r="Q24" s="183">
        <v>3252</v>
      </c>
      <c r="R24" s="183">
        <v>3252</v>
      </c>
      <c r="S24" s="183">
        <v>3252</v>
      </c>
      <c r="T24" s="183">
        <v>3252</v>
      </c>
      <c r="U24" s="183">
        <v>3252</v>
      </c>
      <c r="V24" s="183">
        <v>3252</v>
      </c>
      <c r="W24" s="183">
        <v>3252</v>
      </c>
      <c r="X24" s="183">
        <v>3261</v>
      </c>
      <c r="Y24" s="183">
        <v>3261</v>
      </c>
      <c r="Z24" s="183">
        <v>3261</v>
      </c>
      <c r="AA24" s="183">
        <v>3261</v>
      </c>
      <c r="AB24" s="183">
        <v>3261</v>
      </c>
      <c r="AC24" s="183">
        <v>3261</v>
      </c>
      <c r="AD24" s="183">
        <v>3261</v>
      </c>
      <c r="AE24" s="183">
        <v>3271</v>
      </c>
      <c r="AF24" s="323">
        <f t="shared" ref="AF24:AF29" si="0">AE24-B24</f>
        <v>76</v>
      </c>
      <c r="AG24" s="208">
        <v>76</v>
      </c>
      <c r="AH24" s="400">
        <v>3195</v>
      </c>
      <c r="AI24" s="307"/>
    </row>
    <row r="25" spans="1:35">
      <c r="A25" s="309" t="s">
        <v>142</v>
      </c>
      <c r="B25" s="183">
        <v>1190</v>
      </c>
      <c r="C25" s="183">
        <v>1211</v>
      </c>
      <c r="D25" s="183">
        <v>1211</v>
      </c>
      <c r="E25" s="183">
        <v>1211</v>
      </c>
      <c r="F25" s="183">
        <v>1211</v>
      </c>
      <c r="G25" s="183">
        <v>1211</v>
      </c>
      <c r="H25" s="183">
        <v>1211</v>
      </c>
      <c r="I25" s="183">
        <v>1211</v>
      </c>
      <c r="J25" s="183">
        <v>1222</v>
      </c>
      <c r="K25" s="183">
        <v>1222</v>
      </c>
      <c r="L25" s="183">
        <v>1222</v>
      </c>
      <c r="M25" s="183">
        <v>1222</v>
      </c>
      <c r="N25" s="183">
        <v>1222</v>
      </c>
      <c r="O25" s="183">
        <v>1222</v>
      </c>
      <c r="P25" s="183">
        <v>1222</v>
      </c>
      <c r="Q25" s="183">
        <v>1228</v>
      </c>
      <c r="R25" s="183">
        <v>1228</v>
      </c>
      <c r="S25" s="183">
        <v>1228</v>
      </c>
      <c r="T25" s="183">
        <v>1228</v>
      </c>
      <c r="U25" s="183">
        <v>1228</v>
      </c>
      <c r="V25" s="183">
        <v>1228</v>
      </c>
      <c r="W25" s="183">
        <v>1228</v>
      </c>
      <c r="X25" s="183">
        <v>1234</v>
      </c>
      <c r="Y25" s="183">
        <v>1234</v>
      </c>
      <c r="Z25" s="183">
        <v>1234</v>
      </c>
      <c r="AA25" s="183">
        <v>1234</v>
      </c>
      <c r="AB25" s="183">
        <v>1234</v>
      </c>
      <c r="AC25" s="183">
        <v>1234</v>
      </c>
      <c r="AD25" s="183">
        <v>1234</v>
      </c>
      <c r="AE25" s="183">
        <v>1239</v>
      </c>
      <c r="AF25" s="323">
        <f t="shared" si="0"/>
        <v>49</v>
      </c>
      <c r="AG25" s="208">
        <v>49</v>
      </c>
      <c r="AH25" s="400">
        <v>1190</v>
      </c>
      <c r="AI25" s="307"/>
    </row>
    <row r="26" spans="1:35">
      <c r="A26" s="309" t="s">
        <v>145</v>
      </c>
      <c r="B26" s="183">
        <v>161</v>
      </c>
      <c r="C26" s="183">
        <v>161</v>
      </c>
      <c r="D26" s="183">
        <v>161</v>
      </c>
      <c r="E26" s="183">
        <v>161</v>
      </c>
      <c r="F26" s="183">
        <v>161</v>
      </c>
      <c r="G26" s="183">
        <v>161</v>
      </c>
      <c r="H26" s="183">
        <v>161</v>
      </c>
      <c r="I26" s="183">
        <v>161</v>
      </c>
      <c r="J26" s="183">
        <v>165</v>
      </c>
      <c r="K26" s="183">
        <v>165</v>
      </c>
      <c r="L26" s="183">
        <v>165</v>
      </c>
      <c r="M26" s="183">
        <v>165</v>
      </c>
      <c r="N26" s="183">
        <v>165</v>
      </c>
      <c r="O26" s="183">
        <v>165</v>
      </c>
      <c r="P26" s="183">
        <v>165</v>
      </c>
      <c r="Q26" s="183">
        <v>168</v>
      </c>
      <c r="R26" s="183">
        <v>168</v>
      </c>
      <c r="S26" s="183">
        <v>168</v>
      </c>
      <c r="T26" s="183">
        <v>168</v>
      </c>
      <c r="U26" s="183">
        <v>168</v>
      </c>
      <c r="V26" s="183">
        <v>168</v>
      </c>
      <c r="W26" s="183">
        <v>168</v>
      </c>
      <c r="X26" s="183">
        <v>171</v>
      </c>
      <c r="Y26" s="183">
        <v>171</v>
      </c>
      <c r="Z26" s="183">
        <v>171</v>
      </c>
      <c r="AA26" s="183">
        <v>171</v>
      </c>
      <c r="AB26" s="183">
        <v>171</v>
      </c>
      <c r="AC26" s="183">
        <v>171</v>
      </c>
      <c r="AD26" s="183">
        <v>171</v>
      </c>
      <c r="AE26" s="183">
        <v>177</v>
      </c>
      <c r="AF26" s="323">
        <f t="shared" si="0"/>
        <v>16</v>
      </c>
      <c r="AG26" s="208">
        <v>16</v>
      </c>
      <c r="AH26" s="400">
        <v>161</v>
      </c>
      <c r="AI26" s="307"/>
    </row>
    <row r="27" spans="1:35">
      <c r="A27" s="309" t="s">
        <v>148</v>
      </c>
      <c r="B27" s="183">
        <v>3540</v>
      </c>
      <c r="C27" s="183">
        <v>3592</v>
      </c>
      <c r="D27" s="183">
        <v>3592</v>
      </c>
      <c r="E27" s="183">
        <v>3592</v>
      </c>
      <c r="F27" s="183">
        <v>3592</v>
      </c>
      <c r="G27" s="183">
        <v>3592</v>
      </c>
      <c r="H27" s="183">
        <v>3592</v>
      </c>
      <c r="I27" s="183">
        <v>3592</v>
      </c>
      <c r="J27" s="183">
        <v>3599</v>
      </c>
      <c r="K27" s="183">
        <v>3599</v>
      </c>
      <c r="L27" s="183">
        <v>3599</v>
      </c>
      <c r="M27" s="183">
        <v>3599</v>
      </c>
      <c r="N27" s="183">
        <v>3599</v>
      </c>
      <c r="O27" s="183">
        <v>3599</v>
      </c>
      <c r="P27" s="183">
        <v>3599</v>
      </c>
      <c r="Q27" s="183">
        <v>3611</v>
      </c>
      <c r="R27" s="183">
        <v>3611</v>
      </c>
      <c r="S27" s="183">
        <v>3611</v>
      </c>
      <c r="T27" s="183">
        <v>3611</v>
      </c>
      <c r="U27" s="183">
        <v>3611</v>
      </c>
      <c r="V27" s="183">
        <v>3611</v>
      </c>
      <c r="W27" s="183">
        <v>3611</v>
      </c>
      <c r="X27" s="183">
        <v>3625</v>
      </c>
      <c r="Y27" s="183">
        <v>3625</v>
      </c>
      <c r="Z27" s="183">
        <v>3625</v>
      </c>
      <c r="AA27" s="183">
        <v>3625</v>
      </c>
      <c r="AB27" s="183">
        <v>3625</v>
      </c>
      <c r="AC27" s="183">
        <v>3625</v>
      </c>
      <c r="AD27" s="183">
        <v>3625</v>
      </c>
      <c r="AE27" s="183">
        <v>3636</v>
      </c>
      <c r="AF27" s="323">
        <f t="shared" si="0"/>
        <v>96</v>
      </c>
      <c r="AG27" s="208">
        <v>96</v>
      </c>
      <c r="AH27" s="400">
        <v>3540</v>
      </c>
      <c r="AI27" s="307"/>
    </row>
    <row r="28" spans="1:35">
      <c r="A28" s="309" t="s">
        <v>151</v>
      </c>
      <c r="B28" s="183">
        <v>676</v>
      </c>
      <c r="C28" s="183">
        <v>689</v>
      </c>
      <c r="D28" s="183">
        <v>689</v>
      </c>
      <c r="E28" s="183">
        <v>689</v>
      </c>
      <c r="F28" s="183">
        <v>689</v>
      </c>
      <c r="G28" s="183">
        <v>689</v>
      </c>
      <c r="H28" s="183">
        <v>689</v>
      </c>
      <c r="I28" s="183">
        <v>689</v>
      </c>
      <c r="J28" s="183">
        <v>700</v>
      </c>
      <c r="K28" s="183">
        <v>700</v>
      </c>
      <c r="L28" s="183">
        <v>700</v>
      </c>
      <c r="M28" s="183">
        <v>700</v>
      </c>
      <c r="N28" s="183">
        <v>700</v>
      </c>
      <c r="O28" s="183">
        <v>700</v>
      </c>
      <c r="P28" s="183">
        <v>700</v>
      </c>
      <c r="Q28" s="183">
        <v>711</v>
      </c>
      <c r="R28" s="183">
        <v>711</v>
      </c>
      <c r="S28" s="183">
        <v>711</v>
      </c>
      <c r="T28" s="183">
        <v>711</v>
      </c>
      <c r="U28" s="183">
        <v>711</v>
      </c>
      <c r="V28" s="183">
        <v>711</v>
      </c>
      <c r="W28" s="183">
        <v>711</v>
      </c>
      <c r="X28" s="183">
        <v>723</v>
      </c>
      <c r="Y28" s="183">
        <v>723</v>
      </c>
      <c r="Z28" s="183">
        <v>723</v>
      </c>
      <c r="AA28" s="183">
        <v>723</v>
      </c>
      <c r="AB28" s="183">
        <v>723</v>
      </c>
      <c r="AC28" s="183">
        <v>723</v>
      </c>
      <c r="AD28" s="183">
        <v>723</v>
      </c>
      <c r="AE28" s="183">
        <v>734</v>
      </c>
      <c r="AF28" s="323">
        <f t="shared" si="0"/>
        <v>58</v>
      </c>
      <c r="AG28" s="208">
        <v>58</v>
      </c>
      <c r="AH28" s="400">
        <v>676</v>
      </c>
      <c r="AI28" s="307"/>
    </row>
    <row r="29" spans="1:35">
      <c r="A29" s="309" t="s">
        <v>154</v>
      </c>
      <c r="B29" s="183">
        <v>292</v>
      </c>
      <c r="C29" s="183">
        <v>299</v>
      </c>
      <c r="D29" s="183">
        <v>299</v>
      </c>
      <c r="E29" s="183">
        <v>299</v>
      </c>
      <c r="F29" s="183">
        <v>299</v>
      </c>
      <c r="G29" s="183">
        <v>299</v>
      </c>
      <c r="H29" s="183">
        <v>299</v>
      </c>
      <c r="I29" s="183">
        <v>299</v>
      </c>
      <c r="J29" s="183">
        <v>306</v>
      </c>
      <c r="K29" s="183">
        <v>306</v>
      </c>
      <c r="L29" s="183">
        <v>306</v>
      </c>
      <c r="M29" s="183">
        <v>306</v>
      </c>
      <c r="N29" s="183">
        <v>306</v>
      </c>
      <c r="O29" s="183">
        <v>306</v>
      </c>
      <c r="P29" s="183">
        <v>306</v>
      </c>
      <c r="Q29" s="183">
        <v>312</v>
      </c>
      <c r="R29" s="183">
        <v>312</v>
      </c>
      <c r="S29" s="183">
        <v>312</v>
      </c>
      <c r="T29" s="183">
        <v>312</v>
      </c>
      <c r="U29" s="183">
        <v>312</v>
      </c>
      <c r="V29" s="183">
        <v>312</v>
      </c>
      <c r="W29" s="183">
        <v>312</v>
      </c>
      <c r="X29" s="183">
        <v>319</v>
      </c>
      <c r="Y29" s="183">
        <v>319</v>
      </c>
      <c r="Z29" s="183">
        <v>319</v>
      </c>
      <c r="AA29" s="183">
        <v>319</v>
      </c>
      <c r="AB29" s="183">
        <v>319</v>
      </c>
      <c r="AC29" s="183">
        <v>319</v>
      </c>
      <c r="AD29" s="183">
        <v>319</v>
      </c>
      <c r="AE29" s="183">
        <v>325</v>
      </c>
      <c r="AF29" s="323">
        <f t="shared" si="0"/>
        <v>33</v>
      </c>
      <c r="AG29" s="208">
        <v>33</v>
      </c>
      <c r="AH29" s="400">
        <v>292</v>
      </c>
      <c r="AI29" s="307"/>
    </row>
    <row r="30" spans="1:35">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304"/>
      <c r="AG30" s="304"/>
      <c r="AH30" s="126"/>
      <c r="AI30" s="307"/>
    </row>
    <row r="31" spans="1:35">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296"/>
      <c r="AG31" s="296"/>
      <c r="AH31" s="399" t="s">
        <v>157</v>
      </c>
      <c r="AI31" s="307"/>
    </row>
    <row r="32" spans="1:35" ht="25.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209"/>
      <c r="AG32" s="209"/>
      <c r="AH32" s="190" t="s">
        <v>78</v>
      </c>
      <c r="AI32" s="307"/>
    </row>
    <row r="33" spans="1:35" ht="25.5">
      <c r="A33" s="282" t="s">
        <v>80</v>
      </c>
      <c r="B33" s="187" t="s">
        <v>1457</v>
      </c>
      <c r="C33" s="187" t="s">
        <v>1457</v>
      </c>
      <c r="D33" s="187" t="s">
        <v>1455</v>
      </c>
      <c r="E33" s="187" t="s">
        <v>1455</v>
      </c>
      <c r="F33" s="187" t="s">
        <v>1458</v>
      </c>
      <c r="G33" s="187" t="s">
        <v>1457</v>
      </c>
      <c r="H33" s="187" t="s">
        <v>1456</v>
      </c>
      <c r="I33" s="187" t="s">
        <v>1455</v>
      </c>
      <c r="J33" s="187" t="s">
        <v>1491</v>
      </c>
      <c r="K33" s="187" t="s">
        <v>1453</v>
      </c>
      <c r="L33" s="187" t="s">
        <v>1452</v>
      </c>
      <c r="M33" s="187" t="s">
        <v>1453</v>
      </c>
      <c r="N33" s="187" t="s">
        <v>1453</v>
      </c>
      <c r="O33" s="187" t="s">
        <v>1492</v>
      </c>
      <c r="P33" s="187" t="s">
        <v>1451</v>
      </c>
      <c r="Q33" s="187" t="s">
        <v>1400</v>
      </c>
      <c r="R33" s="187" t="s">
        <v>1400</v>
      </c>
      <c r="S33" s="187" t="s">
        <v>1401</v>
      </c>
      <c r="T33" s="187" t="s">
        <v>1401</v>
      </c>
      <c r="U33" s="187" t="s">
        <v>647</v>
      </c>
      <c r="V33" s="187" t="s">
        <v>1493</v>
      </c>
      <c r="W33" s="187" t="s">
        <v>647</v>
      </c>
      <c r="X33" s="187" t="s">
        <v>647</v>
      </c>
      <c r="Y33" s="187" t="s">
        <v>1494</v>
      </c>
      <c r="Z33" s="187" t="s">
        <v>1495</v>
      </c>
      <c r="AA33" s="187" t="s">
        <v>1496</v>
      </c>
      <c r="AB33" s="187" t="s">
        <v>644</v>
      </c>
      <c r="AC33" s="187" t="s">
        <v>644</v>
      </c>
      <c r="AD33" s="187" t="s">
        <v>1496</v>
      </c>
      <c r="AE33" s="187" t="s">
        <v>1395</v>
      </c>
      <c r="AF33" s="209"/>
      <c r="AG33" s="209"/>
      <c r="AH33" s="190">
        <v>46161</v>
      </c>
      <c r="AI33" s="307"/>
    </row>
    <row r="34" spans="1:35" ht="15.75" thickBot="1">
      <c r="A34" s="310" t="s">
        <v>81</v>
      </c>
      <c r="B34" s="187" t="s">
        <v>651</v>
      </c>
      <c r="C34" s="187" t="s">
        <v>651</v>
      </c>
      <c r="D34" s="187" t="s">
        <v>651</v>
      </c>
      <c r="E34" s="187" t="s">
        <v>651</v>
      </c>
      <c r="F34" s="187" t="s">
        <v>651</v>
      </c>
      <c r="G34" s="187" t="s">
        <v>651</v>
      </c>
      <c r="H34" s="187" t="s">
        <v>651</v>
      </c>
      <c r="I34" s="187" t="s">
        <v>651</v>
      </c>
      <c r="J34" s="187" t="s">
        <v>651</v>
      </c>
      <c r="K34" s="187" t="s">
        <v>651</v>
      </c>
      <c r="L34" s="187" t="s">
        <v>651</v>
      </c>
      <c r="M34" s="187" t="s">
        <v>651</v>
      </c>
      <c r="N34" s="187" t="s">
        <v>651</v>
      </c>
      <c r="O34" s="187" t="s">
        <v>651</v>
      </c>
      <c r="P34" s="187" t="s">
        <v>651</v>
      </c>
      <c r="Q34" s="187" t="s">
        <v>651</v>
      </c>
      <c r="R34" s="187" t="s">
        <v>651</v>
      </c>
      <c r="S34" s="187" t="s">
        <v>651</v>
      </c>
      <c r="T34" s="187" t="s">
        <v>651</v>
      </c>
      <c r="U34" s="187" t="s">
        <v>1329</v>
      </c>
      <c r="V34" s="187" t="s">
        <v>1329</v>
      </c>
      <c r="W34" s="187" t="s">
        <v>1329</v>
      </c>
      <c r="X34" s="187" t="s">
        <v>1329</v>
      </c>
      <c r="Y34" s="187" t="s">
        <v>1329</v>
      </c>
      <c r="Z34" s="187" t="s">
        <v>1329</v>
      </c>
      <c r="AA34" s="187" t="s">
        <v>1329</v>
      </c>
      <c r="AB34" s="187" t="s">
        <v>1329</v>
      </c>
      <c r="AC34" s="187" t="s">
        <v>1329</v>
      </c>
      <c r="AD34" s="187" t="s">
        <v>1329</v>
      </c>
      <c r="AE34" s="187" t="s">
        <v>1329</v>
      </c>
      <c r="AF34" s="209"/>
      <c r="AG34" s="209"/>
      <c r="AH34" s="190">
        <v>2800</v>
      </c>
      <c r="AI34" s="307"/>
    </row>
    <row r="35" spans="1:35">
      <c r="AF35" s="211"/>
      <c r="AG35" s="211"/>
    </row>
    <row r="36" spans="1:35">
      <c r="AF36" s="211"/>
      <c r="AG36" s="211"/>
    </row>
  </sheetData>
  <mergeCells count="1">
    <mergeCell ref="A1:AH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7856-5353-4EAF-BA69-DA080A43A759}">
  <dimension ref="A1:AN36"/>
  <sheetViews>
    <sheetView topLeftCell="P1" workbookViewId="0">
      <selection activeCell="AG23" sqref="AG23"/>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2" width="12.85546875" style="144" customWidth="1"/>
    <col min="33" max="34" width="9.140625" style="144"/>
    <col min="35" max="35" width="12.85546875" style="144" customWidth="1"/>
    <col min="36" max="36" width="11" style="144" customWidth="1"/>
    <col min="37" max="37" width="11.42578125" style="144" customWidth="1"/>
    <col min="38" max="16384" width="9.140625" style="144"/>
  </cols>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44682</v>
      </c>
      <c r="C2" s="281">
        <v>44683</v>
      </c>
      <c r="D2" s="281">
        <v>44684</v>
      </c>
      <c r="E2" s="281">
        <v>44685</v>
      </c>
      <c r="F2" s="281">
        <v>44686</v>
      </c>
      <c r="G2" s="281">
        <v>44687</v>
      </c>
      <c r="H2" s="281">
        <v>44688</v>
      </c>
      <c r="I2" s="281">
        <v>44689</v>
      </c>
      <c r="J2" s="281">
        <v>44690</v>
      </c>
      <c r="K2" s="281">
        <v>44691</v>
      </c>
      <c r="L2" s="281">
        <v>44692</v>
      </c>
      <c r="M2" s="281">
        <v>44693</v>
      </c>
      <c r="N2" s="281">
        <v>44694</v>
      </c>
      <c r="O2" s="281">
        <v>44695</v>
      </c>
      <c r="P2" s="281">
        <v>44696</v>
      </c>
      <c r="Q2" s="281">
        <v>44697</v>
      </c>
      <c r="R2" s="281">
        <v>44698</v>
      </c>
      <c r="S2" s="281">
        <v>44699</v>
      </c>
      <c r="T2" s="281">
        <v>44700</v>
      </c>
      <c r="U2" s="281">
        <v>44701</v>
      </c>
      <c r="V2" s="281">
        <v>44702</v>
      </c>
      <c r="W2" s="281">
        <v>44703</v>
      </c>
      <c r="X2" s="281">
        <v>44704</v>
      </c>
      <c r="Y2" s="281">
        <v>44705</v>
      </c>
      <c r="Z2" s="281">
        <v>44706</v>
      </c>
      <c r="AA2" s="281">
        <v>44707</v>
      </c>
      <c r="AB2" s="281">
        <v>44708</v>
      </c>
      <c r="AC2" s="281">
        <v>44709</v>
      </c>
      <c r="AD2" s="281">
        <v>44710</v>
      </c>
      <c r="AE2" s="281">
        <v>44711</v>
      </c>
      <c r="AF2" s="281">
        <v>44712</v>
      </c>
      <c r="AG2" s="281"/>
      <c r="AH2" s="281"/>
      <c r="AI2" s="281">
        <v>44681</v>
      </c>
    </row>
    <row r="3" spans="1:40"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53</v>
      </c>
      <c r="AG3" s="271"/>
      <c r="AH3" s="317"/>
      <c r="AI3" s="283" t="s">
        <v>53</v>
      </c>
    </row>
    <row r="4" spans="1:40" ht="20.100000000000001" customHeight="1">
      <c r="A4" s="285" t="s">
        <v>54</v>
      </c>
      <c r="B4" s="212">
        <v>225950</v>
      </c>
      <c r="C4" s="212">
        <v>226158</v>
      </c>
      <c r="D4" s="212">
        <v>226366</v>
      </c>
      <c r="E4" s="212">
        <v>226548</v>
      </c>
      <c r="F4" s="212">
        <v>226751</v>
      </c>
      <c r="G4" s="212">
        <v>226952</v>
      </c>
      <c r="H4" s="212">
        <v>227144</v>
      </c>
      <c r="I4" s="212">
        <v>227144</v>
      </c>
      <c r="J4" s="212">
        <v>227560</v>
      </c>
      <c r="K4" s="212">
        <v>227763</v>
      </c>
      <c r="L4" s="212">
        <v>227969</v>
      </c>
      <c r="M4" s="212">
        <v>228175</v>
      </c>
      <c r="N4" s="212">
        <v>228388</v>
      </c>
      <c r="O4" s="212">
        <v>228583</v>
      </c>
      <c r="P4" s="212">
        <v>228783</v>
      </c>
      <c r="Q4" s="212">
        <v>228996</v>
      </c>
      <c r="R4" s="212">
        <v>229202</v>
      </c>
      <c r="S4" s="212">
        <v>229412</v>
      </c>
      <c r="T4" s="212">
        <v>229621</v>
      </c>
      <c r="U4" s="212">
        <v>229829</v>
      </c>
      <c r="V4" s="212">
        <v>230029</v>
      </c>
      <c r="W4" s="212">
        <v>230244</v>
      </c>
      <c r="X4" s="212">
        <v>230458</v>
      </c>
      <c r="Y4" s="212">
        <v>230676</v>
      </c>
      <c r="Z4" s="212">
        <v>230884</v>
      </c>
      <c r="AA4" s="212">
        <v>231096</v>
      </c>
      <c r="AB4" s="212">
        <v>231303</v>
      </c>
      <c r="AC4" s="212">
        <v>231493</v>
      </c>
      <c r="AD4" s="212">
        <v>231709</v>
      </c>
      <c r="AE4" s="212">
        <v>231924</v>
      </c>
      <c r="AF4" s="212">
        <v>232135</v>
      </c>
      <c r="AG4" s="287"/>
      <c r="AH4" s="287"/>
      <c r="AI4" s="212">
        <v>225742</v>
      </c>
      <c r="AJ4" s="318"/>
      <c r="AK4" s="318"/>
      <c r="AN4" s="288"/>
    </row>
    <row r="5" spans="1:40" ht="20.100000000000001" customHeight="1">
      <c r="A5" s="285" t="s">
        <v>55</v>
      </c>
      <c r="B5" s="212">
        <v>5791288</v>
      </c>
      <c r="C5" s="212">
        <v>5798336</v>
      </c>
      <c r="D5" s="212">
        <v>5805388</v>
      </c>
      <c r="E5" s="212">
        <v>5812577</v>
      </c>
      <c r="F5" s="212">
        <v>5819730</v>
      </c>
      <c r="G5" s="212">
        <v>5826964</v>
      </c>
      <c r="H5" s="212">
        <v>5833711</v>
      </c>
      <c r="I5" s="212">
        <v>5840682</v>
      </c>
      <c r="J5" s="212">
        <v>5847600</v>
      </c>
      <c r="K5" s="212">
        <v>5854332</v>
      </c>
      <c r="L5" s="212">
        <v>5861314</v>
      </c>
      <c r="M5" s="212">
        <v>5868296</v>
      </c>
      <c r="N5" s="212">
        <v>5876139</v>
      </c>
      <c r="O5" s="212">
        <v>5882972</v>
      </c>
      <c r="P5" s="212">
        <v>5890112</v>
      </c>
      <c r="Q5" s="212">
        <v>5897870</v>
      </c>
      <c r="R5" s="212">
        <v>5905304</v>
      </c>
      <c r="S5" s="212">
        <v>5913006</v>
      </c>
      <c r="T5" s="212">
        <v>5920559</v>
      </c>
      <c r="U5" s="212">
        <v>5927535</v>
      </c>
      <c r="V5" s="212">
        <v>5934157</v>
      </c>
      <c r="W5" s="212">
        <v>5941008</v>
      </c>
      <c r="X5" s="212">
        <v>5948169</v>
      </c>
      <c r="Y5" s="212">
        <v>5955729</v>
      </c>
      <c r="Z5" s="212">
        <v>5962913</v>
      </c>
      <c r="AA5" s="212">
        <v>5970069</v>
      </c>
      <c r="AB5" s="212">
        <v>5976796</v>
      </c>
      <c r="AC5" s="212">
        <v>5982502</v>
      </c>
      <c r="AD5" s="212">
        <v>5989539</v>
      </c>
      <c r="AE5" s="212">
        <v>5996765</v>
      </c>
      <c r="AF5" s="212">
        <v>6003897</v>
      </c>
      <c r="AG5" s="287"/>
      <c r="AH5" s="287"/>
      <c r="AI5" s="212">
        <v>5784240</v>
      </c>
      <c r="AJ5" s="318"/>
      <c r="AK5" s="318"/>
      <c r="AN5" s="288"/>
    </row>
    <row r="6" spans="1:40" ht="20.100000000000001" customHeight="1">
      <c r="A6" s="285" t="s">
        <v>56</v>
      </c>
      <c r="B6" s="212">
        <v>2814028</v>
      </c>
      <c r="C6" s="212">
        <v>2814028</v>
      </c>
      <c r="D6" s="212">
        <v>2820382</v>
      </c>
      <c r="E6" s="212">
        <v>2822793</v>
      </c>
      <c r="F6" s="212">
        <v>2825738</v>
      </c>
      <c r="G6" s="212">
        <v>2828660</v>
      </c>
      <c r="H6" s="212">
        <v>2831371</v>
      </c>
      <c r="I6" s="212">
        <v>2834373</v>
      </c>
      <c r="J6" s="212">
        <v>2837531</v>
      </c>
      <c r="K6" s="212">
        <v>2840741</v>
      </c>
      <c r="L6" s="212">
        <v>2844157</v>
      </c>
      <c r="M6" s="212">
        <v>2847573</v>
      </c>
      <c r="N6" s="212">
        <v>2851201</v>
      </c>
      <c r="O6" s="212">
        <v>2854508</v>
      </c>
      <c r="P6" s="212">
        <v>2857907</v>
      </c>
      <c r="Q6" s="212">
        <v>2861909</v>
      </c>
      <c r="R6" s="212">
        <v>2865866</v>
      </c>
      <c r="S6" s="212">
        <v>2869765</v>
      </c>
      <c r="T6" s="212">
        <v>2873315</v>
      </c>
      <c r="U6" s="212">
        <v>2876974</v>
      </c>
      <c r="V6" s="212">
        <v>2880413</v>
      </c>
      <c r="W6" s="212">
        <v>2884121</v>
      </c>
      <c r="X6" s="212">
        <v>2887788</v>
      </c>
      <c r="Y6" s="212">
        <v>2891603</v>
      </c>
      <c r="Z6" s="212">
        <v>2895211</v>
      </c>
      <c r="AA6" s="212">
        <v>2898898</v>
      </c>
      <c r="AB6" s="212">
        <v>2902595</v>
      </c>
      <c r="AC6" s="212">
        <v>2906021</v>
      </c>
      <c r="AD6" s="212">
        <v>2909822</v>
      </c>
      <c r="AE6" s="212">
        <v>2913461</v>
      </c>
      <c r="AF6" s="212">
        <v>2916892</v>
      </c>
      <c r="AG6" s="287"/>
      <c r="AH6" s="287"/>
      <c r="AI6" s="212">
        <v>2810850</v>
      </c>
      <c r="AJ6" s="318"/>
      <c r="AK6" s="318"/>
      <c r="AN6" s="288"/>
    </row>
    <row r="7" spans="1:40" ht="20.100000000000001" customHeight="1">
      <c r="A7" s="285" t="s">
        <v>57</v>
      </c>
      <c r="B7" s="212">
        <v>7064889</v>
      </c>
      <c r="C7" s="212">
        <v>7064966</v>
      </c>
      <c r="D7" s="212">
        <v>7065044</v>
      </c>
      <c r="E7" s="212">
        <v>7065113</v>
      </c>
      <c r="F7" s="212">
        <v>7065185</v>
      </c>
      <c r="G7" s="212">
        <v>7065259</v>
      </c>
      <c r="H7" s="212">
        <v>7066980</v>
      </c>
      <c r="I7" s="212">
        <v>7079374</v>
      </c>
      <c r="J7" s="212">
        <v>7090495</v>
      </c>
      <c r="K7" s="212">
        <v>7100581</v>
      </c>
      <c r="L7" s="212">
        <v>7110524</v>
      </c>
      <c r="M7" s="212">
        <v>7120467</v>
      </c>
      <c r="N7" s="212">
        <v>7131486</v>
      </c>
      <c r="O7" s="212">
        <v>7139605</v>
      </c>
      <c r="P7" s="212">
        <v>7146271</v>
      </c>
      <c r="Q7" s="212">
        <v>7153215</v>
      </c>
      <c r="R7" s="212">
        <v>7159741</v>
      </c>
      <c r="S7" s="212">
        <v>7166564</v>
      </c>
      <c r="T7" s="212">
        <v>7173315</v>
      </c>
      <c r="U7" s="212">
        <v>7179970</v>
      </c>
      <c r="V7" s="212">
        <v>7185714</v>
      </c>
      <c r="W7" s="212">
        <v>7185794</v>
      </c>
      <c r="X7" s="212">
        <v>7185873</v>
      </c>
      <c r="Y7" s="212">
        <v>7185954</v>
      </c>
      <c r="Z7" s="212">
        <v>7186033</v>
      </c>
      <c r="AA7" s="212">
        <v>7186113</v>
      </c>
      <c r="AB7" s="212">
        <v>7186193</v>
      </c>
      <c r="AC7" s="212">
        <v>7186816</v>
      </c>
      <c r="AD7" s="212">
        <v>7192980</v>
      </c>
      <c r="AE7" s="212">
        <v>7199486</v>
      </c>
      <c r="AF7" s="212">
        <v>7205366</v>
      </c>
      <c r="AG7" s="287"/>
      <c r="AH7" s="287"/>
      <c r="AI7" s="212">
        <v>7064812</v>
      </c>
      <c r="AJ7" s="318"/>
      <c r="AK7" s="318"/>
      <c r="AN7" s="288"/>
    </row>
    <row r="8" spans="1:40" ht="20.100000000000001" customHeight="1">
      <c r="A8" s="285" t="s">
        <v>58</v>
      </c>
      <c r="B8" s="212">
        <v>2293893</v>
      </c>
      <c r="C8" s="212">
        <v>2296490</v>
      </c>
      <c r="D8" s="212">
        <v>2299088</v>
      </c>
      <c r="E8" s="212">
        <v>2301589</v>
      </c>
      <c r="F8" s="212">
        <v>2304128</v>
      </c>
      <c r="G8" s="212">
        <v>2306791</v>
      </c>
      <c r="H8" s="212">
        <v>2309106</v>
      </c>
      <c r="I8" s="212">
        <v>2309106</v>
      </c>
      <c r="J8" s="212">
        <v>2309106</v>
      </c>
      <c r="K8" s="212">
        <v>2309106</v>
      </c>
      <c r="L8" s="212">
        <v>2309106</v>
      </c>
      <c r="M8" s="212">
        <v>2309106</v>
      </c>
      <c r="N8" s="212">
        <v>2309106</v>
      </c>
      <c r="O8" s="212">
        <v>2309430</v>
      </c>
      <c r="P8" s="212">
        <v>2310440</v>
      </c>
      <c r="Q8" s="212">
        <v>2311603</v>
      </c>
      <c r="R8" s="212">
        <v>2312700</v>
      </c>
      <c r="S8" s="212">
        <v>2313821</v>
      </c>
      <c r="T8" s="212">
        <v>2314902</v>
      </c>
      <c r="U8" s="212">
        <v>2315985</v>
      </c>
      <c r="V8" s="212">
        <v>2317366</v>
      </c>
      <c r="W8" s="212">
        <v>2320859</v>
      </c>
      <c r="X8" s="212">
        <v>2324215</v>
      </c>
      <c r="Y8" s="212">
        <v>2327823</v>
      </c>
      <c r="Z8" s="212">
        <v>2331420</v>
      </c>
      <c r="AA8" s="212">
        <v>2335291</v>
      </c>
      <c r="AB8" s="212">
        <v>2338917</v>
      </c>
      <c r="AC8" s="212">
        <v>2342123</v>
      </c>
      <c r="AD8" s="212">
        <v>2344046</v>
      </c>
      <c r="AE8" s="212">
        <v>2346054</v>
      </c>
      <c r="AF8" s="212">
        <v>2347897</v>
      </c>
      <c r="AG8" s="287"/>
      <c r="AH8" s="287"/>
      <c r="AI8" s="212">
        <v>2291296</v>
      </c>
      <c r="AJ8" s="318"/>
      <c r="AK8" s="318"/>
      <c r="AN8" s="288"/>
    </row>
    <row r="9" spans="1:40" ht="20.100000000000001" customHeight="1">
      <c r="A9" s="285" t="s">
        <v>59</v>
      </c>
      <c r="B9" s="214">
        <v>14994349</v>
      </c>
      <c r="C9" s="214">
        <v>15003722</v>
      </c>
      <c r="D9" s="214">
        <v>15013116</v>
      </c>
      <c r="E9" s="214">
        <v>15021517</v>
      </c>
      <c r="F9" s="214">
        <v>15030655</v>
      </c>
      <c r="G9" s="214">
        <v>15039504</v>
      </c>
      <c r="H9" s="214">
        <v>15048676</v>
      </c>
      <c r="I9" s="214">
        <v>15061370</v>
      </c>
      <c r="J9" s="214">
        <v>15073175</v>
      </c>
      <c r="K9" s="214">
        <v>15084174</v>
      </c>
      <c r="L9" s="214">
        <v>15095184</v>
      </c>
      <c r="M9" s="214">
        <v>15106194</v>
      </c>
      <c r="N9" s="214">
        <v>15116933</v>
      </c>
      <c r="O9" s="214">
        <v>15126355</v>
      </c>
      <c r="P9" s="214">
        <v>15136797</v>
      </c>
      <c r="Q9" s="214">
        <v>15147938</v>
      </c>
      <c r="R9" s="214">
        <v>15158678</v>
      </c>
      <c r="S9" s="214">
        <v>15169622</v>
      </c>
      <c r="T9" s="214">
        <v>15180022</v>
      </c>
      <c r="U9" s="214">
        <v>15190399</v>
      </c>
      <c r="V9" s="214">
        <v>15200753</v>
      </c>
      <c r="W9" s="214">
        <v>15211302</v>
      </c>
      <c r="X9" s="214">
        <v>15221731</v>
      </c>
      <c r="Y9" s="214">
        <v>15232812</v>
      </c>
      <c r="Z9" s="214">
        <v>15244073</v>
      </c>
      <c r="AA9" s="214">
        <v>15256268</v>
      </c>
      <c r="AB9" s="214">
        <v>15268296</v>
      </c>
      <c r="AC9" s="214">
        <v>15279402</v>
      </c>
      <c r="AD9" s="214">
        <v>15291776</v>
      </c>
      <c r="AE9" s="214">
        <v>15303949</v>
      </c>
      <c r="AF9" s="214">
        <v>15316090</v>
      </c>
      <c r="AG9" s="290"/>
      <c r="AH9" s="290"/>
      <c r="AI9" s="214">
        <v>14984976</v>
      </c>
      <c r="AJ9" s="318"/>
      <c r="AK9" s="318"/>
      <c r="AN9" s="288"/>
    </row>
    <row r="10" spans="1:40" ht="20.100000000000001" customHeight="1">
      <c r="A10" s="285" t="s">
        <v>60</v>
      </c>
      <c r="B10" s="212">
        <v>4628684</v>
      </c>
      <c r="C10" s="212">
        <v>4631868</v>
      </c>
      <c r="D10" s="212">
        <v>4635052</v>
      </c>
      <c r="E10" s="212">
        <v>4637939</v>
      </c>
      <c r="F10" s="212">
        <v>4640973</v>
      </c>
      <c r="G10" s="212">
        <v>4643941</v>
      </c>
      <c r="H10" s="212">
        <v>4646975</v>
      </c>
      <c r="I10" s="212">
        <v>4652064</v>
      </c>
      <c r="J10" s="212">
        <v>4657922</v>
      </c>
      <c r="K10" s="212">
        <v>4663599</v>
      </c>
      <c r="L10" s="212">
        <v>4669321</v>
      </c>
      <c r="M10" s="212">
        <v>4675043</v>
      </c>
      <c r="N10" s="212">
        <v>4681350</v>
      </c>
      <c r="O10" s="212">
        <v>4686953</v>
      </c>
      <c r="P10" s="212">
        <v>4692873</v>
      </c>
      <c r="Q10" s="212">
        <v>4699264</v>
      </c>
      <c r="R10" s="212">
        <v>4705428</v>
      </c>
      <c r="S10" s="212">
        <v>4711643</v>
      </c>
      <c r="T10" s="212">
        <v>4717692</v>
      </c>
      <c r="U10" s="212">
        <v>4723718</v>
      </c>
      <c r="V10" s="212">
        <v>4729590</v>
      </c>
      <c r="W10" s="212">
        <v>4735638</v>
      </c>
      <c r="X10" s="212">
        <v>4740206</v>
      </c>
      <c r="Y10" s="212">
        <v>4744918</v>
      </c>
      <c r="Z10" s="212">
        <v>4749269</v>
      </c>
      <c r="AA10" s="212">
        <v>4753709</v>
      </c>
      <c r="AB10" s="212">
        <v>4757200</v>
      </c>
      <c r="AC10" s="212">
        <v>4759741</v>
      </c>
      <c r="AD10" s="212">
        <v>4763421</v>
      </c>
      <c r="AE10" s="212">
        <v>4767764</v>
      </c>
      <c r="AF10" s="212">
        <v>4771996</v>
      </c>
      <c r="AG10" s="287"/>
      <c r="AH10" s="287"/>
      <c r="AI10" s="212">
        <v>4625500</v>
      </c>
      <c r="AJ10" s="318"/>
      <c r="AK10" s="318"/>
      <c r="AN10" s="288"/>
    </row>
    <row r="11" spans="1:40" ht="22.5" customHeight="1">
      <c r="A11" s="285" t="s">
        <v>61</v>
      </c>
      <c r="B11" s="212">
        <v>178632</v>
      </c>
      <c r="C11" s="212">
        <v>178817</v>
      </c>
      <c r="D11" s="212">
        <v>179002</v>
      </c>
      <c r="E11" s="212">
        <v>179158</v>
      </c>
      <c r="F11" s="212">
        <v>179338</v>
      </c>
      <c r="G11" s="212">
        <v>179514</v>
      </c>
      <c r="H11" s="212">
        <v>179680</v>
      </c>
      <c r="I11" s="212">
        <v>179858</v>
      </c>
      <c r="J11" s="212">
        <v>180036</v>
      </c>
      <c r="K11" s="212">
        <v>180205</v>
      </c>
      <c r="L11" s="212">
        <v>180384</v>
      </c>
      <c r="M11" s="212">
        <v>180563</v>
      </c>
      <c r="N11" s="212">
        <v>180748</v>
      </c>
      <c r="O11" s="212">
        <v>180918</v>
      </c>
      <c r="P11" s="212">
        <v>181095</v>
      </c>
      <c r="Q11" s="212">
        <v>181256</v>
      </c>
      <c r="R11" s="212">
        <v>181396</v>
      </c>
      <c r="S11" s="212">
        <v>181543</v>
      </c>
      <c r="T11" s="212">
        <v>181681</v>
      </c>
      <c r="U11" s="212">
        <v>181816</v>
      </c>
      <c r="V11" s="212">
        <v>181945</v>
      </c>
      <c r="W11" s="212">
        <v>182089</v>
      </c>
      <c r="X11" s="212">
        <v>182229</v>
      </c>
      <c r="Y11" s="212">
        <v>182376</v>
      </c>
      <c r="Z11" s="212">
        <v>182517</v>
      </c>
      <c r="AA11" s="212">
        <v>182656</v>
      </c>
      <c r="AB11" s="212">
        <v>182779</v>
      </c>
      <c r="AC11" s="212">
        <v>182878</v>
      </c>
      <c r="AD11" s="212">
        <v>183012</v>
      </c>
      <c r="AE11" s="212">
        <v>183158</v>
      </c>
      <c r="AF11" s="212">
        <v>183291</v>
      </c>
      <c r="AG11" s="287"/>
      <c r="AH11" s="287"/>
      <c r="AI11" s="212">
        <v>178447</v>
      </c>
      <c r="AJ11" s="318"/>
      <c r="AK11" s="318"/>
      <c r="AN11" s="288"/>
    </row>
    <row r="12" spans="1:40" s="294" customFormat="1" ht="18" customHeight="1">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293"/>
      <c r="AH12" s="293"/>
      <c r="AI12" s="162"/>
    </row>
    <row r="13" spans="1:40" ht="25.5">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81" t="s">
        <v>106</v>
      </c>
      <c r="AG13" s="296"/>
      <c r="AH13" s="296"/>
      <c r="AI13" s="181" t="s">
        <v>106</v>
      </c>
    </row>
    <row r="14" spans="1:40">
      <c r="A14" s="282" t="s">
        <v>66</v>
      </c>
      <c r="B14" s="182">
        <v>239772.24</v>
      </c>
      <c r="C14" s="182">
        <v>239772.24</v>
      </c>
      <c r="D14" s="182">
        <v>239772.24</v>
      </c>
      <c r="E14" s="182">
        <v>239772.24</v>
      </c>
      <c r="F14" s="182">
        <v>239772.24</v>
      </c>
      <c r="G14" s="182">
        <v>239772.24</v>
      </c>
      <c r="H14" s="182">
        <v>239772.24</v>
      </c>
      <c r="I14" s="182">
        <v>239772.24</v>
      </c>
      <c r="J14" s="182">
        <v>239772.24</v>
      </c>
      <c r="K14" s="182">
        <v>239772.24</v>
      </c>
      <c r="L14" s="182">
        <v>239772.24</v>
      </c>
      <c r="M14" s="182">
        <v>239772.24</v>
      </c>
      <c r="N14" s="182">
        <v>239772.24</v>
      </c>
      <c r="O14" s="182">
        <v>242225.09</v>
      </c>
      <c r="P14" s="182">
        <v>242225.09</v>
      </c>
      <c r="Q14" s="182">
        <v>242225.09</v>
      </c>
      <c r="R14" s="182">
        <v>242225.09</v>
      </c>
      <c r="S14" s="182">
        <v>242225.09</v>
      </c>
      <c r="T14" s="182">
        <v>242225.09</v>
      </c>
      <c r="U14" s="182">
        <v>242225.09</v>
      </c>
      <c r="V14" s="182">
        <v>244032.98</v>
      </c>
      <c r="W14" s="182">
        <v>244032.98</v>
      </c>
      <c r="X14" s="182">
        <v>244032.98</v>
      </c>
      <c r="Y14" s="182">
        <v>244032.98</v>
      </c>
      <c r="Z14" s="182">
        <v>244032.98</v>
      </c>
      <c r="AA14" s="182">
        <v>244032.98</v>
      </c>
      <c r="AB14" s="182">
        <v>244032.98</v>
      </c>
      <c r="AC14" s="182">
        <v>24554.959999999999</v>
      </c>
      <c r="AD14" s="182">
        <v>24554.959999999999</v>
      </c>
      <c r="AE14" s="182">
        <v>24554.959999999999</v>
      </c>
      <c r="AF14" s="182">
        <v>24554.959999999999</v>
      </c>
      <c r="AG14" s="319"/>
      <c r="AH14" s="319"/>
      <c r="AI14" s="182">
        <v>239772.24</v>
      </c>
    </row>
    <row r="15" spans="1:40" ht="25.5">
      <c r="A15" s="282" t="s">
        <v>67</v>
      </c>
      <c r="B15" s="183">
        <v>1335</v>
      </c>
      <c r="C15" s="183">
        <v>1335</v>
      </c>
      <c r="D15" s="183">
        <v>1335</v>
      </c>
      <c r="E15" s="183">
        <v>1335</v>
      </c>
      <c r="F15" s="183">
        <v>1335</v>
      </c>
      <c r="G15" s="183">
        <v>1335</v>
      </c>
      <c r="H15" s="183">
        <v>1335</v>
      </c>
      <c r="I15" s="183">
        <v>1335</v>
      </c>
      <c r="J15" s="183">
        <v>1335</v>
      </c>
      <c r="K15" s="183">
        <v>1335</v>
      </c>
      <c r="L15" s="183">
        <v>1335</v>
      </c>
      <c r="M15" s="183">
        <v>1335</v>
      </c>
      <c r="N15" s="183">
        <v>1335</v>
      </c>
      <c r="O15" s="183">
        <v>1390</v>
      </c>
      <c r="P15" s="183">
        <v>1390</v>
      </c>
      <c r="Q15" s="183">
        <v>1390</v>
      </c>
      <c r="R15" s="183">
        <v>1390</v>
      </c>
      <c r="S15" s="183">
        <v>1390</v>
      </c>
      <c r="T15" s="183">
        <v>1390</v>
      </c>
      <c r="U15" s="183">
        <v>1390</v>
      </c>
      <c r="V15" s="183">
        <v>1391</v>
      </c>
      <c r="W15" s="183">
        <v>1391</v>
      </c>
      <c r="X15" s="183">
        <v>1391</v>
      </c>
      <c r="Y15" s="183">
        <v>1391</v>
      </c>
      <c r="Z15" s="183">
        <v>1391</v>
      </c>
      <c r="AA15" s="183">
        <v>1391</v>
      </c>
      <c r="AB15" s="183">
        <v>1391</v>
      </c>
      <c r="AC15" s="183">
        <v>1402</v>
      </c>
      <c r="AD15" s="183">
        <v>1402</v>
      </c>
      <c r="AE15" s="183">
        <v>1402</v>
      </c>
      <c r="AF15" s="183">
        <v>1402</v>
      </c>
      <c r="AG15" s="320"/>
      <c r="AH15" s="320"/>
      <c r="AI15" s="183">
        <v>1335</v>
      </c>
    </row>
    <row r="16" spans="1:40" ht="25.5">
      <c r="A16" s="282" t="s">
        <v>68</v>
      </c>
      <c r="B16" s="183">
        <v>4590</v>
      </c>
      <c r="C16" s="183">
        <v>4590</v>
      </c>
      <c r="D16" s="183">
        <v>4590</v>
      </c>
      <c r="E16" s="183">
        <v>4590</v>
      </c>
      <c r="F16" s="183">
        <v>4590</v>
      </c>
      <c r="G16" s="183">
        <v>4590</v>
      </c>
      <c r="H16" s="183">
        <v>4590</v>
      </c>
      <c r="I16" s="183">
        <v>4590</v>
      </c>
      <c r="J16" s="183">
        <v>4590</v>
      </c>
      <c r="K16" s="183">
        <v>4590</v>
      </c>
      <c r="L16" s="183">
        <v>4590</v>
      </c>
      <c r="M16" s="183">
        <v>4590</v>
      </c>
      <c r="N16" s="183">
        <v>4590</v>
      </c>
      <c r="O16" s="183">
        <v>4590</v>
      </c>
      <c r="P16" s="183">
        <v>4590</v>
      </c>
      <c r="Q16" s="183">
        <v>4590</v>
      </c>
      <c r="R16" s="183">
        <v>4590</v>
      </c>
      <c r="S16" s="183">
        <v>4590</v>
      </c>
      <c r="T16" s="183">
        <v>4590</v>
      </c>
      <c r="U16" s="183">
        <v>4590</v>
      </c>
      <c r="V16" s="183">
        <v>4590</v>
      </c>
      <c r="W16" s="183">
        <v>4590</v>
      </c>
      <c r="X16" s="183">
        <v>4590</v>
      </c>
      <c r="Y16" s="183">
        <v>4590</v>
      </c>
      <c r="Z16" s="183">
        <v>4590</v>
      </c>
      <c r="AA16" s="183">
        <v>4590</v>
      </c>
      <c r="AB16" s="183">
        <v>4590</v>
      </c>
      <c r="AC16" s="183">
        <v>4590</v>
      </c>
      <c r="AD16" s="183">
        <v>4590</v>
      </c>
      <c r="AE16" s="183">
        <v>4590</v>
      </c>
      <c r="AF16" s="183">
        <v>4590</v>
      </c>
      <c r="AG16" s="320"/>
      <c r="AH16" s="320"/>
      <c r="AI16" s="183">
        <v>4590</v>
      </c>
    </row>
    <row r="17" spans="1:36" ht="20.100000000000001" customHeight="1">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304"/>
      <c r="AH17" s="304"/>
      <c r="AI17" s="162"/>
    </row>
    <row r="18" spans="1:36">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81" t="s">
        <v>106</v>
      </c>
      <c r="AG18" s="296"/>
      <c r="AH18" s="296"/>
      <c r="AI18" s="181" t="s">
        <v>106</v>
      </c>
    </row>
    <row r="19" spans="1:36" ht="25.5">
      <c r="A19" s="282" t="s">
        <v>70</v>
      </c>
      <c r="B19" s="186">
        <v>60739.4</v>
      </c>
      <c r="C19" s="186">
        <v>60751.1</v>
      </c>
      <c r="D19" s="186">
        <v>60807.7</v>
      </c>
      <c r="E19" s="186">
        <v>60859.9</v>
      </c>
      <c r="F19" s="186">
        <v>60904.1</v>
      </c>
      <c r="G19" s="186">
        <v>60948.1</v>
      </c>
      <c r="H19" s="186">
        <v>60967.1</v>
      </c>
      <c r="I19" s="186">
        <v>61015.3</v>
      </c>
      <c r="J19" s="186">
        <v>61059.4</v>
      </c>
      <c r="K19" s="186">
        <v>61109.7</v>
      </c>
      <c r="L19" s="186">
        <v>61154.7</v>
      </c>
      <c r="M19" s="186">
        <v>61192.1</v>
      </c>
      <c r="N19" s="186">
        <v>61243.1</v>
      </c>
      <c r="O19" s="186">
        <v>61276.9</v>
      </c>
      <c r="P19" s="186">
        <v>61353.2</v>
      </c>
      <c r="Q19" s="186">
        <v>61468.5</v>
      </c>
      <c r="R19" s="186">
        <v>61495.8</v>
      </c>
      <c r="S19" s="186">
        <v>61548.5</v>
      </c>
      <c r="T19" s="186">
        <v>61611.8</v>
      </c>
      <c r="U19" s="186">
        <v>61654.7</v>
      </c>
      <c r="V19" s="186">
        <v>61687.1</v>
      </c>
      <c r="W19" s="186">
        <v>61742.6</v>
      </c>
      <c r="X19" s="186">
        <v>61790.400000000001</v>
      </c>
      <c r="Y19" s="186">
        <v>61841.9</v>
      </c>
      <c r="Z19" s="186">
        <v>61905.7</v>
      </c>
      <c r="AA19" s="186">
        <v>61940.9</v>
      </c>
      <c r="AB19" s="186">
        <v>61989.3</v>
      </c>
      <c r="AC19" s="186">
        <v>62020.1</v>
      </c>
      <c r="AD19" s="186">
        <v>62066.8</v>
      </c>
      <c r="AE19" s="186">
        <v>62114.5</v>
      </c>
      <c r="AF19" s="186">
        <v>62158.3</v>
      </c>
      <c r="AG19" s="321"/>
      <c r="AH19" s="321"/>
      <c r="AI19" s="186">
        <v>60737.8</v>
      </c>
      <c r="AJ19" s="307"/>
    </row>
    <row r="20" spans="1:36" ht="25.5">
      <c r="A20" s="282" t="s">
        <v>71</v>
      </c>
      <c r="B20" s="183" t="s">
        <v>1490</v>
      </c>
      <c r="C20" s="183" t="s">
        <v>1490</v>
      </c>
      <c r="D20" s="183" t="s">
        <v>1490</v>
      </c>
      <c r="E20" s="183" t="s">
        <v>1490</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183" t="s">
        <v>1307</v>
      </c>
      <c r="AG20" s="209"/>
      <c r="AH20" s="209"/>
      <c r="AI20" s="183" t="s">
        <v>1490</v>
      </c>
      <c r="AJ20" s="307"/>
    </row>
    <row r="21" spans="1:36" ht="25.5">
      <c r="A21" s="282" t="s">
        <v>72</v>
      </c>
      <c r="B21" s="183">
        <v>84092</v>
      </c>
      <c r="C21" s="183">
        <v>84092</v>
      </c>
      <c r="D21" s="183">
        <v>84092</v>
      </c>
      <c r="E21" s="183">
        <v>84092</v>
      </c>
      <c r="F21" s="183">
        <v>84092</v>
      </c>
      <c r="G21" s="183">
        <v>84092</v>
      </c>
      <c r="H21" s="183">
        <v>85106</v>
      </c>
      <c r="I21" s="183">
        <v>85106</v>
      </c>
      <c r="J21" s="183">
        <v>85106</v>
      </c>
      <c r="K21" s="183">
        <v>85106</v>
      </c>
      <c r="L21" s="183">
        <v>85106</v>
      </c>
      <c r="M21" s="183">
        <v>85106</v>
      </c>
      <c r="N21" s="183">
        <v>85106</v>
      </c>
      <c r="O21" s="183">
        <v>86315</v>
      </c>
      <c r="P21" s="183">
        <v>86315</v>
      </c>
      <c r="Q21" s="183">
        <v>86315</v>
      </c>
      <c r="R21" s="183">
        <v>86315</v>
      </c>
      <c r="S21" s="183">
        <v>86315</v>
      </c>
      <c r="T21" s="183">
        <v>86315</v>
      </c>
      <c r="U21" s="183">
        <v>86315</v>
      </c>
      <c r="V21" s="183">
        <v>87903</v>
      </c>
      <c r="W21" s="183">
        <v>87903</v>
      </c>
      <c r="X21" s="183">
        <v>87903</v>
      </c>
      <c r="Y21" s="183">
        <v>87903</v>
      </c>
      <c r="Z21" s="183">
        <v>87903</v>
      </c>
      <c r="AA21" s="183">
        <v>87903</v>
      </c>
      <c r="AB21" s="183">
        <v>87903</v>
      </c>
      <c r="AC21" s="183">
        <v>89211</v>
      </c>
      <c r="AD21" s="183">
        <v>89211</v>
      </c>
      <c r="AE21" s="183">
        <v>89211</v>
      </c>
      <c r="AF21" s="183">
        <v>89211</v>
      </c>
      <c r="AG21" s="321"/>
      <c r="AH21" s="321"/>
      <c r="AI21" s="183">
        <v>84092</v>
      </c>
      <c r="AJ21" s="307"/>
    </row>
    <row r="22" spans="1:36" ht="25.5">
      <c r="A22" s="282" t="s">
        <v>73</v>
      </c>
      <c r="B22" s="183">
        <v>143682</v>
      </c>
      <c r="C22" s="183">
        <v>143761</v>
      </c>
      <c r="D22" s="183">
        <v>143827</v>
      </c>
      <c r="E22" s="183">
        <v>143898</v>
      </c>
      <c r="F22" s="183">
        <v>143980</v>
      </c>
      <c r="G22" s="183">
        <v>144062</v>
      </c>
      <c r="H22" s="183">
        <v>144150</v>
      </c>
      <c r="I22" s="183">
        <v>144247</v>
      </c>
      <c r="J22" s="183">
        <v>144347</v>
      </c>
      <c r="K22" s="183">
        <v>144442</v>
      </c>
      <c r="L22" s="183">
        <v>144534</v>
      </c>
      <c r="M22" s="183">
        <v>144642</v>
      </c>
      <c r="N22" s="183">
        <v>144739</v>
      </c>
      <c r="O22" s="183">
        <v>144829</v>
      </c>
      <c r="P22" s="183">
        <v>144917</v>
      </c>
      <c r="Q22" s="183">
        <v>145021</v>
      </c>
      <c r="R22" s="183">
        <v>145124</v>
      </c>
      <c r="S22" s="183">
        <v>145220</v>
      </c>
      <c r="T22" s="183">
        <v>145322</v>
      </c>
      <c r="U22" s="183">
        <v>145434</v>
      </c>
      <c r="V22" s="183">
        <v>145534</v>
      </c>
      <c r="W22" s="183">
        <v>145642</v>
      </c>
      <c r="X22" s="183">
        <v>145752</v>
      </c>
      <c r="Y22" s="183">
        <v>145861</v>
      </c>
      <c r="Z22" s="183">
        <v>145959</v>
      </c>
      <c r="AA22" s="183">
        <v>1466069</v>
      </c>
      <c r="AB22" s="183">
        <v>146169</v>
      </c>
      <c r="AC22" s="183">
        <v>146258</v>
      </c>
      <c r="AD22" s="183">
        <v>146362</v>
      </c>
      <c r="AE22" s="183">
        <v>146477</v>
      </c>
      <c r="AF22" s="183">
        <v>146591</v>
      </c>
      <c r="AG22" s="321">
        <f>AF22-AI22</f>
        <v>2970</v>
      </c>
      <c r="AH22" s="321"/>
      <c r="AI22" s="183">
        <v>143621</v>
      </c>
      <c r="AJ22" s="307"/>
    </row>
    <row r="23" spans="1:36">
      <c r="A23" s="309" t="s">
        <v>136</v>
      </c>
      <c r="B23" s="183">
        <v>3140</v>
      </c>
      <c r="C23" s="183">
        <v>3140</v>
      </c>
      <c r="D23" s="183">
        <v>3140</v>
      </c>
      <c r="E23" s="183">
        <v>3140</v>
      </c>
      <c r="F23" s="183">
        <v>3140</v>
      </c>
      <c r="G23" s="183">
        <v>3140</v>
      </c>
      <c r="H23" s="183">
        <v>3141</v>
      </c>
      <c r="I23" s="183">
        <v>3141</v>
      </c>
      <c r="J23" s="183">
        <v>3141</v>
      </c>
      <c r="K23" s="183">
        <v>3141</v>
      </c>
      <c r="L23" s="183">
        <v>3141</v>
      </c>
      <c r="M23" s="183">
        <v>3141</v>
      </c>
      <c r="N23" s="183">
        <v>3141</v>
      </c>
      <c r="O23" s="183">
        <v>3176</v>
      </c>
      <c r="P23" s="183">
        <v>3176</v>
      </c>
      <c r="Q23" s="183">
        <v>3176</v>
      </c>
      <c r="R23" s="183">
        <v>3176</v>
      </c>
      <c r="S23" s="183">
        <v>3176</v>
      </c>
      <c r="T23" s="183">
        <v>3176</v>
      </c>
      <c r="U23" s="183">
        <v>3176</v>
      </c>
      <c r="V23" s="183">
        <v>3226</v>
      </c>
      <c r="W23" s="183">
        <v>3226</v>
      </c>
      <c r="X23" s="183">
        <v>3226</v>
      </c>
      <c r="Y23" s="183">
        <v>3226</v>
      </c>
      <c r="Z23" s="183">
        <v>3226</v>
      </c>
      <c r="AA23" s="183">
        <v>3226</v>
      </c>
      <c r="AB23" s="183">
        <v>3226</v>
      </c>
      <c r="AC23" s="183">
        <v>3278</v>
      </c>
      <c r="AD23" s="183">
        <v>3278</v>
      </c>
      <c r="AE23" s="183">
        <v>3278</v>
      </c>
      <c r="AF23" s="183">
        <v>3278</v>
      </c>
      <c r="AG23" s="323">
        <f>AF23-B23</f>
        <v>138</v>
      </c>
      <c r="AH23" s="208">
        <v>138</v>
      </c>
      <c r="AI23" s="183">
        <v>3140</v>
      </c>
      <c r="AJ23" s="307"/>
    </row>
    <row r="24" spans="1:36">
      <c r="A24" s="309" t="s">
        <v>139</v>
      </c>
      <c r="B24" s="183">
        <v>3271</v>
      </c>
      <c r="C24" s="183">
        <v>3271</v>
      </c>
      <c r="D24" s="183">
        <v>3271</v>
      </c>
      <c r="E24" s="183">
        <v>3271</v>
      </c>
      <c r="F24" s="183">
        <v>3271</v>
      </c>
      <c r="G24" s="183">
        <v>3271</v>
      </c>
      <c r="H24" s="183">
        <v>3285</v>
      </c>
      <c r="I24" s="183">
        <v>3285</v>
      </c>
      <c r="J24" s="183">
        <v>3285</v>
      </c>
      <c r="K24" s="183">
        <v>3285</v>
      </c>
      <c r="L24" s="183">
        <v>3285</v>
      </c>
      <c r="M24" s="183">
        <v>3285</v>
      </c>
      <c r="N24" s="183">
        <v>3285</v>
      </c>
      <c r="O24" s="183">
        <v>3312</v>
      </c>
      <c r="P24" s="183">
        <v>3312</v>
      </c>
      <c r="Q24" s="183">
        <v>3312</v>
      </c>
      <c r="R24" s="183">
        <v>3312</v>
      </c>
      <c r="S24" s="183">
        <v>3312</v>
      </c>
      <c r="T24" s="183">
        <v>3312</v>
      </c>
      <c r="U24" s="183">
        <v>3312</v>
      </c>
      <c r="V24" s="183">
        <v>3348</v>
      </c>
      <c r="W24" s="183">
        <v>3348</v>
      </c>
      <c r="X24" s="183">
        <v>3348</v>
      </c>
      <c r="Y24" s="183">
        <v>3348</v>
      </c>
      <c r="Z24" s="183">
        <v>3348</v>
      </c>
      <c r="AA24" s="183">
        <v>3348</v>
      </c>
      <c r="AB24" s="183">
        <v>3348</v>
      </c>
      <c r="AC24" s="183">
        <v>3379</v>
      </c>
      <c r="AD24" s="183">
        <v>3379</v>
      </c>
      <c r="AE24" s="183">
        <v>3379</v>
      </c>
      <c r="AF24" s="183">
        <v>3379</v>
      </c>
      <c r="AG24" s="323">
        <f t="shared" ref="AG24:AG29" si="0">AF24-B24</f>
        <v>108</v>
      </c>
      <c r="AH24" s="208">
        <v>108</v>
      </c>
      <c r="AI24" s="183">
        <v>3271</v>
      </c>
      <c r="AJ24" s="307"/>
    </row>
    <row r="25" spans="1:36">
      <c r="A25" s="309" t="s">
        <v>142</v>
      </c>
      <c r="B25" s="183">
        <v>1239</v>
      </c>
      <c r="C25" s="183">
        <v>1239</v>
      </c>
      <c r="D25" s="183">
        <v>1239</v>
      </c>
      <c r="E25" s="183">
        <v>1239</v>
      </c>
      <c r="F25" s="183">
        <v>1239</v>
      </c>
      <c r="G25" s="183">
        <v>1239</v>
      </c>
      <c r="H25" s="183">
        <v>1239</v>
      </c>
      <c r="I25" s="183">
        <v>1239</v>
      </c>
      <c r="J25" s="183">
        <v>1239</v>
      </c>
      <c r="K25" s="183">
        <v>1239</v>
      </c>
      <c r="L25" s="183">
        <v>1239</v>
      </c>
      <c r="M25" s="183">
        <v>1239</v>
      </c>
      <c r="N25" s="183">
        <v>1239</v>
      </c>
      <c r="O25" s="183">
        <v>1252</v>
      </c>
      <c r="P25" s="183">
        <v>1252</v>
      </c>
      <c r="Q25" s="183">
        <v>1252</v>
      </c>
      <c r="R25" s="183">
        <v>1252</v>
      </c>
      <c r="S25" s="183">
        <v>1252</v>
      </c>
      <c r="T25" s="183">
        <v>1252</v>
      </c>
      <c r="U25" s="183">
        <v>1252</v>
      </c>
      <c r="V25" s="183">
        <v>1275</v>
      </c>
      <c r="W25" s="183">
        <v>1275</v>
      </c>
      <c r="X25" s="183">
        <v>1275</v>
      </c>
      <c r="Y25" s="183">
        <v>1275</v>
      </c>
      <c r="Z25" s="183">
        <v>1275</v>
      </c>
      <c r="AA25" s="183">
        <v>1275</v>
      </c>
      <c r="AB25" s="183">
        <v>1275</v>
      </c>
      <c r="AC25" s="183">
        <v>1295</v>
      </c>
      <c r="AD25" s="183">
        <v>1295</v>
      </c>
      <c r="AE25" s="183">
        <v>1295</v>
      </c>
      <c r="AF25" s="183">
        <v>1295</v>
      </c>
      <c r="AG25" s="323">
        <f t="shared" si="0"/>
        <v>56</v>
      </c>
      <c r="AH25" s="208">
        <v>56</v>
      </c>
      <c r="AI25" s="183">
        <v>1239</v>
      </c>
      <c r="AJ25" s="307"/>
    </row>
    <row r="26" spans="1:36">
      <c r="A26" s="309" t="s">
        <v>145</v>
      </c>
      <c r="B26" s="183">
        <v>177</v>
      </c>
      <c r="C26" s="183">
        <v>177</v>
      </c>
      <c r="D26" s="183">
        <v>177</v>
      </c>
      <c r="E26" s="183">
        <v>177</v>
      </c>
      <c r="F26" s="183">
        <v>177</v>
      </c>
      <c r="G26" s="183">
        <v>177</v>
      </c>
      <c r="H26" s="183">
        <v>186</v>
      </c>
      <c r="I26" s="183">
        <v>186</v>
      </c>
      <c r="J26" s="183">
        <v>186</v>
      </c>
      <c r="K26" s="183">
        <v>186</v>
      </c>
      <c r="L26" s="183">
        <v>186</v>
      </c>
      <c r="M26" s="183">
        <v>186</v>
      </c>
      <c r="N26" s="183">
        <v>186</v>
      </c>
      <c r="O26" s="183">
        <v>193</v>
      </c>
      <c r="P26" s="183">
        <v>193</v>
      </c>
      <c r="Q26" s="183">
        <v>193</v>
      </c>
      <c r="R26" s="183">
        <v>193</v>
      </c>
      <c r="S26" s="183">
        <v>193</v>
      </c>
      <c r="T26" s="183">
        <v>193</v>
      </c>
      <c r="U26" s="183">
        <v>193</v>
      </c>
      <c r="V26" s="183">
        <v>197</v>
      </c>
      <c r="W26" s="183">
        <v>197</v>
      </c>
      <c r="X26" s="183">
        <v>197</v>
      </c>
      <c r="Y26" s="183">
        <v>197</v>
      </c>
      <c r="Z26" s="183">
        <v>197</v>
      </c>
      <c r="AA26" s="183">
        <v>197</v>
      </c>
      <c r="AB26" s="183">
        <v>197</v>
      </c>
      <c r="AC26" s="183">
        <v>207</v>
      </c>
      <c r="AD26" s="183">
        <v>207</v>
      </c>
      <c r="AE26" s="183">
        <v>207</v>
      </c>
      <c r="AF26" s="183">
        <v>207</v>
      </c>
      <c r="AG26" s="323">
        <f t="shared" si="0"/>
        <v>30</v>
      </c>
      <c r="AH26" s="208">
        <v>30</v>
      </c>
      <c r="AI26" s="183">
        <v>177</v>
      </c>
      <c r="AJ26" s="307"/>
    </row>
    <row r="27" spans="1:36">
      <c r="A27" s="309" t="s">
        <v>148</v>
      </c>
      <c r="B27" s="183">
        <v>3636</v>
      </c>
      <c r="C27" s="183">
        <v>3636</v>
      </c>
      <c r="D27" s="183">
        <v>3636</v>
      </c>
      <c r="E27" s="183">
        <v>3636</v>
      </c>
      <c r="F27" s="183">
        <v>3636</v>
      </c>
      <c r="G27" s="183">
        <v>3636</v>
      </c>
      <c r="H27" s="183">
        <v>3637</v>
      </c>
      <c r="I27" s="183">
        <v>3637</v>
      </c>
      <c r="J27" s="183">
        <v>3637</v>
      </c>
      <c r="K27" s="183">
        <v>3637</v>
      </c>
      <c r="L27" s="183">
        <v>3637</v>
      </c>
      <c r="M27" s="183">
        <v>3637</v>
      </c>
      <c r="N27" s="183">
        <v>3637</v>
      </c>
      <c r="O27" s="183">
        <v>3710</v>
      </c>
      <c r="P27" s="183">
        <v>3710</v>
      </c>
      <c r="Q27" s="183">
        <v>3710</v>
      </c>
      <c r="R27" s="183">
        <v>3710</v>
      </c>
      <c r="S27" s="183">
        <v>3710</v>
      </c>
      <c r="T27" s="183">
        <v>3710</v>
      </c>
      <c r="U27" s="183">
        <v>3710</v>
      </c>
      <c r="V27" s="183">
        <v>3754</v>
      </c>
      <c r="W27" s="183">
        <v>3754</v>
      </c>
      <c r="X27" s="183">
        <v>3754</v>
      </c>
      <c r="Y27" s="183">
        <v>3754</v>
      </c>
      <c r="Z27" s="183">
        <v>3754</v>
      </c>
      <c r="AA27" s="183">
        <v>3754</v>
      </c>
      <c r="AB27" s="183">
        <v>3754</v>
      </c>
      <c r="AC27" s="183">
        <v>3808</v>
      </c>
      <c r="AD27" s="183">
        <v>3808</v>
      </c>
      <c r="AE27" s="183">
        <v>3808</v>
      </c>
      <c r="AF27" s="183">
        <v>3808</v>
      </c>
      <c r="AG27" s="323">
        <f t="shared" si="0"/>
        <v>172</v>
      </c>
      <c r="AH27" s="208">
        <v>172</v>
      </c>
      <c r="AI27" s="183">
        <v>3636</v>
      </c>
      <c r="AJ27" s="307"/>
    </row>
    <row r="28" spans="1:36">
      <c r="A28" s="309" t="s">
        <v>151</v>
      </c>
      <c r="B28" s="183">
        <v>734</v>
      </c>
      <c r="C28" s="183">
        <v>734</v>
      </c>
      <c r="D28" s="183">
        <v>734</v>
      </c>
      <c r="E28" s="183">
        <v>734</v>
      </c>
      <c r="F28" s="183">
        <v>734</v>
      </c>
      <c r="G28" s="183">
        <v>734</v>
      </c>
      <c r="H28" s="183">
        <v>741</v>
      </c>
      <c r="I28" s="183">
        <v>741</v>
      </c>
      <c r="J28" s="183">
        <v>741</v>
      </c>
      <c r="K28" s="183">
        <v>741</v>
      </c>
      <c r="L28" s="183">
        <v>741</v>
      </c>
      <c r="M28" s="183">
        <v>741</v>
      </c>
      <c r="N28" s="183">
        <v>741</v>
      </c>
      <c r="O28" s="183">
        <v>751</v>
      </c>
      <c r="P28" s="183">
        <v>751</v>
      </c>
      <c r="Q28" s="183">
        <v>751</v>
      </c>
      <c r="R28" s="183">
        <v>751</v>
      </c>
      <c r="S28" s="183">
        <v>751</v>
      </c>
      <c r="T28" s="183">
        <v>751</v>
      </c>
      <c r="U28" s="183">
        <v>751</v>
      </c>
      <c r="V28" s="183">
        <v>767</v>
      </c>
      <c r="W28" s="183">
        <v>767</v>
      </c>
      <c r="X28" s="183">
        <v>767</v>
      </c>
      <c r="Y28" s="183">
        <v>767</v>
      </c>
      <c r="Z28" s="183">
        <v>767</v>
      </c>
      <c r="AA28" s="183">
        <v>767</v>
      </c>
      <c r="AB28" s="183">
        <v>767</v>
      </c>
      <c r="AC28" s="183">
        <v>779</v>
      </c>
      <c r="AD28" s="183">
        <v>779</v>
      </c>
      <c r="AE28" s="183">
        <v>779</v>
      </c>
      <c r="AF28" s="183">
        <v>779</v>
      </c>
      <c r="AG28" s="323">
        <f t="shared" si="0"/>
        <v>45</v>
      </c>
      <c r="AH28" s="208">
        <v>45</v>
      </c>
      <c r="AI28" s="183">
        <v>734</v>
      </c>
      <c r="AJ28" s="307"/>
    </row>
    <row r="29" spans="1:36">
      <c r="A29" s="309" t="s">
        <v>154</v>
      </c>
      <c r="B29" s="183">
        <v>325</v>
      </c>
      <c r="C29" s="183">
        <v>325</v>
      </c>
      <c r="D29" s="183">
        <v>325</v>
      </c>
      <c r="E29" s="183">
        <v>325</v>
      </c>
      <c r="F29" s="183">
        <v>325</v>
      </c>
      <c r="G29" s="183">
        <v>325</v>
      </c>
      <c r="H29" s="183">
        <v>330</v>
      </c>
      <c r="I29" s="183">
        <v>330</v>
      </c>
      <c r="J29" s="183">
        <v>330</v>
      </c>
      <c r="K29" s="183">
        <v>330</v>
      </c>
      <c r="L29" s="183">
        <v>330</v>
      </c>
      <c r="M29" s="183">
        <v>330</v>
      </c>
      <c r="N29" s="183">
        <v>330</v>
      </c>
      <c r="O29" s="183">
        <v>336</v>
      </c>
      <c r="P29" s="183">
        <v>336</v>
      </c>
      <c r="Q29" s="183">
        <v>336</v>
      </c>
      <c r="R29" s="183">
        <v>336</v>
      </c>
      <c r="S29" s="183">
        <v>336</v>
      </c>
      <c r="T29" s="183">
        <v>336</v>
      </c>
      <c r="U29" s="183">
        <v>336</v>
      </c>
      <c r="V29" s="183">
        <v>343</v>
      </c>
      <c r="W29" s="183">
        <v>343</v>
      </c>
      <c r="X29" s="183">
        <v>343</v>
      </c>
      <c r="Y29" s="183">
        <v>343</v>
      </c>
      <c r="Z29" s="183">
        <v>343</v>
      </c>
      <c r="AA29" s="183">
        <v>343</v>
      </c>
      <c r="AB29" s="183">
        <v>343</v>
      </c>
      <c r="AC29" s="183">
        <v>351</v>
      </c>
      <c r="AD29" s="183">
        <v>351</v>
      </c>
      <c r="AE29" s="183">
        <v>351</v>
      </c>
      <c r="AF29" s="183">
        <v>351</v>
      </c>
      <c r="AG29" s="323">
        <f t="shared" si="0"/>
        <v>26</v>
      </c>
      <c r="AH29" s="208">
        <v>26</v>
      </c>
      <c r="AI29" s="183">
        <v>325</v>
      </c>
      <c r="AJ29" s="307"/>
    </row>
    <row r="30" spans="1:36">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304"/>
      <c r="AH30" s="304"/>
      <c r="AI30" s="162"/>
      <c r="AJ30" s="307"/>
    </row>
    <row r="31" spans="1:36">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81" t="s">
        <v>157</v>
      </c>
      <c r="AG31" s="296"/>
      <c r="AH31" s="296"/>
      <c r="AI31" s="181" t="s">
        <v>157</v>
      </c>
      <c r="AJ31" s="307"/>
    </row>
    <row r="32" spans="1:36" ht="25.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190" t="s">
        <v>78</v>
      </c>
      <c r="AG32" s="209"/>
      <c r="AH32" s="209"/>
      <c r="AI32" s="190" t="s">
        <v>78</v>
      </c>
      <c r="AJ32" s="307"/>
    </row>
    <row r="33" spans="1:36" ht="25.5">
      <c r="A33" s="282" t="s">
        <v>80</v>
      </c>
      <c r="B33" s="187" t="s">
        <v>1394</v>
      </c>
      <c r="C33" s="187" t="s">
        <v>1394</v>
      </c>
      <c r="D33" s="187" t="s">
        <v>1394</v>
      </c>
      <c r="E33" s="187" t="s">
        <v>640</v>
      </c>
      <c r="F33" s="187" t="s">
        <v>1393</v>
      </c>
      <c r="G33" s="187" t="s">
        <v>1497</v>
      </c>
      <c r="H33" s="187" t="s">
        <v>639</v>
      </c>
      <c r="I33" s="187" t="s">
        <v>639</v>
      </c>
      <c r="J33" s="187" t="s">
        <v>1498</v>
      </c>
      <c r="K33" s="187" t="s">
        <v>1415</v>
      </c>
      <c r="L33" s="187" t="s">
        <v>1414</v>
      </c>
      <c r="M33" s="187" t="s">
        <v>1414</v>
      </c>
      <c r="N33" s="187" t="s">
        <v>1499</v>
      </c>
      <c r="O33" s="187" t="s">
        <v>635</v>
      </c>
      <c r="P33" s="187" t="s">
        <v>1413</v>
      </c>
      <c r="Q33" s="187" t="s">
        <v>1412</v>
      </c>
      <c r="R33" s="187" t="s">
        <v>1412</v>
      </c>
      <c r="S33" s="187" t="s">
        <v>1412</v>
      </c>
      <c r="T33" s="187" t="s">
        <v>1500</v>
      </c>
      <c r="U33" s="187" t="s">
        <v>632</v>
      </c>
      <c r="V33" s="187" t="s">
        <v>1501</v>
      </c>
      <c r="W33" s="187" t="s">
        <v>631</v>
      </c>
      <c r="X33" s="187" t="s">
        <v>631</v>
      </c>
      <c r="Y33" s="187" t="s">
        <v>1502</v>
      </c>
      <c r="Z33" s="187" t="s">
        <v>1409</v>
      </c>
      <c r="AA33" s="187" t="s">
        <v>629</v>
      </c>
      <c r="AB33" s="187" t="s">
        <v>629</v>
      </c>
      <c r="AC33" s="187" t="s">
        <v>1408</v>
      </c>
      <c r="AD33" s="187" t="s">
        <v>627</v>
      </c>
      <c r="AE33" s="187" t="s">
        <v>627</v>
      </c>
      <c r="AF33" s="187" t="s">
        <v>627</v>
      </c>
      <c r="AG33" s="209"/>
      <c r="AH33" s="209"/>
      <c r="AI33" s="187" t="s">
        <v>1395</v>
      </c>
      <c r="AJ33" s="307"/>
    </row>
    <row r="34" spans="1:36" ht="15.75" thickBot="1">
      <c r="A34" s="310" t="s">
        <v>81</v>
      </c>
      <c r="B34" s="187" t="s">
        <v>1329</v>
      </c>
      <c r="C34" s="187" t="s">
        <v>1329</v>
      </c>
      <c r="D34" s="187" t="s">
        <v>1329</v>
      </c>
      <c r="E34" s="187" t="s">
        <v>1329</v>
      </c>
      <c r="F34" s="187" t="s">
        <v>1329</v>
      </c>
      <c r="G34" s="187" t="s">
        <v>1329</v>
      </c>
      <c r="H34" s="187" t="s">
        <v>1329</v>
      </c>
      <c r="I34" s="187" t="s">
        <v>1329</v>
      </c>
      <c r="J34" s="187" t="s">
        <v>1329</v>
      </c>
      <c r="K34" s="187" t="s">
        <v>1329</v>
      </c>
      <c r="L34" s="187" t="s">
        <v>1329</v>
      </c>
      <c r="M34" s="187" t="s">
        <v>1329</v>
      </c>
      <c r="N34" s="187" t="s">
        <v>1329</v>
      </c>
      <c r="O34" s="187" t="s">
        <v>1329</v>
      </c>
      <c r="P34" s="187" t="s">
        <v>1329</v>
      </c>
      <c r="Q34" s="187" t="s">
        <v>1329</v>
      </c>
      <c r="R34" s="187" t="s">
        <v>1329</v>
      </c>
      <c r="S34" s="187" t="s">
        <v>1329</v>
      </c>
      <c r="T34" s="187" t="s">
        <v>1329</v>
      </c>
      <c r="U34" s="187" t="s">
        <v>1329</v>
      </c>
      <c r="V34" s="187" t="s">
        <v>1329</v>
      </c>
      <c r="W34" s="187" t="s">
        <v>1329</v>
      </c>
      <c r="X34" s="187" t="s">
        <v>1329</v>
      </c>
      <c r="Y34" s="187" t="s">
        <v>1329</v>
      </c>
      <c r="Z34" s="187" t="s">
        <v>1329</v>
      </c>
      <c r="AA34" s="187" t="s">
        <v>1329</v>
      </c>
      <c r="AB34" s="187" t="s">
        <v>1329</v>
      </c>
      <c r="AC34" s="187" t="s">
        <v>1329</v>
      </c>
      <c r="AD34" s="187" t="s">
        <v>1329</v>
      </c>
      <c r="AE34" s="187" t="s">
        <v>1329</v>
      </c>
      <c r="AF34" s="187" t="s">
        <v>1329</v>
      </c>
      <c r="AG34" s="209"/>
      <c r="AH34" s="209"/>
      <c r="AI34" s="187" t="s">
        <v>1329</v>
      </c>
      <c r="AJ34" s="307"/>
    </row>
    <row r="35" spans="1:36">
      <c r="AG35" s="211"/>
      <c r="AH35" s="211"/>
    </row>
    <row r="36" spans="1:36">
      <c r="AG36" s="211"/>
      <c r="AH36" s="211"/>
    </row>
  </sheetData>
  <mergeCells count="1">
    <mergeCell ref="A1:AI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5B13-7409-42CE-9325-13FB31491DDF}">
  <dimension ref="A1:AM36"/>
  <sheetViews>
    <sheetView topLeftCell="K16" workbookViewId="0">
      <selection activeCell="AF23" sqref="AF23"/>
    </sheetView>
  </sheetViews>
  <sheetFormatPr defaultRowHeight="15"/>
  <sheetData>
    <row r="1" spans="1:39"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9" ht="15.75">
      <c r="A2" s="280"/>
      <c r="B2" s="281">
        <v>44713</v>
      </c>
      <c r="C2" s="281">
        <v>44714</v>
      </c>
      <c r="D2" s="281">
        <v>44715</v>
      </c>
      <c r="E2" s="281">
        <v>44716</v>
      </c>
      <c r="F2" s="281">
        <v>44717</v>
      </c>
      <c r="G2" s="281">
        <v>44718</v>
      </c>
      <c r="H2" s="281">
        <v>44719</v>
      </c>
      <c r="I2" s="281">
        <v>44720</v>
      </c>
      <c r="J2" s="281">
        <v>44721</v>
      </c>
      <c r="K2" s="281">
        <v>44722</v>
      </c>
      <c r="L2" s="281">
        <v>44723</v>
      </c>
      <c r="M2" s="281">
        <v>44724</v>
      </c>
      <c r="N2" s="281">
        <v>44725</v>
      </c>
      <c r="O2" s="281">
        <v>44726</v>
      </c>
      <c r="P2" s="281">
        <v>44727</v>
      </c>
      <c r="Q2" s="281">
        <v>44728</v>
      </c>
      <c r="R2" s="281">
        <v>44729</v>
      </c>
      <c r="S2" s="281">
        <v>44730</v>
      </c>
      <c r="T2" s="281">
        <v>44731</v>
      </c>
      <c r="U2" s="281">
        <v>44732</v>
      </c>
      <c r="V2" s="281">
        <v>44733</v>
      </c>
      <c r="W2" s="281">
        <v>44734</v>
      </c>
      <c r="X2" s="281">
        <v>44735</v>
      </c>
      <c r="Y2" s="281">
        <v>44736</v>
      </c>
      <c r="Z2" s="281">
        <v>44737</v>
      </c>
      <c r="AA2" s="281">
        <v>44738</v>
      </c>
      <c r="AB2" s="281">
        <v>44739</v>
      </c>
      <c r="AC2" s="281">
        <v>44740</v>
      </c>
      <c r="AD2" s="281">
        <v>44741</v>
      </c>
      <c r="AE2" s="281">
        <v>44742</v>
      </c>
      <c r="AF2" s="281"/>
      <c r="AG2" s="281"/>
      <c r="AH2" s="281">
        <v>44712</v>
      </c>
    </row>
    <row r="3" spans="1:39" ht="5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71"/>
      <c r="AG3" s="317"/>
      <c r="AH3" s="283" t="s">
        <v>53</v>
      </c>
    </row>
    <row r="4" spans="1:39">
      <c r="A4" s="285" t="s">
        <v>54</v>
      </c>
      <c r="B4" s="212">
        <v>232351</v>
      </c>
      <c r="C4" s="212">
        <v>232562</v>
      </c>
      <c r="D4" s="212">
        <v>232775</v>
      </c>
      <c r="E4" s="212">
        <v>232970</v>
      </c>
      <c r="F4" s="212">
        <v>233182</v>
      </c>
      <c r="G4" s="212">
        <v>233396</v>
      </c>
      <c r="H4" s="212">
        <v>233614</v>
      </c>
      <c r="I4" s="212">
        <v>233832</v>
      </c>
      <c r="J4" s="212">
        <v>234055</v>
      </c>
      <c r="K4" s="212">
        <v>234273</v>
      </c>
      <c r="L4" s="212">
        <v>234480</v>
      </c>
      <c r="M4" s="212">
        <v>234696</v>
      </c>
      <c r="N4" s="212">
        <v>234921</v>
      </c>
      <c r="O4" s="212">
        <v>235138</v>
      </c>
      <c r="P4" s="212">
        <v>235359</v>
      </c>
      <c r="Q4" s="212">
        <v>235578</v>
      </c>
      <c r="R4" s="212">
        <v>235797</v>
      </c>
      <c r="S4" s="212">
        <v>236002</v>
      </c>
      <c r="T4" s="212">
        <v>236210</v>
      </c>
      <c r="U4" s="212">
        <v>236434</v>
      </c>
      <c r="V4" s="212">
        <v>236656</v>
      </c>
      <c r="W4" s="212">
        <v>236885</v>
      </c>
      <c r="X4" s="212">
        <v>237108</v>
      </c>
      <c r="Y4" s="212">
        <v>237327</v>
      </c>
      <c r="Z4" s="212">
        <v>237541</v>
      </c>
      <c r="AA4" s="212">
        <v>237769</v>
      </c>
      <c r="AB4" s="212">
        <v>237998</v>
      </c>
      <c r="AC4" s="212">
        <v>238221</v>
      </c>
      <c r="AD4" s="212">
        <v>238446</v>
      </c>
      <c r="AE4" s="212">
        <v>238666</v>
      </c>
      <c r="AF4" s="287"/>
      <c r="AG4" s="287"/>
      <c r="AH4" s="212">
        <v>232135</v>
      </c>
      <c r="AI4" s="318"/>
      <c r="AJ4" s="318"/>
      <c r="AM4" s="288"/>
    </row>
    <row r="5" spans="1:39">
      <c r="A5" s="285" t="s">
        <v>55</v>
      </c>
      <c r="B5" s="212">
        <v>6011113</v>
      </c>
      <c r="C5" s="212">
        <v>6018346</v>
      </c>
      <c r="D5" s="212">
        <v>6025367</v>
      </c>
      <c r="E5" s="212">
        <v>6031379</v>
      </c>
      <c r="F5" s="212">
        <v>6038610</v>
      </c>
      <c r="G5" s="212">
        <v>6045938</v>
      </c>
      <c r="H5" s="212">
        <v>6053346</v>
      </c>
      <c r="I5" s="212">
        <v>6060754</v>
      </c>
      <c r="J5" s="212">
        <v>6068043</v>
      </c>
      <c r="K5" s="212">
        <v>6075061</v>
      </c>
      <c r="L5" s="212">
        <v>6081697</v>
      </c>
      <c r="M5" s="212">
        <v>6088629</v>
      </c>
      <c r="N5" s="212">
        <v>6096240</v>
      </c>
      <c r="O5" s="212">
        <v>6103168</v>
      </c>
      <c r="P5" s="212">
        <v>6110323</v>
      </c>
      <c r="Q5" s="212">
        <v>6117422</v>
      </c>
      <c r="R5" s="212">
        <v>6124654</v>
      </c>
      <c r="S5" s="212">
        <v>6131269</v>
      </c>
      <c r="T5" s="212">
        <v>6138157</v>
      </c>
      <c r="U5" s="212">
        <v>6145609</v>
      </c>
      <c r="V5" s="212">
        <v>6152965</v>
      </c>
      <c r="W5" s="212">
        <v>6160622</v>
      </c>
      <c r="X5" s="212">
        <v>6168214</v>
      </c>
      <c r="Y5" s="212">
        <v>6175386</v>
      </c>
      <c r="Z5" s="212">
        <v>6182170</v>
      </c>
      <c r="AA5" s="212">
        <v>6189318</v>
      </c>
      <c r="AB5" s="212">
        <v>6196901</v>
      </c>
      <c r="AC5" s="212">
        <v>6204252</v>
      </c>
      <c r="AD5" s="212">
        <v>6211592</v>
      </c>
      <c r="AE5" s="212">
        <v>6219224</v>
      </c>
      <c r="AF5" s="287"/>
      <c r="AG5" s="287"/>
      <c r="AH5" s="212">
        <v>6003897</v>
      </c>
      <c r="AI5" s="318"/>
      <c r="AJ5" s="318"/>
      <c r="AM5" s="288"/>
    </row>
    <row r="6" spans="1:39">
      <c r="A6" s="285" t="s">
        <v>56</v>
      </c>
      <c r="B6" s="212">
        <v>2920533</v>
      </c>
      <c r="C6" s="212">
        <v>2924068</v>
      </c>
      <c r="D6" s="212">
        <v>2928014</v>
      </c>
      <c r="E6" s="212">
        <v>2931242</v>
      </c>
      <c r="F6" s="212">
        <v>2934609</v>
      </c>
      <c r="G6" s="212">
        <v>2938125</v>
      </c>
      <c r="H6" s="212">
        <v>2941678</v>
      </c>
      <c r="I6" s="212">
        <v>2945231</v>
      </c>
      <c r="J6" s="212">
        <v>2949065</v>
      </c>
      <c r="K6" s="212">
        <v>2952526</v>
      </c>
      <c r="L6" s="212">
        <v>2955694</v>
      </c>
      <c r="M6" s="212">
        <v>2959239</v>
      </c>
      <c r="N6" s="212">
        <v>2963029</v>
      </c>
      <c r="O6" s="212">
        <v>2966713</v>
      </c>
      <c r="P6" s="212">
        <v>2970379</v>
      </c>
      <c r="Q6" s="212">
        <v>2974072</v>
      </c>
      <c r="R6" s="212">
        <v>2977550</v>
      </c>
      <c r="S6" s="212">
        <v>2980714</v>
      </c>
      <c r="T6" s="212">
        <v>2983988</v>
      </c>
      <c r="U6" s="212">
        <v>2987512</v>
      </c>
      <c r="V6" s="212">
        <v>2991075</v>
      </c>
      <c r="W6" s="212">
        <v>2994929</v>
      </c>
      <c r="X6" s="212">
        <v>2998425</v>
      </c>
      <c r="Y6" s="212">
        <v>3001774</v>
      </c>
      <c r="Z6" s="212">
        <v>3004930</v>
      </c>
      <c r="AA6" s="212">
        <v>3008291</v>
      </c>
      <c r="AB6" s="212">
        <v>3011808</v>
      </c>
      <c r="AC6" s="212">
        <v>3015277</v>
      </c>
      <c r="AD6" s="212">
        <v>3018723</v>
      </c>
      <c r="AE6" s="212">
        <v>3022204</v>
      </c>
      <c r="AF6" s="287"/>
      <c r="AG6" s="287"/>
      <c r="AH6" s="212">
        <v>2916892</v>
      </c>
      <c r="AI6" s="318"/>
      <c r="AJ6" s="318"/>
      <c r="AM6" s="288"/>
    </row>
    <row r="7" spans="1:39">
      <c r="A7" s="285" t="s">
        <v>57</v>
      </c>
      <c r="B7" s="212">
        <v>7211783</v>
      </c>
      <c r="C7" s="212">
        <v>7218309</v>
      </c>
      <c r="D7" s="212">
        <v>7223729</v>
      </c>
      <c r="E7" s="212">
        <v>7230370</v>
      </c>
      <c r="F7" s="212">
        <v>7243007</v>
      </c>
      <c r="G7" s="212">
        <v>7255499</v>
      </c>
      <c r="H7" s="212">
        <v>7268486</v>
      </c>
      <c r="I7" s="212">
        <v>7281473</v>
      </c>
      <c r="J7" s="212">
        <v>7291239</v>
      </c>
      <c r="K7" s="212">
        <v>7302034</v>
      </c>
      <c r="L7" s="212">
        <v>7313788</v>
      </c>
      <c r="M7" s="212">
        <v>7320543</v>
      </c>
      <c r="N7" s="212">
        <v>7327706</v>
      </c>
      <c r="O7" s="212">
        <v>7335280</v>
      </c>
      <c r="P7" s="212">
        <v>7342836</v>
      </c>
      <c r="Q7" s="212">
        <v>7349875</v>
      </c>
      <c r="R7" s="212">
        <v>7356673</v>
      </c>
      <c r="S7" s="212">
        <v>7362245</v>
      </c>
      <c r="T7" s="212">
        <v>7362320</v>
      </c>
      <c r="U7" s="212">
        <v>7362394</v>
      </c>
      <c r="V7" s="212">
        <v>7362470</v>
      </c>
      <c r="W7" s="212">
        <v>7362548</v>
      </c>
      <c r="X7" s="212">
        <v>7362626</v>
      </c>
      <c r="Y7" s="212">
        <v>7362703</v>
      </c>
      <c r="Z7" s="212">
        <v>7363731</v>
      </c>
      <c r="AA7" s="212">
        <v>7370902</v>
      </c>
      <c r="AB7" s="212">
        <v>7378073</v>
      </c>
      <c r="AC7" s="212">
        <v>7385018</v>
      </c>
      <c r="AD7" s="212">
        <v>7392013</v>
      </c>
      <c r="AE7" s="212">
        <v>7399265</v>
      </c>
      <c r="AF7" s="287"/>
      <c r="AG7" s="287"/>
      <c r="AH7" s="212">
        <v>7205366</v>
      </c>
      <c r="AI7" s="318"/>
      <c r="AJ7" s="318"/>
      <c r="AM7" s="288"/>
    </row>
    <row r="8" spans="1:39">
      <c r="A8" s="285" t="s">
        <v>58</v>
      </c>
      <c r="B8" s="212">
        <v>2349901</v>
      </c>
      <c r="C8" s="212">
        <v>2351937</v>
      </c>
      <c r="D8" s="212">
        <v>2353637</v>
      </c>
      <c r="E8" s="212">
        <v>2355230</v>
      </c>
      <c r="F8" s="212">
        <v>2355230</v>
      </c>
      <c r="G8" s="212">
        <v>2355230</v>
      </c>
      <c r="H8" s="212">
        <v>2355230</v>
      </c>
      <c r="I8" s="212">
        <v>2355230</v>
      </c>
      <c r="J8" s="212">
        <v>2356543</v>
      </c>
      <c r="K8" s="212">
        <v>2357155</v>
      </c>
      <c r="L8" s="212">
        <v>2357424</v>
      </c>
      <c r="M8" s="212">
        <v>2359559</v>
      </c>
      <c r="N8" s="212">
        <v>2361821</v>
      </c>
      <c r="O8" s="212">
        <v>2364192</v>
      </c>
      <c r="P8" s="212">
        <v>2366580</v>
      </c>
      <c r="Q8" s="212">
        <v>2368797</v>
      </c>
      <c r="R8" s="212">
        <v>2370938</v>
      </c>
      <c r="S8" s="212">
        <v>2373301</v>
      </c>
      <c r="T8" s="212">
        <v>2377718</v>
      </c>
      <c r="U8" s="212">
        <v>2382342</v>
      </c>
      <c r="V8" s="212">
        <v>2386864</v>
      </c>
      <c r="W8" s="212">
        <v>2391479</v>
      </c>
      <c r="X8" s="212">
        <v>2396521</v>
      </c>
      <c r="Y8" s="212">
        <v>2401920</v>
      </c>
      <c r="Z8" s="212">
        <v>2406699</v>
      </c>
      <c r="AA8" s="212">
        <v>2408915</v>
      </c>
      <c r="AB8" s="212">
        <v>2411142</v>
      </c>
      <c r="AC8" s="212">
        <v>2413310</v>
      </c>
      <c r="AD8" s="212">
        <v>2415451</v>
      </c>
      <c r="AE8" s="212">
        <v>2417664</v>
      </c>
      <c r="AF8" s="287"/>
      <c r="AG8" s="287"/>
      <c r="AH8" s="212">
        <v>2347897</v>
      </c>
      <c r="AI8" s="318"/>
      <c r="AJ8" s="318"/>
      <c r="AM8" s="288"/>
    </row>
    <row r="9" spans="1:39">
      <c r="A9" s="285" t="s">
        <v>59</v>
      </c>
      <c r="B9" s="214">
        <v>15328566</v>
      </c>
      <c r="C9" s="214">
        <v>15341072</v>
      </c>
      <c r="D9" s="214">
        <v>15351304</v>
      </c>
      <c r="E9" s="214">
        <v>15362935</v>
      </c>
      <c r="F9" s="214">
        <v>15375372</v>
      </c>
      <c r="G9" s="214">
        <v>15387966</v>
      </c>
      <c r="H9" s="214">
        <v>15400908</v>
      </c>
      <c r="I9" s="214">
        <v>15413850</v>
      </c>
      <c r="J9" s="214">
        <v>15426883</v>
      </c>
      <c r="K9" s="214">
        <v>15439195</v>
      </c>
      <c r="L9" s="214">
        <v>15451249</v>
      </c>
      <c r="M9" s="214">
        <v>15463746</v>
      </c>
      <c r="N9" s="214">
        <v>15476847</v>
      </c>
      <c r="O9" s="214">
        <v>15490146</v>
      </c>
      <c r="P9" s="214">
        <v>15503653</v>
      </c>
      <c r="Q9" s="214">
        <v>15516779</v>
      </c>
      <c r="R9" s="214">
        <v>15529565</v>
      </c>
      <c r="S9" s="214">
        <v>15541857</v>
      </c>
      <c r="T9" s="214">
        <v>15554647</v>
      </c>
      <c r="U9" s="214">
        <v>15567949</v>
      </c>
      <c r="V9" s="214">
        <v>15580983</v>
      </c>
      <c r="W9" s="214">
        <v>15594134</v>
      </c>
      <c r="X9" s="214">
        <v>15607825</v>
      </c>
      <c r="Y9" s="214">
        <v>15621538</v>
      </c>
      <c r="Z9" s="214">
        <v>15635069</v>
      </c>
      <c r="AA9" s="214">
        <v>15648307</v>
      </c>
      <c r="AB9" s="214">
        <v>15661578</v>
      </c>
      <c r="AC9" s="214">
        <v>15674445</v>
      </c>
      <c r="AD9" s="214">
        <v>15687231</v>
      </c>
      <c r="AE9" s="214">
        <v>15699988</v>
      </c>
      <c r="AF9" s="290"/>
      <c r="AG9" s="290"/>
      <c r="AH9" s="214">
        <v>15316090</v>
      </c>
      <c r="AI9" s="318"/>
      <c r="AJ9" s="318"/>
      <c r="AM9" s="288"/>
    </row>
    <row r="10" spans="1:39">
      <c r="A10" s="285" t="s">
        <v>60</v>
      </c>
      <c r="B10" s="212">
        <v>4776327</v>
      </c>
      <c r="C10" s="212">
        <v>4780747</v>
      </c>
      <c r="D10" s="212">
        <v>4784420</v>
      </c>
      <c r="E10" s="212">
        <v>4787073</v>
      </c>
      <c r="F10" s="212">
        <v>4790985</v>
      </c>
      <c r="G10" s="212">
        <v>4795439</v>
      </c>
      <c r="H10" s="212">
        <v>4799799</v>
      </c>
      <c r="I10" s="212">
        <v>4804159</v>
      </c>
      <c r="J10" s="212">
        <v>4808956</v>
      </c>
      <c r="K10" s="212">
        <v>4813391</v>
      </c>
      <c r="L10" s="212">
        <v>4817160</v>
      </c>
      <c r="M10" s="212">
        <v>4821066</v>
      </c>
      <c r="N10" s="212">
        <v>4825751</v>
      </c>
      <c r="O10" s="212">
        <v>4830131</v>
      </c>
      <c r="P10" s="212">
        <v>4834723</v>
      </c>
      <c r="Q10" s="212">
        <v>4839224</v>
      </c>
      <c r="R10" s="212">
        <v>4843755</v>
      </c>
      <c r="S10" s="212">
        <v>4847540</v>
      </c>
      <c r="T10" s="212">
        <v>4851375</v>
      </c>
      <c r="U10" s="212">
        <v>4855961</v>
      </c>
      <c r="V10" s="212">
        <v>4860547</v>
      </c>
      <c r="W10" s="212">
        <v>4865251</v>
      </c>
      <c r="X10" s="212">
        <v>4869938</v>
      </c>
      <c r="Y10" s="212">
        <v>4874139</v>
      </c>
      <c r="Z10" s="212">
        <v>4877627</v>
      </c>
      <c r="AA10" s="212">
        <v>4881548</v>
      </c>
      <c r="AB10" s="212">
        <v>4886248</v>
      </c>
      <c r="AC10" s="212">
        <v>4890949</v>
      </c>
      <c r="AD10" s="212">
        <v>4895610</v>
      </c>
      <c r="AE10" s="212">
        <v>4900197</v>
      </c>
      <c r="AF10" s="287"/>
      <c r="AG10" s="287"/>
      <c r="AH10" s="212">
        <v>4771996</v>
      </c>
      <c r="AI10" s="318"/>
      <c r="AJ10" s="318"/>
      <c r="AM10" s="288"/>
    </row>
    <row r="11" spans="1:39">
      <c r="A11" s="285" t="s">
        <v>61</v>
      </c>
      <c r="B11" s="212">
        <v>183431</v>
      </c>
      <c r="C11" s="212">
        <v>183570</v>
      </c>
      <c r="D11" s="212">
        <v>183699</v>
      </c>
      <c r="E11" s="212">
        <v>183795</v>
      </c>
      <c r="F11" s="212">
        <v>183931</v>
      </c>
      <c r="G11" s="212">
        <v>184070</v>
      </c>
      <c r="H11" s="212">
        <v>184210</v>
      </c>
      <c r="I11" s="212">
        <v>184350</v>
      </c>
      <c r="J11" s="212">
        <v>184491</v>
      </c>
      <c r="K11" s="212">
        <v>184622</v>
      </c>
      <c r="L11" s="212">
        <v>184737</v>
      </c>
      <c r="M11" s="212">
        <v>184880</v>
      </c>
      <c r="N11" s="212">
        <v>185043</v>
      </c>
      <c r="O11" s="212">
        <v>185200</v>
      </c>
      <c r="P11" s="212">
        <v>185374</v>
      </c>
      <c r="Q11" s="212">
        <v>185546</v>
      </c>
      <c r="R11" s="212">
        <v>185705</v>
      </c>
      <c r="S11" s="212">
        <v>185848</v>
      </c>
      <c r="T11" s="212">
        <v>186007</v>
      </c>
      <c r="U11" s="212">
        <v>186182</v>
      </c>
      <c r="V11" s="212">
        <v>186354</v>
      </c>
      <c r="W11" s="212">
        <v>186529</v>
      </c>
      <c r="X11" s="212">
        <v>186700</v>
      </c>
      <c r="Y11" s="212">
        <v>186865</v>
      </c>
      <c r="Z11" s="212">
        <v>187019</v>
      </c>
      <c r="AA11" s="212">
        <v>187190</v>
      </c>
      <c r="AB11" s="212">
        <v>187362</v>
      </c>
      <c r="AC11" s="212">
        <v>187535</v>
      </c>
      <c r="AD11" s="212">
        <v>187702</v>
      </c>
      <c r="AE11" s="212">
        <v>187867</v>
      </c>
      <c r="AF11" s="287"/>
      <c r="AG11" s="287"/>
      <c r="AH11" s="212">
        <v>183291</v>
      </c>
      <c r="AI11" s="318"/>
      <c r="AJ11" s="318"/>
      <c r="AM11" s="288"/>
    </row>
    <row r="12" spans="1:39">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293"/>
      <c r="AG12" s="293"/>
      <c r="AH12" s="162"/>
      <c r="AI12" s="294"/>
      <c r="AJ12" s="294"/>
      <c r="AK12" s="294"/>
      <c r="AL12" s="294"/>
      <c r="AM12" s="294"/>
    </row>
    <row r="13" spans="1:39" ht="51">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296"/>
      <c r="AG13" s="296"/>
      <c r="AH13" s="181" t="s">
        <v>106</v>
      </c>
    </row>
    <row r="14" spans="1:39" ht="51">
      <c r="A14" s="282" t="s">
        <v>66</v>
      </c>
      <c r="B14" s="182">
        <v>24554.959999999999</v>
      </c>
      <c r="C14" s="182">
        <v>24554.959999999999</v>
      </c>
      <c r="D14" s="182">
        <v>24554.959999999999</v>
      </c>
      <c r="E14" s="182">
        <v>246957.22</v>
      </c>
      <c r="F14" s="182">
        <v>246957.22</v>
      </c>
      <c r="G14" s="182">
        <v>246957.22</v>
      </c>
      <c r="H14" s="182">
        <v>246957.22</v>
      </c>
      <c r="I14" s="182">
        <v>246957.22</v>
      </c>
      <c r="J14" s="182">
        <v>246957.22</v>
      </c>
      <c r="K14" s="182">
        <v>246957.22</v>
      </c>
      <c r="L14" s="182">
        <v>248496.71</v>
      </c>
      <c r="M14" s="182">
        <v>248496.71</v>
      </c>
      <c r="N14" s="182">
        <v>248496.71</v>
      </c>
      <c r="O14" s="182">
        <v>248496.71</v>
      </c>
      <c r="P14" s="182">
        <v>248496.71</v>
      </c>
      <c r="Q14" s="182">
        <v>248496.71</v>
      </c>
      <c r="R14" s="182">
        <v>248496.71</v>
      </c>
      <c r="S14" s="182">
        <v>250250.51</v>
      </c>
      <c r="T14" s="182">
        <v>250250.51</v>
      </c>
      <c r="U14" s="182">
        <v>250250.51</v>
      </c>
      <c r="V14" s="182">
        <v>250250.51</v>
      </c>
      <c r="W14" s="182">
        <v>250250.51</v>
      </c>
      <c r="X14" s="182">
        <v>250250.51</v>
      </c>
      <c r="Y14" s="182">
        <v>250250.51</v>
      </c>
      <c r="Z14" s="182">
        <v>251973.84</v>
      </c>
      <c r="AA14" s="182">
        <v>251973.84</v>
      </c>
      <c r="AB14" s="182">
        <v>251973.84</v>
      </c>
      <c r="AC14" s="182">
        <v>251973.84</v>
      </c>
      <c r="AD14" s="182">
        <v>251973.84</v>
      </c>
      <c r="AE14" s="182">
        <v>251973.84</v>
      </c>
      <c r="AF14" s="319"/>
      <c r="AG14" s="319"/>
      <c r="AH14" s="182">
        <v>24554.959999999999</v>
      </c>
    </row>
    <row r="15" spans="1:39" ht="89.25">
      <c r="A15" s="282" t="s">
        <v>67</v>
      </c>
      <c r="B15" s="183">
        <v>1402</v>
      </c>
      <c r="C15" s="183">
        <v>1402</v>
      </c>
      <c r="D15" s="183">
        <v>1402</v>
      </c>
      <c r="E15" s="183">
        <v>1406</v>
      </c>
      <c r="F15" s="183">
        <v>1406</v>
      </c>
      <c r="G15" s="183">
        <v>1406</v>
      </c>
      <c r="H15" s="183">
        <v>1428</v>
      </c>
      <c r="I15" s="183">
        <v>1429</v>
      </c>
      <c r="J15" s="183">
        <v>1430</v>
      </c>
      <c r="K15" s="183">
        <v>1430</v>
      </c>
      <c r="L15" s="183">
        <v>1431</v>
      </c>
      <c r="M15" s="183">
        <v>1432</v>
      </c>
      <c r="N15" s="183">
        <v>1432</v>
      </c>
      <c r="O15" s="183">
        <v>1434</v>
      </c>
      <c r="P15" s="183">
        <v>1434</v>
      </c>
      <c r="Q15" s="183">
        <v>1435</v>
      </c>
      <c r="R15" s="183">
        <v>1435</v>
      </c>
      <c r="S15" s="183">
        <v>1436</v>
      </c>
      <c r="T15" s="183">
        <v>1436</v>
      </c>
      <c r="U15" s="183">
        <v>1437</v>
      </c>
      <c r="V15" s="183">
        <v>1437</v>
      </c>
      <c r="W15" s="183">
        <v>1438</v>
      </c>
      <c r="X15" s="183">
        <v>1438</v>
      </c>
      <c r="Y15" s="183">
        <v>1439</v>
      </c>
      <c r="Z15" s="183">
        <v>1439</v>
      </c>
      <c r="AA15" s="183">
        <v>1439</v>
      </c>
      <c r="AB15" s="183">
        <v>1439</v>
      </c>
      <c r="AC15" s="183">
        <v>1470</v>
      </c>
      <c r="AD15" s="183">
        <v>1473</v>
      </c>
      <c r="AE15" s="183">
        <v>1476</v>
      </c>
      <c r="AF15" s="320"/>
      <c r="AG15" s="320"/>
      <c r="AH15" s="183">
        <v>1402</v>
      </c>
    </row>
    <row r="16" spans="1:39" ht="89.25">
      <c r="A16" s="282" t="s">
        <v>68</v>
      </c>
      <c r="B16" s="183">
        <v>4590</v>
      </c>
      <c r="C16" s="183">
        <v>4590</v>
      </c>
      <c r="D16" s="183">
        <v>4590</v>
      </c>
      <c r="E16" s="183">
        <v>4590</v>
      </c>
      <c r="F16" s="183">
        <v>4590</v>
      </c>
      <c r="G16" s="183">
        <v>4590</v>
      </c>
      <c r="H16" s="183">
        <v>4590</v>
      </c>
      <c r="I16" s="183">
        <v>4590</v>
      </c>
      <c r="J16" s="183">
        <v>4590</v>
      </c>
      <c r="K16" s="183">
        <v>4590</v>
      </c>
      <c r="L16" s="183">
        <v>4590</v>
      </c>
      <c r="M16" s="183">
        <v>4590</v>
      </c>
      <c r="N16" s="183">
        <v>4590</v>
      </c>
      <c r="O16" s="183">
        <v>4590</v>
      </c>
      <c r="P16" s="183">
        <v>4590</v>
      </c>
      <c r="Q16" s="183">
        <v>4590</v>
      </c>
      <c r="R16" s="183">
        <v>4590</v>
      </c>
      <c r="S16" s="183">
        <v>4590</v>
      </c>
      <c r="T16" s="183">
        <v>4590</v>
      </c>
      <c r="U16" s="183">
        <v>4590</v>
      </c>
      <c r="V16" s="183">
        <v>4590</v>
      </c>
      <c r="W16" s="183">
        <v>4590</v>
      </c>
      <c r="X16" s="183">
        <v>4590</v>
      </c>
      <c r="Y16" s="183">
        <v>4590</v>
      </c>
      <c r="Z16" s="183">
        <v>4590</v>
      </c>
      <c r="AA16" s="183">
        <v>4590</v>
      </c>
      <c r="AB16" s="183">
        <v>4590</v>
      </c>
      <c r="AC16" s="183">
        <v>4590</v>
      </c>
      <c r="AD16" s="183">
        <v>4590</v>
      </c>
      <c r="AE16" s="183">
        <v>4590</v>
      </c>
      <c r="AF16" s="320"/>
      <c r="AG16" s="320"/>
      <c r="AH16" s="183">
        <v>4590</v>
      </c>
    </row>
    <row r="17" spans="1:35">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304"/>
      <c r="AG17" s="304"/>
      <c r="AH17" s="162"/>
    </row>
    <row r="18" spans="1:35" ht="38.25">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296"/>
      <c r="AG18" s="296"/>
      <c r="AH18" s="181" t="s">
        <v>106</v>
      </c>
    </row>
    <row r="19" spans="1:35" ht="89.25">
      <c r="A19" s="282" t="s">
        <v>70</v>
      </c>
      <c r="B19" s="186">
        <v>62228.4</v>
      </c>
      <c r="C19" s="186">
        <v>62281.599999999999</v>
      </c>
      <c r="D19" s="186">
        <v>62336.1</v>
      </c>
      <c r="E19" s="186">
        <v>62361.599999999999</v>
      </c>
      <c r="F19" s="186">
        <v>62400.5</v>
      </c>
      <c r="G19" s="186">
        <v>62460.2</v>
      </c>
      <c r="H19" s="186">
        <v>62519.6</v>
      </c>
      <c r="I19" s="186">
        <v>62579.9</v>
      </c>
      <c r="J19" s="186">
        <v>62635.5</v>
      </c>
      <c r="K19" s="186">
        <v>62689.1</v>
      </c>
      <c r="L19" s="186">
        <v>62727.4</v>
      </c>
      <c r="M19" s="186">
        <v>62781.599999999999</v>
      </c>
      <c r="N19" s="186">
        <v>62841.599999999999</v>
      </c>
      <c r="O19" s="186">
        <v>62893.2</v>
      </c>
      <c r="P19" s="186">
        <v>62947.1</v>
      </c>
      <c r="Q19" s="186">
        <v>63002.6</v>
      </c>
      <c r="R19" s="186">
        <v>63064.3</v>
      </c>
      <c r="S19" s="186">
        <v>63099.3</v>
      </c>
      <c r="T19" s="186">
        <v>63152.7</v>
      </c>
      <c r="U19" s="186">
        <v>63231.4</v>
      </c>
      <c r="V19" s="186">
        <v>63296.3</v>
      </c>
      <c r="W19" s="186">
        <v>63353.4</v>
      </c>
      <c r="X19" s="186">
        <v>63408.5</v>
      </c>
      <c r="Y19" s="186">
        <v>63466.8</v>
      </c>
      <c r="Z19" s="186">
        <v>63507.1</v>
      </c>
      <c r="AA19" s="186">
        <v>63562.7</v>
      </c>
      <c r="AB19" s="186">
        <v>63630.7</v>
      </c>
      <c r="AC19" s="186">
        <v>63686.400000000001</v>
      </c>
      <c r="AD19" s="186">
        <v>63748.1</v>
      </c>
      <c r="AE19" s="186">
        <v>63803.7</v>
      </c>
      <c r="AF19" s="321"/>
      <c r="AG19" s="321"/>
      <c r="AH19" s="186">
        <v>62158.3</v>
      </c>
      <c r="AI19" s="307"/>
    </row>
    <row r="20" spans="1:35" ht="102">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209"/>
      <c r="AG20" s="209"/>
      <c r="AH20" s="183" t="s">
        <v>1307</v>
      </c>
      <c r="AI20" s="307"/>
    </row>
    <row r="21" spans="1:35" ht="63.75">
      <c r="A21" s="282" t="s">
        <v>72</v>
      </c>
      <c r="B21" s="183">
        <v>89211</v>
      </c>
      <c r="C21" s="183">
        <v>89211</v>
      </c>
      <c r="D21" s="183">
        <v>89211</v>
      </c>
      <c r="E21" s="183">
        <v>90566</v>
      </c>
      <c r="F21" s="183">
        <v>90566</v>
      </c>
      <c r="G21" s="183">
        <v>90566</v>
      </c>
      <c r="H21" s="183">
        <v>90566</v>
      </c>
      <c r="I21" s="183">
        <v>90566</v>
      </c>
      <c r="J21" s="183">
        <v>90566</v>
      </c>
      <c r="K21" s="183">
        <v>90566</v>
      </c>
      <c r="L21" s="183">
        <v>92026</v>
      </c>
      <c r="M21" s="183">
        <v>92026</v>
      </c>
      <c r="N21" s="183">
        <v>92026</v>
      </c>
      <c r="O21" s="183">
        <v>92026</v>
      </c>
      <c r="P21" s="183">
        <v>92026</v>
      </c>
      <c r="Q21" s="183">
        <v>92026</v>
      </c>
      <c r="R21" s="183">
        <v>92026</v>
      </c>
      <c r="S21" s="183">
        <v>93473</v>
      </c>
      <c r="T21" s="183">
        <v>93473</v>
      </c>
      <c r="U21" s="183">
        <v>93473</v>
      </c>
      <c r="V21" s="183">
        <v>93473</v>
      </c>
      <c r="W21" s="183">
        <v>93473</v>
      </c>
      <c r="X21" s="183">
        <v>93473</v>
      </c>
      <c r="Y21" s="183">
        <v>93473</v>
      </c>
      <c r="Z21" s="183">
        <v>95031</v>
      </c>
      <c r="AA21" s="183">
        <v>95031</v>
      </c>
      <c r="AB21" s="183">
        <v>95031</v>
      </c>
      <c r="AC21" s="183">
        <v>95031</v>
      </c>
      <c r="AD21" s="183">
        <v>95031</v>
      </c>
      <c r="AE21" s="183">
        <v>95031</v>
      </c>
      <c r="AF21" s="321"/>
      <c r="AG21" s="321"/>
      <c r="AH21" s="183">
        <v>89211</v>
      </c>
      <c r="AI21" s="307"/>
    </row>
    <row r="22" spans="1:35" ht="51">
      <c r="A22" s="282" t="s">
        <v>73</v>
      </c>
      <c r="B22" s="183">
        <v>146705</v>
      </c>
      <c r="C22" s="183">
        <v>146815</v>
      </c>
      <c r="D22" s="183">
        <v>146915</v>
      </c>
      <c r="E22" s="183">
        <v>147001</v>
      </c>
      <c r="F22" s="183">
        <v>147108</v>
      </c>
      <c r="G22" s="183">
        <v>147228</v>
      </c>
      <c r="H22" s="183">
        <v>147359</v>
      </c>
      <c r="I22" s="183">
        <v>147488</v>
      </c>
      <c r="J22" s="183">
        <v>147619</v>
      </c>
      <c r="K22" s="322">
        <v>14774.6</v>
      </c>
      <c r="L22" s="322">
        <v>14787.5</v>
      </c>
      <c r="M22" s="322">
        <v>14800.7</v>
      </c>
      <c r="N22" s="322">
        <v>14814.1</v>
      </c>
      <c r="O22" s="322">
        <v>148276</v>
      </c>
      <c r="P22" s="322">
        <v>148415</v>
      </c>
      <c r="Q22" s="322">
        <v>148565</v>
      </c>
      <c r="R22" s="322">
        <v>14869.9</v>
      </c>
      <c r="S22" s="322">
        <v>148818</v>
      </c>
      <c r="T22" s="322">
        <v>148947</v>
      </c>
      <c r="U22" s="322">
        <v>149086</v>
      </c>
      <c r="V22" s="322">
        <v>149221</v>
      </c>
      <c r="W22" s="322">
        <v>149372</v>
      </c>
      <c r="X22" s="322">
        <v>149515</v>
      </c>
      <c r="Y22" s="322">
        <v>149651</v>
      </c>
      <c r="Z22" s="322">
        <v>149797</v>
      </c>
      <c r="AA22" s="322">
        <v>149942</v>
      </c>
      <c r="AB22" s="322">
        <v>150086</v>
      </c>
      <c r="AC22" s="322">
        <v>150232</v>
      </c>
      <c r="AD22" s="322">
        <v>150363</v>
      </c>
      <c r="AE22" s="322">
        <v>150494</v>
      </c>
      <c r="AF22" s="321">
        <f>AE22-AH22</f>
        <v>3903</v>
      </c>
      <c r="AG22" s="321"/>
      <c r="AH22" s="183">
        <v>146591</v>
      </c>
      <c r="AI22" s="307"/>
    </row>
    <row r="23" spans="1:35" ht="51">
      <c r="A23" s="309" t="s">
        <v>136</v>
      </c>
      <c r="B23" s="183">
        <v>3278</v>
      </c>
      <c r="C23" s="183">
        <v>3278</v>
      </c>
      <c r="D23" s="183">
        <v>3278</v>
      </c>
      <c r="E23" s="183">
        <v>3332</v>
      </c>
      <c r="F23" s="183">
        <v>3332</v>
      </c>
      <c r="G23" s="183">
        <v>3332</v>
      </c>
      <c r="H23" s="183">
        <v>3332</v>
      </c>
      <c r="I23" s="183">
        <v>3332</v>
      </c>
      <c r="J23" s="183">
        <v>3332</v>
      </c>
      <c r="K23" s="183">
        <v>3332</v>
      </c>
      <c r="L23" s="183">
        <v>3397</v>
      </c>
      <c r="M23" s="183">
        <v>3397</v>
      </c>
      <c r="N23" s="183">
        <v>3397</v>
      </c>
      <c r="O23" s="183">
        <v>3397</v>
      </c>
      <c r="P23" s="183">
        <v>3397</v>
      </c>
      <c r="Q23" s="183">
        <v>3397</v>
      </c>
      <c r="R23" s="183">
        <v>3397</v>
      </c>
      <c r="S23" s="183">
        <v>3484</v>
      </c>
      <c r="T23" s="183">
        <v>3484</v>
      </c>
      <c r="U23" s="183">
        <v>3484</v>
      </c>
      <c r="V23" s="183">
        <v>3484</v>
      </c>
      <c r="W23" s="183">
        <v>3484</v>
      </c>
      <c r="X23" s="183">
        <v>3484</v>
      </c>
      <c r="Y23" s="183">
        <v>3484</v>
      </c>
      <c r="Z23" s="183">
        <v>3542</v>
      </c>
      <c r="AA23" s="183">
        <v>3542</v>
      </c>
      <c r="AB23" s="183">
        <v>3542</v>
      </c>
      <c r="AC23" s="183">
        <v>3542</v>
      </c>
      <c r="AD23" s="183">
        <v>3542</v>
      </c>
      <c r="AE23" s="183">
        <v>3542</v>
      </c>
      <c r="AF23" s="323">
        <v>264</v>
      </c>
      <c r="AG23" s="208">
        <v>264</v>
      </c>
      <c r="AH23" s="183">
        <v>3278</v>
      </c>
      <c r="AI23" s="307"/>
    </row>
    <row r="24" spans="1:35" ht="51">
      <c r="A24" s="309" t="s">
        <v>139</v>
      </c>
      <c r="B24" s="183">
        <v>3379</v>
      </c>
      <c r="C24" s="183">
        <v>3379</v>
      </c>
      <c r="D24" s="183">
        <v>3379</v>
      </c>
      <c r="E24" s="183">
        <v>3413</v>
      </c>
      <c r="F24" s="183">
        <v>3413</v>
      </c>
      <c r="G24" s="183">
        <v>3413</v>
      </c>
      <c r="H24" s="183">
        <v>3413</v>
      </c>
      <c r="I24" s="183">
        <v>3413</v>
      </c>
      <c r="J24" s="183">
        <v>3413</v>
      </c>
      <c r="K24" s="183">
        <v>3413</v>
      </c>
      <c r="L24" s="183">
        <v>3455</v>
      </c>
      <c r="M24" s="183">
        <v>3455</v>
      </c>
      <c r="N24" s="183">
        <v>3455</v>
      </c>
      <c r="O24" s="183">
        <v>3455</v>
      </c>
      <c r="P24" s="183">
        <v>3455</v>
      </c>
      <c r="Q24" s="183">
        <v>3455</v>
      </c>
      <c r="R24" s="183">
        <v>3455</v>
      </c>
      <c r="S24" s="183">
        <v>3512</v>
      </c>
      <c r="T24" s="183">
        <v>3512</v>
      </c>
      <c r="U24" s="183">
        <v>3512</v>
      </c>
      <c r="V24" s="183">
        <v>3512</v>
      </c>
      <c r="W24" s="183">
        <v>3512</v>
      </c>
      <c r="X24" s="183">
        <v>3512</v>
      </c>
      <c r="Y24" s="183">
        <v>3512</v>
      </c>
      <c r="Z24" s="183">
        <v>3570</v>
      </c>
      <c r="AA24" s="183">
        <v>3570</v>
      </c>
      <c r="AB24" s="183">
        <v>3570</v>
      </c>
      <c r="AC24" s="183">
        <v>3570</v>
      </c>
      <c r="AD24" s="183">
        <v>3570</v>
      </c>
      <c r="AE24" s="183">
        <v>3570</v>
      </c>
      <c r="AF24" s="323">
        <v>191</v>
      </c>
      <c r="AG24" s="208">
        <v>191</v>
      </c>
      <c r="AH24" s="183">
        <v>3379</v>
      </c>
      <c r="AI24" s="307"/>
    </row>
    <row r="25" spans="1:35" ht="51">
      <c r="A25" s="309" t="s">
        <v>142</v>
      </c>
      <c r="B25" s="183">
        <v>1295</v>
      </c>
      <c r="C25" s="183">
        <v>1295</v>
      </c>
      <c r="D25" s="183">
        <v>1295</v>
      </c>
      <c r="E25" s="183">
        <v>1317</v>
      </c>
      <c r="F25" s="183">
        <v>1317</v>
      </c>
      <c r="G25" s="183">
        <v>1317</v>
      </c>
      <c r="H25" s="183">
        <v>1317</v>
      </c>
      <c r="I25" s="183">
        <v>1317</v>
      </c>
      <c r="J25" s="183">
        <v>1317</v>
      </c>
      <c r="K25" s="183">
        <v>1317</v>
      </c>
      <c r="L25" s="183">
        <v>1341</v>
      </c>
      <c r="M25" s="183">
        <v>1341</v>
      </c>
      <c r="N25" s="183">
        <v>1341</v>
      </c>
      <c r="O25" s="183">
        <v>1341</v>
      </c>
      <c r="P25" s="183">
        <v>1341</v>
      </c>
      <c r="Q25" s="183">
        <v>1341</v>
      </c>
      <c r="R25" s="183">
        <v>1341</v>
      </c>
      <c r="S25" s="183">
        <v>1367</v>
      </c>
      <c r="T25" s="183">
        <v>1367</v>
      </c>
      <c r="U25" s="183">
        <v>1367</v>
      </c>
      <c r="V25" s="183">
        <v>1367</v>
      </c>
      <c r="W25" s="183">
        <v>1367</v>
      </c>
      <c r="X25" s="183">
        <v>1367</v>
      </c>
      <c r="Y25" s="183">
        <v>1367</v>
      </c>
      <c r="Z25" s="183">
        <v>1388</v>
      </c>
      <c r="AA25" s="183">
        <v>1388</v>
      </c>
      <c r="AB25" s="183">
        <v>1388</v>
      </c>
      <c r="AC25" s="183">
        <v>1388</v>
      </c>
      <c r="AD25" s="183">
        <v>1388</v>
      </c>
      <c r="AE25" s="183">
        <v>1388</v>
      </c>
      <c r="AF25" s="323">
        <v>93</v>
      </c>
      <c r="AG25" s="208">
        <v>93</v>
      </c>
      <c r="AH25" s="183">
        <v>1295</v>
      </c>
      <c r="AI25" s="307"/>
    </row>
    <row r="26" spans="1:35" ht="51">
      <c r="A26" s="309" t="s">
        <v>145</v>
      </c>
      <c r="B26" s="183">
        <v>207</v>
      </c>
      <c r="C26" s="183">
        <v>207</v>
      </c>
      <c r="D26" s="183">
        <v>207</v>
      </c>
      <c r="E26" s="183">
        <v>214</v>
      </c>
      <c r="F26" s="183">
        <v>214</v>
      </c>
      <c r="G26" s="183">
        <v>214</v>
      </c>
      <c r="H26" s="183">
        <v>214</v>
      </c>
      <c r="I26" s="183">
        <v>214</v>
      </c>
      <c r="J26" s="183">
        <v>214</v>
      </c>
      <c r="K26" s="183">
        <v>214</v>
      </c>
      <c r="L26" s="183">
        <v>219</v>
      </c>
      <c r="M26" s="183">
        <v>219</v>
      </c>
      <c r="N26" s="183">
        <v>219</v>
      </c>
      <c r="O26" s="183">
        <v>219</v>
      </c>
      <c r="P26" s="183">
        <v>219</v>
      </c>
      <c r="Q26" s="183">
        <v>219</v>
      </c>
      <c r="R26" s="183">
        <v>219</v>
      </c>
      <c r="S26" s="183">
        <v>233</v>
      </c>
      <c r="T26" s="183">
        <v>233</v>
      </c>
      <c r="U26" s="183">
        <v>233</v>
      </c>
      <c r="V26" s="183">
        <v>233</v>
      </c>
      <c r="W26" s="183">
        <v>233</v>
      </c>
      <c r="X26" s="183">
        <v>233</v>
      </c>
      <c r="Y26" s="183">
        <v>233</v>
      </c>
      <c r="Z26" s="183">
        <v>280</v>
      </c>
      <c r="AA26" s="183">
        <v>280</v>
      </c>
      <c r="AB26" s="183">
        <v>280</v>
      </c>
      <c r="AC26" s="183">
        <v>280</v>
      </c>
      <c r="AD26" s="183">
        <v>280</v>
      </c>
      <c r="AE26" s="183">
        <v>280</v>
      </c>
      <c r="AF26" s="323">
        <v>73</v>
      </c>
      <c r="AG26" s="208">
        <v>73</v>
      </c>
      <c r="AH26" s="183">
        <v>207</v>
      </c>
      <c r="AI26" s="307"/>
    </row>
    <row r="27" spans="1:35" ht="51">
      <c r="A27" s="309" t="s">
        <v>148</v>
      </c>
      <c r="B27" s="183">
        <v>3808</v>
      </c>
      <c r="C27" s="183">
        <v>3808</v>
      </c>
      <c r="D27" s="183">
        <v>3808</v>
      </c>
      <c r="E27" s="183">
        <v>3879</v>
      </c>
      <c r="F27" s="183">
        <v>3879</v>
      </c>
      <c r="G27" s="183">
        <v>3879</v>
      </c>
      <c r="H27" s="183">
        <v>3879</v>
      </c>
      <c r="I27" s="183">
        <v>3879</v>
      </c>
      <c r="J27" s="183">
        <v>3879</v>
      </c>
      <c r="K27" s="183">
        <v>3879</v>
      </c>
      <c r="L27" s="183">
        <v>3936</v>
      </c>
      <c r="M27" s="183">
        <v>3936</v>
      </c>
      <c r="N27" s="183">
        <v>3936</v>
      </c>
      <c r="O27" s="183">
        <v>3936</v>
      </c>
      <c r="P27" s="183">
        <v>3936</v>
      </c>
      <c r="Q27" s="183">
        <v>3936</v>
      </c>
      <c r="R27" s="183">
        <v>3936</v>
      </c>
      <c r="S27" s="183">
        <v>4050</v>
      </c>
      <c r="T27" s="183">
        <v>4050</v>
      </c>
      <c r="U27" s="183">
        <v>4050</v>
      </c>
      <c r="V27" s="183">
        <v>4050</v>
      </c>
      <c r="W27" s="183">
        <v>4050</v>
      </c>
      <c r="X27" s="183">
        <v>4050</v>
      </c>
      <c r="Y27" s="183">
        <v>4050</v>
      </c>
      <c r="Z27" s="183">
        <v>4162</v>
      </c>
      <c r="AA27" s="183">
        <v>4162</v>
      </c>
      <c r="AB27" s="183">
        <v>4162</v>
      </c>
      <c r="AC27" s="183">
        <v>4162</v>
      </c>
      <c r="AD27" s="183">
        <v>4162</v>
      </c>
      <c r="AE27" s="183">
        <v>4162</v>
      </c>
      <c r="AF27" s="323">
        <v>354</v>
      </c>
      <c r="AG27" s="208">
        <v>354</v>
      </c>
      <c r="AH27" s="183">
        <v>3808</v>
      </c>
      <c r="AI27" s="307"/>
    </row>
    <row r="28" spans="1:35" ht="51">
      <c r="A28" s="309" t="s">
        <v>151</v>
      </c>
      <c r="B28" s="183">
        <v>779</v>
      </c>
      <c r="C28" s="183">
        <v>779</v>
      </c>
      <c r="D28" s="183">
        <v>779</v>
      </c>
      <c r="E28" s="183">
        <v>792</v>
      </c>
      <c r="F28" s="183">
        <v>792</v>
      </c>
      <c r="G28" s="183">
        <v>792</v>
      </c>
      <c r="H28" s="183">
        <v>792</v>
      </c>
      <c r="I28" s="183">
        <v>792</v>
      </c>
      <c r="J28" s="183">
        <v>792</v>
      </c>
      <c r="K28" s="183">
        <v>792</v>
      </c>
      <c r="L28" s="183">
        <v>804</v>
      </c>
      <c r="M28" s="183">
        <v>804</v>
      </c>
      <c r="N28" s="183">
        <v>804</v>
      </c>
      <c r="O28" s="183">
        <v>804</v>
      </c>
      <c r="P28" s="183">
        <v>804</v>
      </c>
      <c r="Q28" s="183">
        <v>804</v>
      </c>
      <c r="R28" s="183">
        <v>804</v>
      </c>
      <c r="S28" s="183">
        <v>817</v>
      </c>
      <c r="T28" s="183">
        <v>817</v>
      </c>
      <c r="U28" s="183">
        <v>817</v>
      </c>
      <c r="V28" s="183">
        <v>817</v>
      </c>
      <c r="W28" s="183">
        <v>817</v>
      </c>
      <c r="X28" s="183">
        <v>817</v>
      </c>
      <c r="Y28" s="183">
        <v>817</v>
      </c>
      <c r="Z28" s="183">
        <v>829</v>
      </c>
      <c r="AA28" s="183">
        <v>829</v>
      </c>
      <c r="AB28" s="183">
        <v>829</v>
      </c>
      <c r="AC28" s="183">
        <v>829</v>
      </c>
      <c r="AD28" s="183">
        <v>829</v>
      </c>
      <c r="AE28" s="183">
        <v>829</v>
      </c>
      <c r="AF28" s="323">
        <v>50</v>
      </c>
      <c r="AG28" s="208">
        <v>50</v>
      </c>
      <c r="AH28" s="183">
        <v>779</v>
      </c>
      <c r="AI28" s="307"/>
    </row>
    <row r="29" spans="1:35" ht="51">
      <c r="A29" s="309" t="s">
        <v>154</v>
      </c>
      <c r="B29" s="183">
        <v>351</v>
      </c>
      <c r="C29" s="183">
        <v>351</v>
      </c>
      <c r="D29" s="183">
        <v>351</v>
      </c>
      <c r="E29" s="183">
        <v>357</v>
      </c>
      <c r="F29" s="183">
        <v>357</v>
      </c>
      <c r="G29" s="183">
        <v>357</v>
      </c>
      <c r="H29" s="183">
        <v>357</v>
      </c>
      <c r="I29" s="183">
        <v>357</v>
      </c>
      <c r="J29" s="183">
        <v>357</v>
      </c>
      <c r="K29" s="183">
        <v>357</v>
      </c>
      <c r="L29" s="183">
        <v>364</v>
      </c>
      <c r="M29" s="183">
        <v>364</v>
      </c>
      <c r="N29" s="183">
        <v>364</v>
      </c>
      <c r="O29" s="183">
        <v>364</v>
      </c>
      <c r="P29" s="183">
        <v>364</v>
      </c>
      <c r="Q29" s="183">
        <v>364</v>
      </c>
      <c r="R29" s="183">
        <v>364</v>
      </c>
      <c r="S29" s="183">
        <v>370</v>
      </c>
      <c r="T29" s="183">
        <v>370</v>
      </c>
      <c r="U29" s="183">
        <v>370</v>
      </c>
      <c r="V29" s="183">
        <v>370</v>
      </c>
      <c r="W29" s="183">
        <v>370</v>
      </c>
      <c r="X29" s="183">
        <v>370</v>
      </c>
      <c r="Y29" s="183">
        <v>370</v>
      </c>
      <c r="Z29" s="183">
        <v>377</v>
      </c>
      <c r="AA29" s="183">
        <v>377</v>
      </c>
      <c r="AB29" s="183">
        <v>377</v>
      </c>
      <c r="AC29" s="183">
        <v>377</v>
      </c>
      <c r="AD29" s="183">
        <v>377</v>
      </c>
      <c r="AE29" s="183">
        <v>377</v>
      </c>
      <c r="AF29" s="323">
        <v>26</v>
      </c>
      <c r="AG29" s="208">
        <v>26</v>
      </c>
      <c r="AH29" s="183">
        <v>351</v>
      </c>
      <c r="AI29" s="307"/>
    </row>
    <row r="30" spans="1:35">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304"/>
      <c r="AG30" s="304"/>
      <c r="AH30" s="162"/>
      <c r="AI30" s="307"/>
    </row>
    <row r="31" spans="1:35" ht="38.25">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296"/>
      <c r="AG31" s="296"/>
      <c r="AH31" s="181" t="s">
        <v>157</v>
      </c>
      <c r="AI31" s="307"/>
    </row>
    <row r="32" spans="1:35" ht="76.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209"/>
      <c r="AG32" s="209"/>
      <c r="AH32" s="190" t="s">
        <v>78</v>
      </c>
      <c r="AI32" s="307"/>
    </row>
    <row r="33" spans="1:35" ht="76.5">
      <c r="A33" s="282" t="s">
        <v>80</v>
      </c>
      <c r="B33" s="187" t="s">
        <v>1330</v>
      </c>
      <c r="C33" s="187" t="s">
        <v>1331</v>
      </c>
      <c r="D33" s="187" t="s">
        <v>1332</v>
      </c>
      <c r="E33" s="187" t="s">
        <v>1331</v>
      </c>
      <c r="F33" s="187" t="s">
        <v>1333</v>
      </c>
      <c r="G33" s="187" t="s">
        <v>1334</v>
      </c>
      <c r="H33" s="187" t="s">
        <v>1335</v>
      </c>
      <c r="I33" s="187" t="s">
        <v>1335</v>
      </c>
      <c r="J33" s="187" t="s">
        <v>1336</v>
      </c>
      <c r="K33" s="187" t="s">
        <v>603</v>
      </c>
      <c r="L33" s="187" t="s">
        <v>1337</v>
      </c>
      <c r="M33" s="187" t="s">
        <v>603</v>
      </c>
      <c r="N33" s="187" t="s">
        <v>1338</v>
      </c>
      <c r="O33" s="187" t="s">
        <v>580</v>
      </c>
      <c r="P33" s="187" t="s">
        <v>1339</v>
      </c>
      <c r="Q33" s="187" t="s">
        <v>580</v>
      </c>
      <c r="R33" s="187" t="s">
        <v>1340</v>
      </c>
      <c r="S33" s="187" t="s">
        <v>1340</v>
      </c>
      <c r="T33" s="187" t="s">
        <v>1341</v>
      </c>
      <c r="U33" s="187" t="s">
        <v>1342</v>
      </c>
      <c r="V33" s="187" t="s">
        <v>1343</v>
      </c>
      <c r="W33" s="187" t="s">
        <v>1344</v>
      </c>
      <c r="X33" s="187" t="s">
        <v>1344</v>
      </c>
      <c r="Y33" s="187" t="s">
        <v>1345</v>
      </c>
      <c r="Z33" s="187" t="s">
        <v>1346</v>
      </c>
      <c r="AA33" s="187" t="s">
        <v>1347</v>
      </c>
      <c r="AB33" s="187" t="s">
        <v>1347</v>
      </c>
      <c r="AC33" s="187" t="s">
        <v>1348</v>
      </c>
      <c r="AD33" s="187" t="s">
        <v>1349</v>
      </c>
      <c r="AE33" s="187" t="s">
        <v>1328</v>
      </c>
      <c r="AF33" s="209"/>
      <c r="AG33" s="209"/>
      <c r="AH33" s="187" t="s">
        <v>627</v>
      </c>
      <c r="AI33" s="307"/>
    </row>
    <row r="34" spans="1:35" ht="51.75" thickBot="1">
      <c r="A34" s="310" t="s">
        <v>81</v>
      </c>
      <c r="B34" s="187" t="s">
        <v>1329</v>
      </c>
      <c r="C34" s="187" t="s">
        <v>1329</v>
      </c>
      <c r="D34" s="187" t="s">
        <v>1329</v>
      </c>
      <c r="E34" s="187" t="s">
        <v>1329</v>
      </c>
      <c r="F34" s="187" t="s">
        <v>1329</v>
      </c>
      <c r="G34" s="187" t="s">
        <v>1329</v>
      </c>
      <c r="H34" s="187" t="s">
        <v>1329</v>
      </c>
      <c r="I34" s="187" t="s">
        <v>1329</v>
      </c>
      <c r="J34" s="187" t="s">
        <v>1329</v>
      </c>
      <c r="K34" s="187" t="s">
        <v>1329</v>
      </c>
      <c r="L34" s="187" t="s">
        <v>1329</v>
      </c>
      <c r="M34" s="187" t="s">
        <v>1329</v>
      </c>
      <c r="N34" s="187" t="s">
        <v>1329</v>
      </c>
      <c r="O34" s="187" t="s">
        <v>1329</v>
      </c>
      <c r="P34" s="187" t="s">
        <v>1329</v>
      </c>
      <c r="Q34" s="187" t="s">
        <v>1329</v>
      </c>
      <c r="R34" s="187" t="s">
        <v>1329</v>
      </c>
      <c r="S34" s="187" t="s">
        <v>1329</v>
      </c>
      <c r="T34" s="187" t="s">
        <v>1329</v>
      </c>
      <c r="U34" s="187" t="s">
        <v>1329</v>
      </c>
      <c r="V34" s="187" t="s">
        <v>1329</v>
      </c>
      <c r="W34" s="187" t="s">
        <v>1329</v>
      </c>
      <c r="X34" s="187" t="s">
        <v>1329</v>
      </c>
      <c r="Y34" s="187" t="s">
        <v>1329</v>
      </c>
      <c r="Z34" s="187" t="s">
        <v>1329</v>
      </c>
      <c r="AA34" s="187" t="s">
        <v>1329</v>
      </c>
      <c r="AB34" s="187" t="s">
        <v>1329</v>
      </c>
      <c r="AC34" s="187" t="s">
        <v>1329</v>
      </c>
      <c r="AD34" s="187" t="s">
        <v>1329</v>
      </c>
      <c r="AE34" s="187" t="s">
        <v>1329</v>
      </c>
      <c r="AF34" s="209"/>
      <c r="AG34" s="209"/>
      <c r="AH34" s="187" t="s">
        <v>1329</v>
      </c>
      <c r="AI34" s="307"/>
    </row>
    <row r="35" spans="1:35">
      <c r="AF35" s="211"/>
      <c r="AG35" s="211"/>
    </row>
    <row r="36" spans="1:35">
      <c r="AF36" s="211"/>
      <c r="AG36" s="211"/>
    </row>
  </sheetData>
  <mergeCells count="1">
    <mergeCell ref="A1:AH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5A84-B67B-4087-9C59-CD2FF18FF409}">
  <dimension ref="A1:AN36"/>
  <sheetViews>
    <sheetView topLeftCell="L16" workbookViewId="0">
      <selection activeCell="AG23" sqref="AG23"/>
    </sheetView>
  </sheetViews>
  <sheetFormatPr defaultRowHeight="15"/>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44743</v>
      </c>
      <c r="C2" s="281">
        <v>44744</v>
      </c>
      <c r="D2" s="281">
        <v>44745</v>
      </c>
      <c r="E2" s="281">
        <v>44746</v>
      </c>
      <c r="F2" s="281">
        <v>44747</v>
      </c>
      <c r="G2" s="281">
        <v>44748</v>
      </c>
      <c r="H2" s="281">
        <v>44749</v>
      </c>
      <c r="I2" s="281">
        <v>44750</v>
      </c>
      <c r="J2" s="281">
        <v>44751</v>
      </c>
      <c r="K2" s="281">
        <v>44752</v>
      </c>
      <c r="L2" s="281">
        <v>44753</v>
      </c>
      <c r="M2" s="281">
        <v>44754</v>
      </c>
      <c r="N2" s="281">
        <v>44755</v>
      </c>
      <c r="O2" s="281">
        <v>44756</v>
      </c>
      <c r="P2" s="281">
        <v>44757</v>
      </c>
      <c r="Q2" s="281">
        <v>44758</v>
      </c>
      <c r="R2" s="281">
        <v>44759</v>
      </c>
      <c r="S2" s="281">
        <v>44760</v>
      </c>
      <c r="T2" s="281">
        <v>44761</v>
      </c>
      <c r="U2" s="281">
        <v>44762</v>
      </c>
      <c r="V2" s="281">
        <v>44763</v>
      </c>
      <c r="W2" s="281">
        <v>44764</v>
      </c>
      <c r="X2" s="281">
        <v>44765</v>
      </c>
      <c r="Y2" s="281">
        <v>44766</v>
      </c>
      <c r="Z2" s="281">
        <v>44767</v>
      </c>
      <c r="AA2" s="281">
        <v>44768</v>
      </c>
      <c r="AB2" s="281">
        <v>44769</v>
      </c>
      <c r="AC2" s="281">
        <v>44770</v>
      </c>
      <c r="AD2" s="281">
        <v>44771</v>
      </c>
      <c r="AE2" s="281">
        <v>44772</v>
      </c>
      <c r="AF2" s="281">
        <v>44773</v>
      </c>
      <c r="AG2" s="281"/>
      <c r="AH2" s="281"/>
      <c r="AI2" s="281">
        <v>44742</v>
      </c>
    </row>
    <row r="3" spans="1:40" ht="5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52</v>
      </c>
      <c r="AG3" s="271"/>
      <c r="AH3" s="317"/>
      <c r="AI3" s="283" t="s">
        <v>52</v>
      </c>
    </row>
    <row r="4" spans="1:40">
      <c r="A4" s="285" t="s">
        <v>54</v>
      </c>
      <c r="B4" s="212">
        <v>238881</v>
      </c>
      <c r="C4" s="212">
        <v>239093</v>
      </c>
      <c r="D4" s="212">
        <v>239310</v>
      </c>
      <c r="E4" s="212">
        <v>239532</v>
      </c>
      <c r="F4" s="212">
        <v>239753</v>
      </c>
      <c r="G4" s="212">
        <v>239977</v>
      </c>
      <c r="H4" s="212">
        <v>240199</v>
      </c>
      <c r="I4" s="212">
        <v>240414</v>
      </c>
      <c r="J4" s="212">
        <v>240619</v>
      </c>
      <c r="K4" s="212">
        <v>240830</v>
      </c>
      <c r="L4" s="212">
        <v>241045</v>
      </c>
      <c r="M4" s="212">
        <v>241261</v>
      </c>
      <c r="N4" s="212">
        <v>241478</v>
      </c>
      <c r="O4" s="212">
        <v>241697</v>
      </c>
      <c r="P4" s="212">
        <v>241913</v>
      </c>
      <c r="Q4" s="212">
        <v>242122</v>
      </c>
      <c r="R4" s="212">
        <v>242336</v>
      </c>
      <c r="S4" s="212">
        <v>242562</v>
      </c>
      <c r="T4" s="212">
        <v>242785</v>
      </c>
      <c r="U4" s="212">
        <v>243009</v>
      </c>
      <c r="V4" s="212">
        <v>243241</v>
      </c>
      <c r="W4" s="212">
        <v>243451</v>
      </c>
      <c r="X4" s="212">
        <v>243660</v>
      </c>
      <c r="Y4" s="212">
        <v>243881</v>
      </c>
      <c r="Z4" s="212">
        <v>244099</v>
      </c>
      <c r="AA4" s="212">
        <v>244321</v>
      </c>
      <c r="AB4" s="212">
        <v>244545</v>
      </c>
      <c r="AC4" s="212">
        <v>244766</v>
      </c>
      <c r="AD4" s="212">
        <v>244982</v>
      </c>
      <c r="AE4" s="212">
        <v>245184</v>
      </c>
      <c r="AF4" s="212">
        <v>245405</v>
      </c>
      <c r="AG4" s="287"/>
      <c r="AH4" s="287"/>
      <c r="AI4" s="212">
        <v>238666</v>
      </c>
      <c r="AJ4" s="318"/>
      <c r="AK4" s="318"/>
      <c r="AN4" s="288"/>
    </row>
    <row r="5" spans="1:40">
      <c r="A5" s="285" t="s">
        <v>55</v>
      </c>
      <c r="B5" s="212">
        <v>6227058</v>
      </c>
      <c r="C5" s="212">
        <v>6234638</v>
      </c>
      <c r="D5" s="212">
        <v>6241955</v>
      </c>
      <c r="E5" s="212">
        <v>6249336</v>
      </c>
      <c r="F5" s="212">
        <v>6256787</v>
      </c>
      <c r="G5" s="212">
        <v>6264317</v>
      </c>
      <c r="H5" s="212">
        <v>6271638</v>
      </c>
      <c r="I5" s="212">
        <v>6278708</v>
      </c>
      <c r="J5" s="212">
        <v>6285423</v>
      </c>
      <c r="K5" s="212">
        <v>6292293</v>
      </c>
      <c r="L5" s="212">
        <v>6299828</v>
      </c>
      <c r="M5" s="212">
        <v>6307298</v>
      </c>
      <c r="N5" s="212">
        <v>6315019</v>
      </c>
      <c r="O5" s="212">
        <v>6322821</v>
      </c>
      <c r="P5" s="212">
        <v>6330365</v>
      </c>
      <c r="Q5" s="212">
        <v>6337470</v>
      </c>
      <c r="R5" s="212">
        <v>6344620</v>
      </c>
      <c r="S5" s="212">
        <v>6352243</v>
      </c>
      <c r="T5" s="212">
        <v>6359697</v>
      </c>
      <c r="U5" s="212">
        <v>6367499</v>
      </c>
      <c r="V5" s="212">
        <v>6375398</v>
      </c>
      <c r="W5" s="212">
        <v>6382466</v>
      </c>
      <c r="X5" s="212">
        <v>6389454</v>
      </c>
      <c r="Y5" s="212">
        <v>6397948</v>
      </c>
      <c r="Z5" s="212">
        <v>6403968</v>
      </c>
      <c r="AA5" s="212">
        <v>6411663</v>
      </c>
      <c r="AB5" s="212">
        <v>6419489</v>
      </c>
      <c r="AC5" s="212">
        <v>6427224</v>
      </c>
      <c r="AD5" s="212">
        <v>6434474</v>
      </c>
      <c r="AE5" s="212">
        <v>6441106</v>
      </c>
      <c r="AF5" s="212">
        <v>6448127</v>
      </c>
      <c r="AG5" s="287"/>
      <c r="AH5" s="287"/>
      <c r="AI5" s="212">
        <v>6219224</v>
      </c>
      <c r="AJ5" s="318"/>
      <c r="AK5" s="318"/>
      <c r="AN5" s="288"/>
    </row>
    <row r="6" spans="1:40">
      <c r="A6" s="285" t="s">
        <v>56</v>
      </c>
      <c r="B6" s="212">
        <v>3025759</v>
      </c>
      <c r="C6" s="212">
        <v>3028976</v>
      </c>
      <c r="D6" s="212">
        <v>3032245</v>
      </c>
      <c r="E6" s="212">
        <v>3035864</v>
      </c>
      <c r="F6" s="212">
        <v>3039433</v>
      </c>
      <c r="G6" s="212">
        <v>3043004</v>
      </c>
      <c r="H6" s="212">
        <v>3046471</v>
      </c>
      <c r="I6" s="212">
        <v>3049697</v>
      </c>
      <c r="J6" s="212">
        <v>3052757</v>
      </c>
      <c r="K6" s="212">
        <v>3055901</v>
      </c>
      <c r="L6" s="212">
        <v>3059040</v>
      </c>
      <c r="M6" s="212">
        <v>3062235</v>
      </c>
      <c r="N6" s="212">
        <v>3065514</v>
      </c>
      <c r="O6" s="212">
        <v>3068781</v>
      </c>
      <c r="P6" s="212">
        <v>3072077</v>
      </c>
      <c r="Q6" s="212">
        <v>3075275</v>
      </c>
      <c r="R6" s="212">
        <v>3078513</v>
      </c>
      <c r="S6" s="212">
        <v>3082058</v>
      </c>
      <c r="T6" s="212">
        <v>3085542</v>
      </c>
      <c r="U6" s="212">
        <v>3088972</v>
      </c>
      <c r="V6" s="212">
        <v>3092635</v>
      </c>
      <c r="W6" s="212">
        <v>3095896</v>
      </c>
      <c r="X6" s="212">
        <v>3099066</v>
      </c>
      <c r="Y6" s="212">
        <v>3102418</v>
      </c>
      <c r="Z6" s="212">
        <v>3105796</v>
      </c>
      <c r="AA6" s="212">
        <v>3109234</v>
      </c>
      <c r="AB6" s="212">
        <v>3112664</v>
      </c>
      <c r="AC6" s="212">
        <v>3116057</v>
      </c>
      <c r="AD6" s="212">
        <v>3119403</v>
      </c>
      <c r="AE6" s="212">
        <v>3122499</v>
      </c>
      <c r="AF6" s="212">
        <v>3125948</v>
      </c>
      <c r="AG6" s="287"/>
      <c r="AH6" s="287"/>
      <c r="AI6" s="212">
        <v>3022204</v>
      </c>
      <c r="AJ6" s="318"/>
      <c r="AK6" s="318"/>
      <c r="AN6" s="288"/>
    </row>
    <row r="7" spans="1:40">
      <c r="A7" s="285" t="s">
        <v>57</v>
      </c>
      <c r="B7" s="212">
        <v>7410482</v>
      </c>
      <c r="C7" s="212">
        <v>7423667</v>
      </c>
      <c r="D7" s="212">
        <v>7437099</v>
      </c>
      <c r="E7" s="212">
        <v>7450753</v>
      </c>
      <c r="F7" s="212">
        <v>7464707</v>
      </c>
      <c r="G7" s="212">
        <v>7479013</v>
      </c>
      <c r="H7" s="212">
        <v>7493376</v>
      </c>
      <c r="I7" s="212">
        <v>7508290</v>
      </c>
      <c r="J7" s="212">
        <v>7521562</v>
      </c>
      <c r="K7" s="212">
        <v>7528455</v>
      </c>
      <c r="L7" s="212">
        <v>7535599</v>
      </c>
      <c r="M7" s="212">
        <v>7542917</v>
      </c>
      <c r="N7" s="212">
        <v>7550283</v>
      </c>
      <c r="O7" s="212">
        <v>7557190</v>
      </c>
      <c r="P7" s="212">
        <v>7564796</v>
      </c>
      <c r="Q7" s="212">
        <v>7571242</v>
      </c>
      <c r="R7" s="212">
        <v>7571319</v>
      </c>
      <c r="S7" s="212">
        <v>7571435</v>
      </c>
      <c r="T7" s="212">
        <v>7571512</v>
      </c>
      <c r="U7" s="212">
        <v>7571590</v>
      </c>
      <c r="V7" s="212">
        <v>7571671</v>
      </c>
      <c r="W7" s="212">
        <v>7571746</v>
      </c>
      <c r="X7" s="212">
        <v>7573125</v>
      </c>
      <c r="Y7" s="212">
        <v>7581342</v>
      </c>
      <c r="Z7" s="212">
        <v>7589940</v>
      </c>
      <c r="AA7" s="212">
        <v>7598435</v>
      </c>
      <c r="AB7" s="212">
        <v>7607702</v>
      </c>
      <c r="AC7" s="212">
        <v>7616407</v>
      </c>
      <c r="AD7" s="212">
        <v>7624847</v>
      </c>
      <c r="AE7" s="212">
        <v>7634324</v>
      </c>
      <c r="AF7" s="212">
        <v>7650169</v>
      </c>
      <c r="AG7" s="287"/>
      <c r="AH7" s="287"/>
      <c r="AI7" s="212">
        <v>7399265</v>
      </c>
      <c r="AJ7" s="318"/>
      <c r="AK7" s="318"/>
      <c r="AN7" s="288"/>
    </row>
    <row r="8" spans="1:40">
      <c r="A8" s="285" t="s">
        <v>58</v>
      </c>
      <c r="B8" s="212">
        <v>2418397</v>
      </c>
      <c r="C8" s="212">
        <v>2418397</v>
      </c>
      <c r="D8" s="212">
        <v>2418397</v>
      </c>
      <c r="E8" s="212">
        <v>2418397</v>
      </c>
      <c r="F8" s="212">
        <v>2418397</v>
      </c>
      <c r="G8" s="212">
        <v>2418397</v>
      </c>
      <c r="H8" s="212">
        <v>2418397</v>
      </c>
      <c r="I8" s="212">
        <v>2418397</v>
      </c>
      <c r="J8" s="212">
        <v>2418686</v>
      </c>
      <c r="K8" s="212">
        <v>2420674</v>
      </c>
      <c r="L8" s="212">
        <v>2422951</v>
      </c>
      <c r="M8" s="212">
        <v>2425275</v>
      </c>
      <c r="N8" s="212">
        <v>2427621</v>
      </c>
      <c r="O8" s="212">
        <v>2429826</v>
      </c>
      <c r="P8" s="212">
        <v>2432245</v>
      </c>
      <c r="Q8" s="212">
        <v>2434984</v>
      </c>
      <c r="R8" s="212">
        <v>2440670</v>
      </c>
      <c r="S8" s="212">
        <v>2446560</v>
      </c>
      <c r="T8" s="212">
        <v>2451916</v>
      </c>
      <c r="U8" s="212">
        <v>2457793</v>
      </c>
      <c r="V8" s="212">
        <v>2464158</v>
      </c>
      <c r="W8" s="212">
        <v>2470041</v>
      </c>
      <c r="X8" s="212">
        <v>2475747</v>
      </c>
      <c r="Y8" s="212">
        <v>2478250</v>
      </c>
      <c r="Z8" s="212">
        <v>2480867</v>
      </c>
      <c r="AA8" s="212">
        <v>2483487</v>
      </c>
      <c r="AB8" s="212">
        <v>2486305</v>
      </c>
      <c r="AC8" s="212">
        <v>2488968</v>
      </c>
      <c r="AD8" s="212">
        <v>2491507</v>
      </c>
      <c r="AE8" s="212">
        <v>2493724</v>
      </c>
      <c r="AF8" s="212">
        <v>2494433</v>
      </c>
      <c r="AG8" s="287"/>
      <c r="AH8" s="287"/>
      <c r="AI8" s="212">
        <v>2417664</v>
      </c>
      <c r="AJ8" s="318"/>
      <c r="AK8" s="318"/>
      <c r="AN8" s="288"/>
    </row>
    <row r="9" spans="1:40">
      <c r="A9" s="285" t="s">
        <v>59</v>
      </c>
      <c r="B9" s="214">
        <v>15712452</v>
      </c>
      <c r="C9" s="214">
        <v>15724777</v>
      </c>
      <c r="D9" s="214">
        <v>15737118</v>
      </c>
      <c r="E9" s="214">
        <v>15749541</v>
      </c>
      <c r="F9" s="214">
        <v>15762339</v>
      </c>
      <c r="G9" s="214">
        <v>15775586</v>
      </c>
      <c r="H9" s="214">
        <v>15788765</v>
      </c>
      <c r="I9" s="214">
        <v>15802207</v>
      </c>
      <c r="J9" s="214">
        <v>15815220</v>
      </c>
      <c r="K9" s="214">
        <v>15827813</v>
      </c>
      <c r="L9" s="214">
        <v>15840902</v>
      </c>
      <c r="M9" s="214">
        <v>15854304</v>
      </c>
      <c r="N9" s="214">
        <v>15867626</v>
      </c>
      <c r="O9" s="214">
        <v>15880973</v>
      </c>
      <c r="P9" s="214">
        <v>15894350</v>
      </c>
      <c r="Q9" s="214">
        <v>15907682</v>
      </c>
      <c r="R9" s="214">
        <v>15921383</v>
      </c>
      <c r="S9" s="214">
        <v>15935504</v>
      </c>
      <c r="T9" s="214">
        <v>15949253</v>
      </c>
      <c r="U9" s="214">
        <v>15962990</v>
      </c>
      <c r="V9" s="214">
        <v>15977950</v>
      </c>
      <c r="W9" s="214">
        <v>15991443</v>
      </c>
      <c r="X9" s="214">
        <v>16005313</v>
      </c>
      <c r="Y9" s="214">
        <v>16019362</v>
      </c>
      <c r="Z9" s="214">
        <v>16033400</v>
      </c>
      <c r="AA9" s="214">
        <v>16047527</v>
      </c>
      <c r="AB9" s="214">
        <v>16061776</v>
      </c>
      <c r="AC9" s="214">
        <v>16075568</v>
      </c>
      <c r="AD9" s="214">
        <v>16089278</v>
      </c>
      <c r="AE9" s="214">
        <v>16102394</v>
      </c>
      <c r="AF9" s="214">
        <v>16116265</v>
      </c>
      <c r="AG9" s="290"/>
      <c r="AH9" s="290"/>
      <c r="AI9" s="214">
        <v>15699988</v>
      </c>
      <c r="AJ9" s="318"/>
      <c r="AK9" s="318"/>
      <c r="AN9" s="288"/>
    </row>
    <row r="10" spans="1:40">
      <c r="A10" s="285" t="s">
        <v>60</v>
      </c>
      <c r="B10" s="212">
        <v>4904647</v>
      </c>
      <c r="C10" s="212">
        <v>4908580</v>
      </c>
      <c r="D10" s="212">
        <v>4912533</v>
      </c>
      <c r="E10" s="212">
        <v>4917114</v>
      </c>
      <c r="F10" s="212">
        <v>4921723</v>
      </c>
      <c r="G10" s="212">
        <v>4926320</v>
      </c>
      <c r="H10" s="212">
        <v>4930052</v>
      </c>
      <c r="I10" s="212">
        <v>4934702</v>
      </c>
      <c r="J10" s="212">
        <v>4937753</v>
      </c>
      <c r="K10" s="212">
        <v>4940965</v>
      </c>
      <c r="L10" s="212">
        <v>4944405</v>
      </c>
      <c r="M10" s="212">
        <v>4947844</v>
      </c>
      <c r="N10" s="212">
        <v>4951353</v>
      </c>
      <c r="O10" s="212">
        <v>4954944</v>
      </c>
      <c r="P10" s="212">
        <v>4958376</v>
      </c>
      <c r="Q10" s="212">
        <v>4961628</v>
      </c>
      <c r="R10" s="212">
        <v>4965652</v>
      </c>
      <c r="S10" s="212">
        <v>4970393</v>
      </c>
      <c r="T10" s="212">
        <v>4975051</v>
      </c>
      <c r="U10" s="212">
        <v>4979739</v>
      </c>
      <c r="V10" s="212">
        <v>4984678</v>
      </c>
      <c r="W10" s="212">
        <v>4988857</v>
      </c>
      <c r="X10" s="212">
        <v>4992685</v>
      </c>
      <c r="Y10" s="212">
        <v>4996715</v>
      </c>
      <c r="Z10" s="212">
        <v>5001259</v>
      </c>
      <c r="AA10" s="212">
        <v>5005832</v>
      </c>
      <c r="AB10" s="212">
        <v>5010485</v>
      </c>
      <c r="AC10" s="212">
        <v>5015016</v>
      </c>
      <c r="AD10" s="212">
        <v>5019287</v>
      </c>
      <c r="AE10" s="212">
        <v>5022883</v>
      </c>
      <c r="AF10" s="212">
        <v>5026963</v>
      </c>
      <c r="AG10" s="287"/>
      <c r="AH10" s="287"/>
      <c r="AI10" s="212">
        <v>4900197</v>
      </c>
      <c r="AJ10" s="318"/>
      <c r="AK10" s="318"/>
      <c r="AN10" s="288"/>
    </row>
    <row r="11" spans="1:40">
      <c r="A11" s="285" t="s">
        <v>61</v>
      </c>
      <c r="B11" s="212">
        <v>188031</v>
      </c>
      <c r="C11" s="212">
        <v>188199</v>
      </c>
      <c r="D11" s="212">
        <v>188372</v>
      </c>
      <c r="E11" s="212">
        <v>188539</v>
      </c>
      <c r="F11" s="212">
        <v>188707</v>
      </c>
      <c r="G11" s="212">
        <v>188875</v>
      </c>
      <c r="H11" s="212">
        <v>189044</v>
      </c>
      <c r="I11" s="212">
        <v>189198</v>
      </c>
      <c r="J11" s="212">
        <v>189346</v>
      </c>
      <c r="K11" s="212">
        <v>189498</v>
      </c>
      <c r="L11" s="212">
        <v>189655</v>
      </c>
      <c r="M11" s="212">
        <v>189816</v>
      </c>
      <c r="N11" s="212">
        <v>189976</v>
      </c>
      <c r="O11" s="212">
        <v>190143</v>
      </c>
      <c r="P11" s="212">
        <v>190306</v>
      </c>
      <c r="Q11" s="212">
        <v>190462</v>
      </c>
      <c r="R11" s="212">
        <v>190619</v>
      </c>
      <c r="S11" s="212">
        <v>190779</v>
      </c>
      <c r="T11" s="212">
        <v>190937</v>
      </c>
      <c r="U11" s="212">
        <v>191106</v>
      </c>
      <c r="V11" s="212">
        <v>191278</v>
      </c>
      <c r="W11" s="212">
        <v>191433</v>
      </c>
      <c r="X11" s="212">
        <v>191587</v>
      </c>
      <c r="Y11" s="212">
        <v>191749</v>
      </c>
      <c r="Z11" s="212">
        <v>191911</v>
      </c>
      <c r="AA11" s="212">
        <v>192076</v>
      </c>
      <c r="AB11" s="212">
        <v>192242</v>
      </c>
      <c r="AC11" s="212">
        <v>192405</v>
      </c>
      <c r="AD11" s="212">
        <v>192564</v>
      </c>
      <c r="AE11" s="212">
        <v>192710</v>
      </c>
      <c r="AF11" s="212">
        <v>192871</v>
      </c>
      <c r="AG11" s="287"/>
      <c r="AH11" s="287"/>
      <c r="AI11" s="212">
        <v>187867</v>
      </c>
      <c r="AJ11" s="318"/>
      <c r="AK11" s="318"/>
      <c r="AN11" s="288"/>
    </row>
    <row r="12" spans="1:40">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293"/>
      <c r="AH12" s="293"/>
      <c r="AI12" s="162"/>
      <c r="AJ12" s="294"/>
      <c r="AK12" s="294"/>
      <c r="AL12" s="294"/>
      <c r="AM12" s="294"/>
      <c r="AN12" s="294"/>
    </row>
    <row r="13" spans="1:40" ht="51">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81" t="s">
        <v>106</v>
      </c>
      <c r="AG13" s="296"/>
      <c r="AH13" s="296"/>
      <c r="AI13" s="181" t="s">
        <v>106</v>
      </c>
    </row>
    <row r="14" spans="1:40" ht="51">
      <c r="A14" s="282" t="s">
        <v>66</v>
      </c>
      <c r="B14" s="182">
        <v>251973.84</v>
      </c>
      <c r="C14" s="182">
        <v>253359.88</v>
      </c>
      <c r="D14" s="182">
        <v>253359.88</v>
      </c>
      <c r="E14" s="182">
        <v>253359.88</v>
      </c>
      <c r="F14" s="182">
        <v>253359.88</v>
      </c>
      <c r="G14" s="182">
        <v>253359.88</v>
      </c>
      <c r="H14" s="182">
        <v>253359.88</v>
      </c>
      <c r="I14" s="182">
        <v>253359.88</v>
      </c>
      <c r="J14" s="182">
        <v>254732.23</v>
      </c>
      <c r="K14" s="182">
        <v>254732.23</v>
      </c>
      <c r="L14" s="182">
        <v>254732.23</v>
      </c>
      <c r="M14" s="182">
        <v>254732.23</v>
      </c>
      <c r="N14" s="182">
        <v>254732.23</v>
      </c>
      <c r="O14" s="182">
        <v>254732.23</v>
      </c>
      <c r="P14" s="182">
        <v>254732.23</v>
      </c>
      <c r="Q14" s="182">
        <v>255826.26</v>
      </c>
      <c r="R14" s="182">
        <v>254732.23</v>
      </c>
      <c r="S14" s="182">
        <v>254732.23</v>
      </c>
      <c r="T14" s="182">
        <v>254732.23</v>
      </c>
      <c r="U14" s="182">
        <v>254732.23</v>
      </c>
      <c r="V14" s="182">
        <v>254732.23</v>
      </c>
      <c r="W14" s="182">
        <v>254732.23</v>
      </c>
      <c r="X14" s="182">
        <v>257345.26</v>
      </c>
      <c r="Y14" s="182">
        <v>257345.26</v>
      </c>
      <c r="Z14" s="182">
        <v>257345.26</v>
      </c>
      <c r="AA14" s="182">
        <v>257345.26</v>
      </c>
      <c r="AB14" s="182">
        <v>257345.26</v>
      </c>
      <c r="AC14" s="182">
        <v>257345.26</v>
      </c>
      <c r="AD14" s="182">
        <v>257345.26</v>
      </c>
      <c r="AE14" s="182">
        <v>258462.1</v>
      </c>
      <c r="AF14" s="182">
        <v>258462.1</v>
      </c>
      <c r="AG14" s="319"/>
      <c r="AH14" s="319"/>
      <c r="AI14" s="182">
        <v>251973.84</v>
      </c>
    </row>
    <row r="15" spans="1:40" ht="89.25">
      <c r="A15" s="282" t="s">
        <v>67</v>
      </c>
      <c r="B15" s="183">
        <v>1476</v>
      </c>
      <c r="C15" s="183">
        <v>1479</v>
      </c>
      <c r="D15" s="183">
        <v>1479</v>
      </c>
      <c r="E15" s="183">
        <v>1480</v>
      </c>
      <c r="F15" s="183">
        <v>1480</v>
      </c>
      <c r="G15" s="183">
        <v>1481</v>
      </c>
      <c r="H15" s="183">
        <v>1482</v>
      </c>
      <c r="I15" s="183">
        <v>1482</v>
      </c>
      <c r="J15" s="183">
        <v>1483</v>
      </c>
      <c r="K15" s="183">
        <v>1483</v>
      </c>
      <c r="L15" s="183">
        <v>1483</v>
      </c>
      <c r="M15" s="183">
        <v>1484</v>
      </c>
      <c r="N15" s="183">
        <v>1484</v>
      </c>
      <c r="O15" s="183">
        <v>1485</v>
      </c>
      <c r="P15" s="183">
        <v>1485</v>
      </c>
      <c r="Q15" s="183">
        <v>1485</v>
      </c>
      <c r="R15" s="183">
        <v>1485</v>
      </c>
      <c r="S15" s="183">
        <v>1486</v>
      </c>
      <c r="T15" s="183">
        <v>1486</v>
      </c>
      <c r="U15" s="183">
        <v>1486</v>
      </c>
      <c r="V15" s="183">
        <v>1487</v>
      </c>
      <c r="W15" s="183">
        <v>1487</v>
      </c>
      <c r="X15" s="183">
        <v>1488</v>
      </c>
      <c r="Y15" s="183">
        <v>1489</v>
      </c>
      <c r="Z15" s="183">
        <v>1489</v>
      </c>
      <c r="AA15" s="183">
        <v>1489</v>
      </c>
      <c r="AB15" s="183">
        <v>1490</v>
      </c>
      <c r="AC15" s="183">
        <v>1490</v>
      </c>
      <c r="AD15" s="183">
        <v>1490</v>
      </c>
      <c r="AE15" s="183">
        <v>1492</v>
      </c>
      <c r="AF15" s="183">
        <v>1493</v>
      </c>
      <c r="AG15" s="320"/>
      <c r="AH15" s="320"/>
      <c r="AI15" s="183">
        <v>1476</v>
      </c>
    </row>
    <row r="16" spans="1:40" ht="89.25">
      <c r="A16" s="282" t="s">
        <v>68</v>
      </c>
      <c r="B16" s="183">
        <v>4590</v>
      </c>
      <c r="C16" s="183">
        <v>4590</v>
      </c>
      <c r="D16" s="183">
        <v>4590</v>
      </c>
      <c r="E16" s="183">
        <v>4590</v>
      </c>
      <c r="F16" s="183">
        <v>4590</v>
      </c>
      <c r="G16" s="183">
        <v>4590</v>
      </c>
      <c r="H16" s="183">
        <v>4590</v>
      </c>
      <c r="I16" s="183">
        <v>4590</v>
      </c>
      <c r="J16" s="183">
        <v>4664</v>
      </c>
      <c r="K16" s="183">
        <v>4664</v>
      </c>
      <c r="L16" s="183">
        <v>4664</v>
      </c>
      <c r="M16" s="183">
        <v>4664</v>
      </c>
      <c r="N16" s="183">
        <v>4664</v>
      </c>
      <c r="O16" s="183">
        <v>4664</v>
      </c>
      <c r="P16" s="183">
        <v>4664</v>
      </c>
      <c r="Q16" s="183">
        <v>4735</v>
      </c>
      <c r="R16" s="183">
        <v>4735</v>
      </c>
      <c r="S16" s="183">
        <v>4735</v>
      </c>
      <c r="T16" s="183">
        <v>4735</v>
      </c>
      <c r="U16" s="183">
        <v>4735</v>
      </c>
      <c r="V16" s="183">
        <v>4735</v>
      </c>
      <c r="W16" s="183">
        <v>4735</v>
      </c>
      <c r="X16" s="183">
        <v>4951</v>
      </c>
      <c r="Y16" s="183">
        <v>4951</v>
      </c>
      <c r="Z16" s="183">
        <v>4951</v>
      </c>
      <c r="AA16" s="183">
        <v>4951</v>
      </c>
      <c r="AB16" s="183">
        <v>4951</v>
      </c>
      <c r="AC16" s="183">
        <v>4951</v>
      </c>
      <c r="AD16" s="183">
        <v>4951</v>
      </c>
      <c r="AE16" s="183">
        <v>4951</v>
      </c>
      <c r="AF16" s="183">
        <v>4951</v>
      </c>
      <c r="AG16" s="320"/>
      <c r="AH16" s="320"/>
      <c r="AI16" s="183">
        <v>4590</v>
      </c>
    </row>
    <row r="17" spans="1:36">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304"/>
      <c r="AH17" s="304"/>
      <c r="AI17" s="162"/>
    </row>
    <row r="18" spans="1:36" ht="38.25">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81" t="s">
        <v>106</v>
      </c>
      <c r="AG18" s="296"/>
      <c r="AH18" s="296"/>
      <c r="AI18" s="181" t="s">
        <v>106</v>
      </c>
    </row>
    <row r="19" spans="1:36" ht="89.25">
      <c r="A19" s="282" t="s">
        <v>70</v>
      </c>
      <c r="B19" s="186">
        <v>63861.599999999999</v>
      </c>
      <c r="C19" s="186">
        <v>63899.7</v>
      </c>
      <c r="D19" s="186">
        <v>63955.5</v>
      </c>
      <c r="E19" s="186">
        <v>64014.400000000001</v>
      </c>
      <c r="F19" s="186">
        <v>64073.2</v>
      </c>
      <c r="G19" s="186">
        <v>64136.2</v>
      </c>
      <c r="H19" s="186">
        <v>64178.1</v>
      </c>
      <c r="I19" s="186">
        <v>64273.599999999999</v>
      </c>
      <c r="J19" s="186">
        <v>64273.599999999999</v>
      </c>
      <c r="K19" s="186">
        <v>64324.9</v>
      </c>
      <c r="L19" s="186">
        <v>64365.1</v>
      </c>
      <c r="M19" s="186">
        <v>64423.9</v>
      </c>
      <c r="N19" s="186">
        <v>64481.1</v>
      </c>
      <c r="O19" s="186">
        <v>64539.1</v>
      </c>
      <c r="P19" s="186">
        <v>64595.4</v>
      </c>
      <c r="Q19" s="186">
        <v>64629.1</v>
      </c>
      <c r="R19" s="186">
        <v>64667.3</v>
      </c>
      <c r="S19" s="186">
        <v>64731.1</v>
      </c>
      <c r="T19" s="186">
        <v>64794.1</v>
      </c>
      <c r="U19" s="186">
        <v>64852.1</v>
      </c>
      <c r="V19" s="186">
        <v>64905.9</v>
      </c>
      <c r="W19" s="186">
        <v>64966.6</v>
      </c>
      <c r="X19" s="186">
        <v>64999.4</v>
      </c>
      <c r="Y19" s="186">
        <v>65043.1</v>
      </c>
      <c r="Z19" s="186">
        <v>65106.1</v>
      </c>
      <c r="AA19" s="186">
        <v>65172.6</v>
      </c>
      <c r="AB19" s="186">
        <v>65238.5</v>
      </c>
      <c r="AC19" s="186">
        <v>65301.3</v>
      </c>
      <c r="AD19" s="186">
        <v>65365.7</v>
      </c>
      <c r="AE19" s="186">
        <v>65403.5</v>
      </c>
      <c r="AF19" s="186">
        <v>65439.9</v>
      </c>
      <c r="AG19" s="321"/>
      <c r="AH19" s="321"/>
      <c r="AI19" s="186">
        <v>63803.7</v>
      </c>
      <c r="AJ19" s="307"/>
    </row>
    <row r="20" spans="1:36" ht="102">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183" t="s">
        <v>1307</v>
      </c>
      <c r="AG20" s="209"/>
      <c r="AH20" s="209"/>
      <c r="AI20" s="183" t="s">
        <v>1307</v>
      </c>
      <c r="AJ20" s="307"/>
    </row>
    <row r="21" spans="1:36" ht="63.75">
      <c r="A21" s="282" t="s">
        <v>72</v>
      </c>
      <c r="B21" s="183">
        <v>95031</v>
      </c>
      <c r="C21" s="183">
        <v>96541</v>
      </c>
      <c r="D21" s="183">
        <v>96541</v>
      </c>
      <c r="E21" s="183">
        <v>96541</v>
      </c>
      <c r="F21" s="183">
        <v>96541</v>
      </c>
      <c r="G21" s="183">
        <v>96541</v>
      </c>
      <c r="H21" s="183">
        <v>96541</v>
      </c>
      <c r="I21" s="183">
        <v>96541</v>
      </c>
      <c r="J21" s="183">
        <v>97947</v>
      </c>
      <c r="K21" s="183">
        <v>97947</v>
      </c>
      <c r="L21" s="183">
        <v>97947</v>
      </c>
      <c r="M21" s="183">
        <v>97947</v>
      </c>
      <c r="N21" s="183">
        <v>97947</v>
      </c>
      <c r="O21" s="183">
        <v>97947</v>
      </c>
      <c r="P21" s="183">
        <v>97947</v>
      </c>
      <c r="Q21" s="183">
        <v>99336</v>
      </c>
      <c r="R21" s="183">
        <v>97947</v>
      </c>
      <c r="S21" s="183">
        <v>97947</v>
      </c>
      <c r="T21" s="183">
        <v>97947</v>
      </c>
      <c r="U21" s="183">
        <v>97947</v>
      </c>
      <c r="V21" s="183">
        <v>97947</v>
      </c>
      <c r="W21" s="183">
        <v>97947</v>
      </c>
      <c r="X21" s="183">
        <v>100786</v>
      </c>
      <c r="Y21" s="183">
        <v>100786</v>
      </c>
      <c r="Z21" s="183">
        <v>100786</v>
      </c>
      <c r="AA21" s="183">
        <v>100786</v>
      </c>
      <c r="AB21" s="183">
        <v>100786</v>
      </c>
      <c r="AC21" s="183">
        <v>100786</v>
      </c>
      <c r="AD21" s="183">
        <v>100786</v>
      </c>
      <c r="AE21" s="183">
        <v>102313</v>
      </c>
      <c r="AF21" s="183">
        <v>102313</v>
      </c>
      <c r="AG21" s="321"/>
      <c r="AH21" s="321"/>
      <c r="AI21" s="183">
        <v>95031</v>
      </c>
      <c r="AJ21" s="307"/>
    </row>
    <row r="22" spans="1:36" ht="51">
      <c r="A22" s="282" t="s">
        <v>73</v>
      </c>
      <c r="B22" s="322">
        <v>150641</v>
      </c>
      <c r="C22" s="322">
        <v>150770</v>
      </c>
      <c r="D22" s="322">
        <v>150906</v>
      </c>
      <c r="E22" s="322">
        <v>151057</v>
      </c>
      <c r="F22" s="322">
        <v>151189</v>
      </c>
      <c r="G22" s="322">
        <v>151342</v>
      </c>
      <c r="H22" s="322">
        <v>151480</v>
      </c>
      <c r="I22" s="322">
        <v>151624</v>
      </c>
      <c r="J22" s="322">
        <v>151764</v>
      </c>
      <c r="K22" s="322">
        <v>151886</v>
      </c>
      <c r="L22" s="322">
        <v>152022</v>
      </c>
      <c r="M22" s="322">
        <v>152167</v>
      </c>
      <c r="N22" s="322">
        <v>152299</v>
      </c>
      <c r="O22" s="322">
        <v>152432</v>
      </c>
      <c r="P22" s="322">
        <v>152559</v>
      </c>
      <c r="Q22" s="322">
        <v>152695</v>
      </c>
      <c r="R22" s="322">
        <v>152839</v>
      </c>
      <c r="S22" s="322">
        <v>153010</v>
      </c>
      <c r="T22" s="322">
        <v>153160</v>
      </c>
      <c r="U22" s="322">
        <v>153331</v>
      </c>
      <c r="V22" s="322">
        <v>153501</v>
      </c>
      <c r="W22" s="322">
        <v>153648</v>
      </c>
      <c r="X22" s="322">
        <v>153815</v>
      </c>
      <c r="Y22" s="322">
        <v>153962</v>
      </c>
      <c r="Z22" s="322">
        <v>154120</v>
      </c>
      <c r="AA22" s="322">
        <v>154268</v>
      </c>
      <c r="AB22" s="322">
        <v>154435</v>
      </c>
      <c r="AC22" s="322">
        <v>154582</v>
      </c>
      <c r="AD22" s="322">
        <v>154715</v>
      </c>
      <c r="AE22" s="322">
        <v>154854</v>
      </c>
      <c r="AF22" s="322">
        <v>155011</v>
      </c>
      <c r="AG22" s="321">
        <f>AF22-AI22</f>
        <v>4517</v>
      </c>
      <c r="AH22" s="321"/>
      <c r="AI22" s="322">
        <v>150494</v>
      </c>
      <c r="AJ22" s="307"/>
    </row>
    <row r="23" spans="1:36" ht="51">
      <c r="A23" s="309" t="s">
        <v>136</v>
      </c>
      <c r="B23" s="183">
        <v>3542</v>
      </c>
      <c r="C23" s="183">
        <v>3589</v>
      </c>
      <c r="D23" s="183">
        <v>3589</v>
      </c>
      <c r="E23" s="183">
        <v>3589</v>
      </c>
      <c r="F23" s="183">
        <v>3589</v>
      </c>
      <c r="G23" s="183">
        <v>3589</v>
      </c>
      <c r="H23" s="183">
        <v>3589</v>
      </c>
      <c r="I23" s="183">
        <v>3589</v>
      </c>
      <c r="J23" s="183">
        <v>3632</v>
      </c>
      <c r="K23" s="183">
        <v>3632</v>
      </c>
      <c r="L23" s="183">
        <v>3632</v>
      </c>
      <c r="M23" s="183">
        <v>3632</v>
      </c>
      <c r="N23" s="183">
        <v>3632</v>
      </c>
      <c r="O23" s="183">
        <v>3632</v>
      </c>
      <c r="P23" s="183">
        <v>3632</v>
      </c>
      <c r="Q23" s="183">
        <v>3635</v>
      </c>
      <c r="R23" s="183">
        <v>3632</v>
      </c>
      <c r="S23" s="183">
        <v>3632</v>
      </c>
      <c r="T23" s="183">
        <v>3632</v>
      </c>
      <c r="U23" s="183">
        <v>3632</v>
      </c>
      <c r="V23" s="183">
        <v>3632</v>
      </c>
      <c r="W23" s="183">
        <v>3632</v>
      </c>
      <c r="X23" s="183">
        <v>3699</v>
      </c>
      <c r="Y23" s="183">
        <v>3699</v>
      </c>
      <c r="Z23" s="183">
        <v>3699</v>
      </c>
      <c r="AA23" s="183">
        <v>3699</v>
      </c>
      <c r="AB23" s="183">
        <v>3699</v>
      </c>
      <c r="AC23" s="183">
        <v>3699</v>
      </c>
      <c r="AD23" s="183">
        <v>3699</v>
      </c>
      <c r="AE23" s="183">
        <v>3764</v>
      </c>
      <c r="AF23" s="183">
        <v>3764</v>
      </c>
      <c r="AG23" s="323">
        <v>222</v>
      </c>
      <c r="AH23" s="208">
        <v>222</v>
      </c>
      <c r="AI23" s="183">
        <v>3542</v>
      </c>
      <c r="AJ23" s="307"/>
    </row>
    <row r="24" spans="1:36" ht="51">
      <c r="A24" s="309" t="s">
        <v>139</v>
      </c>
      <c r="B24" s="183">
        <v>3570</v>
      </c>
      <c r="C24" s="183">
        <v>3627</v>
      </c>
      <c r="D24" s="183">
        <v>3627</v>
      </c>
      <c r="E24" s="183">
        <v>3627</v>
      </c>
      <c r="F24" s="183">
        <v>3627</v>
      </c>
      <c r="G24" s="183">
        <v>3627</v>
      </c>
      <c r="H24" s="183">
        <v>3627</v>
      </c>
      <c r="I24" s="183">
        <v>3627</v>
      </c>
      <c r="J24" s="183">
        <v>3686</v>
      </c>
      <c r="K24" s="183">
        <v>3686</v>
      </c>
      <c r="L24" s="183">
        <v>3686</v>
      </c>
      <c r="M24" s="183">
        <v>3686</v>
      </c>
      <c r="N24" s="183">
        <v>3686</v>
      </c>
      <c r="O24" s="183">
        <v>3686</v>
      </c>
      <c r="P24" s="183">
        <v>3686</v>
      </c>
      <c r="Q24" s="183">
        <v>3749</v>
      </c>
      <c r="R24" s="183">
        <v>3686</v>
      </c>
      <c r="S24" s="183">
        <v>3686</v>
      </c>
      <c r="T24" s="183">
        <v>3686</v>
      </c>
      <c r="U24" s="183">
        <v>3686</v>
      </c>
      <c r="V24" s="183">
        <v>3686</v>
      </c>
      <c r="W24" s="183">
        <v>3686</v>
      </c>
      <c r="X24" s="183">
        <v>3821</v>
      </c>
      <c r="Y24" s="183">
        <v>3821</v>
      </c>
      <c r="Z24" s="183">
        <v>3821</v>
      </c>
      <c r="AA24" s="183">
        <v>3821</v>
      </c>
      <c r="AB24" s="183">
        <v>3821</v>
      </c>
      <c r="AC24" s="183">
        <v>3821</v>
      </c>
      <c r="AD24" s="183">
        <v>3821</v>
      </c>
      <c r="AE24" s="183">
        <v>3900</v>
      </c>
      <c r="AF24" s="183">
        <v>3900</v>
      </c>
      <c r="AG24" s="323">
        <v>330</v>
      </c>
      <c r="AH24" s="208">
        <v>330</v>
      </c>
      <c r="AI24" s="183">
        <v>3570</v>
      </c>
      <c r="AJ24" s="307"/>
    </row>
    <row r="25" spans="1:36" ht="51">
      <c r="A25" s="309" t="s">
        <v>142</v>
      </c>
      <c r="B25" s="183">
        <v>1388</v>
      </c>
      <c r="C25" s="183">
        <v>1412</v>
      </c>
      <c r="D25" s="183">
        <v>1412</v>
      </c>
      <c r="E25" s="183">
        <v>1412</v>
      </c>
      <c r="F25" s="183">
        <v>1412</v>
      </c>
      <c r="G25" s="183">
        <v>1412</v>
      </c>
      <c r="H25" s="183">
        <v>1412</v>
      </c>
      <c r="I25" s="183">
        <v>1412</v>
      </c>
      <c r="J25" s="183">
        <v>1426</v>
      </c>
      <c r="K25" s="183">
        <v>1426</v>
      </c>
      <c r="L25" s="183">
        <v>1426</v>
      </c>
      <c r="M25" s="183">
        <v>1426</v>
      </c>
      <c r="N25" s="183">
        <v>1426</v>
      </c>
      <c r="O25" s="183">
        <v>1426</v>
      </c>
      <c r="P25" s="183">
        <v>1426</v>
      </c>
      <c r="Q25" s="183">
        <v>1426</v>
      </c>
      <c r="R25" s="183">
        <v>1426</v>
      </c>
      <c r="S25" s="183">
        <v>1426</v>
      </c>
      <c r="T25" s="183">
        <v>1426</v>
      </c>
      <c r="U25" s="183">
        <v>1426</v>
      </c>
      <c r="V25" s="183">
        <v>1426</v>
      </c>
      <c r="W25" s="183">
        <v>1426</v>
      </c>
      <c r="X25" s="183">
        <v>1443</v>
      </c>
      <c r="Y25" s="183">
        <v>1443</v>
      </c>
      <c r="Z25" s="183">
        <v>1443</v>
      </c>
      <c r="AA25" s="183">
        <v>1443</v>
      </c>
      <c r="AB25" s="183">
        <v>1443</v>
      </c>
      <c r="AC25" s="183">
        <v>1443</v>
      </c>
      <c r="AD25" s="183">
        <v>1443</v>
      </c>
      <c r="AE25" s="183">
        <v>1456</v>
      </c>
      <c r="AF25" s="183">
        <v>1456</v>
      </c>
      <c r="AG25" s="323">
        <v>68</v>
      </c>
      <c r="AH25" s="208">
        <v>68</v>
      </c>
      <c r="AI25" s="183">
        <v>1388</v>
      </c>
      <c r="AJ25" s="307"/>
    </row>
    <row r="26" spans="1:36" ht="51">
      <c r="A26" s="309" t="s">
        <v>145</v>
      </c>
      <c r="B26" s="183">
        <v>280</v>
      </c>
      <c r="C26" s="183">
        <v>299</v>
      </c>
      <c r="D26" s="183">
        <v>299</v>
      </c>
      <c r="E26" s="183">
        <v>299</v>
      </c>
      <c r="F26" s="183">
        <v>299</v>
      </c>
      <c r="G26" s="183">
        <v>299</v>
      </c>
      <c r="H26" s="183">
        <v>299</v>
      </c>
      <c r="I26" s="183">
        <v>299</v>
      </c>
      <c r="J26" s="183">
        <v>310</v>
      </c>
      <c r="K26" s="183">
        <v>310</v>
      </c>
      <c r="L26" s="183">
        <v>310</v>
      </c>
      <c r="M26" s="183">
        <v>310</v>
      </c>
      <c r="N26" s="183">
        <v>310</v>
      </c>
      <c r="O26" s="183">
        <v>310</v>
      </c>
      <c r="P26" s="183">
        <v>310</v>
      </c>
      <c r="Q26" s="183">
        <v>312</v>
      </c>
      <c r="R26" s="183">
        <v>310</v>
      </c>
      <c r="S26" s="183">
        <v>310</v>
      </c>
      <c r="T26" s="183">
        <v>310</v>
      </c>
      <c r="U26" s="183">
        <v>310</v>
      </c>
      <c r="V26" s="183">
        <v>310</v>
      </c>
      <c r="W26" s="183">
        <v>310</v>
      </c>
      <c r="X26" s="183">
        <v>326</v>
      </c>
      <c r="Y26" s="183">
        <v>326</v>
      </c>
      <c r="Z26" s="183">
        <v>326</v>
      </c>
      <c r="AA26" s="183">
        <v>326</v>
      </c>
      <c r="AB26" s="183">
        <v>326</v>
      </c>
      <c r="AC26" s="183">
        <v>326</v>
      </c>
      <c r="AD26" s="183">
        <v>326</v>
      </c>
      <c r="AE26" s="183">
        <v>338</v>
      </c>
      <c r="AF26" s="183">
        <v>338</v>
      </c>
      <c r="AG26" s="323">
        <v>58</v>
      </c>
      <c r="AH26" s="208">
        <v>58</v>
      </c>
      <c r="AI26" s="183">
        <v>280</v>
      </c>
      <c r="AJ26" s="307"/>
    </row>
    <row r="27" spans="1:36" ht="51">
      <c r="A27" s="309" t="s">
        <v>148</v>
      </c>
      <c r="B27" s="183">
        <v>4162</v>
      </c>
      <c r="C27" s="183">
        <v>4213</v>
      </c>
      <c r="D27" s="183">
        <v>4213</v>
      </c>
      <c r="E27" s="183">
        <v>4213</v>
      </c>
      <c r="F27" s="183">
        <v>4213</v>
      </c>
      <c r="G27" s="183">
        <v>4213</v>
      </c>
      <c r="H27" s="183">
        <v>4213</v>
      </c>
      <c r="I27" s="183">
        <v>4213</v>
      </c>
      <c r="J27" s="183">
        <v>4264</v>
      </c>
      <c r="K27" s="183">
        <v>4264</v>
      </c>
      <c r="L27" s="183">
        <v>4264</v>
      </c>
      <c r="M27" s="183">
        <v>4264</v>
      </c>
      <c r="N27" s="183">
        <v>4264</v>
      </c>
      <c r="O27" s="183">
        <v>4264</v>
      </c>
      <c r="P27" s="183">
        <v>4264</v>
      </c>
      <c r="Q27" s="183">
        <v>4270</v>
      </c>
      <c r="R27" s="183">
        <v>4264</v>
      </c>
      <c r="S27" s="183">
        <v>4264</v>
      </c>
      <c r="T27" s="183">
        <v>4264</v>
      </c>
      <c r="U27" s="183">
        <v>4264</v>
      </c>
      <c r="V27" s="183">
        <v>4264</v>
      </c>
      <c r="W27" s="183">
        <v>4264</v>
      </c>
      <c r="X27" s="183">
        <v>4378</v>
      </c>
      <c r="Y27" s="183">
        <v>4378</v>
      </c>
      <c r="Z27" s="183">
        <v>4378</v>
      </c>
      <c r="AA27" s="183">
        <v>4378</v>
      </c>
      <c r="AB27" s="183">
        <v>4378</v>
      </c>
      <c r="AC27" s="183">
        <v>4378</v>
      </c>
      <c r="AD27" s="183">
        <v>4378</v>
      </c>
      <c r="AE27" s="183">
        <v>4413</v>
      </c>
      <c r="AF27" s="183">
        <v>4413</v>
      </c>
      <c r="AG27" s="323">
        <v>251</v>
      </c>
      <c r="AH27" s="208">
        <v>251</v>
      </c>
      <c r="AI27" s="183">
        <v>4162</v>
      </c>
      <c r="AJ27" s="307"/>
    </row>
    <row r="28" spans="1:36" ht="51">
      <c r="A28" s="309" t="s">
        <v>151</v>
      </c>
      <c r="B28" s="183">
        <v>829</v>
      </c>
      <c r="C28" s="183">
        <v>841</v>
      </c>
      <c r="D28" s="183">
        <v>841</v>
      </c>
      <c r="E28" s="183">
        <v>841</v>
      </c>
      <c r="F28" s="183">
        <v>841</v>
      </c>
      <c r="G28" s="183">
        <v>841</v>
      </c>
      <c r="H28" s="183">
        <v>841</v>
      </c>
      <c r="I28" s="183">
        <v>841</v>
      </c>
      <c r="J28" s="183">
        <v>853</v>
      </c>
      <c r="K28" s="183">
        <v>853</v>
      </c>
      <c r="L28" s="183">
        <v>853</v>
      </c>
      <c r="M28" s="183">
        <v>853</v>
      </c>
      <c r="N28" s="183">
        <v>853</v>
      </c>
      <c r="O28" s="183">
        <v>853</v>
      </c>
      <c r="P28" s="183">
        <v>853</v>
      </c>
      <c r="Q28" s="183">
        <v>860</v>
      </c>
      <c r="R28" s="183">
        <v>853</v>
      </c>
      <c r="S28" s="183">
        <v>853</v>
      </c>
      <c r="T28" s="183">
        <v>853</v>
      </c>
      <c r="U28" s="183">
        <v>853</v>
      </c>
      <c r="V28" s="183">
        <v>853</v>
      </c>
      <c r="W28" s="183">
        <v>853</v>
      </c>
      <c r="X28" s="183">
        <v>872</v>
      </c>
      <c r="Y28" s="183">
        <v>872</v>
      </c>
      <c r="Z28" s="183">
        <v>872</v>
      </c>
      <c r="AA28" s="183">
        <v>872</v>
      </c>
      <c r="AB28" s="183">
        <v>872</v>
      </c>
      <c r="AC28" s="183">
        <v>872</v>
      </c>
      <c r="AD28" s="183">
        <v>872</v>
      </c>
      <c r="AE28" s="183">
        <v>883</v>
      </c>
      <c r="AF28" s="183">
        <v>883</v>
      </c>
      <c r="AG28" s="323">
        <v>54</v>
      </c>
      <c r="AH28" s="208">
        <v>54</v>
      </c>
      <c r="AI28" s="183">
        <v>829</v>
      </c>
      <c r="AJ28" s="307"/>
    </row>
    <row r="29" spans="1:36" ht="51">
      <c r="A29" s="309" t="s">
        <v>154</v>
      </c>
      <c r="B29" s="183">
        <v>377</v>
      </c>
      <c r="C29" s="183">
        <v>383</v>
      </c>
      <c r="D29" s="183">
        <v>383</v>
      </c>
      <c r="E29" s="183">
        <v>383</v>
      </c>
      <c r="F29" s="183">
        <v>383</v>
      </c>
      <c r="G29" s="183">
        <v>383</v>
      </c>
      <c r="H29" s="183">
        <v>383</v>
      </c>
      <c r="I29" s="183">
        <v>383</v>
      </c>
      <c r="J29" s="183">
        <v>389</v>
      </c>
      <c r="K29" s="183">
        <v>389</v>
      </c>
      <c r="L29" s="183">
        <v>389</v>
      </c>
      <c r="M29" s="183">
        <v>389</v>
      </c>
      <c r="N29" s="183">
        <v>389</v>
      </c>
      <c r="O29" s="183">
        <v>389</v>
      </c>
      <c r="P29" s="183">
        <v>389</v>
      </c>
      <c r="Q29" s="183">
        <v>396</v>
      </c>
      <c r="R29" s="183">
        <v>389</v>
      </c>
      <c r="S29" s="183">
        <v>389</v>
      </c>
      <c r="T29" s="183">
        <v>389</v>
      </c>
      <c r="U29" s="183">
        <v>389</v>
      </c>
      <c r="V29" s="183">
        <v>389</v>
      </c>
      <c r="W29" s="183">
        <v>389</v>
      </c>
      <c r="X29" s="183">
        <v>401</v>
      </c>
      <c r="Y29" s="183">
        <v>401</v>
      </c>
      <c r="Z29" s="183">
        <v>401</v>
      </c>
      <c r="AA29" s="183">
        <v>401</v>
      </c>
      <c r="AB29" s="183">
        <v>401</v>
      </c>
      <c r="AC29" s="183">
        <v>401</v>
      </c>
      <c r="AD29" s="183">
        <v>401</v>
      </c>
      <c r="AE29" s="183">
        <v>407</v>
      </c>
      <c r="AF29" s="183">
        <v>407</v>
      </c>
      <c r="AG29" s="323">
        <v>30</v>
      </c>
      <c r="AH29" s="208">
        <v>30</v>
      </c>
      <c r="AI29" s="183">
        <v>377</v>
      </c>
      <c r="AJ29" s="307"/>
    </row>
    <row r="30" spans="1:36">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304"/>
      <c r="AH30" s="304"/>
      <c r="AI30" s="162"/>
      <c r="AJ30" s="307"/>
    </row>
    <row r="31" spans="1:36" ht="38.25">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81" t="s">
        <v>157</v>
      </c>
      <c r="AG31" s="296"/>
      <c r="AH31" s="296"/>
      <c r="AI31" s="181" t="s">
        <v>157</v>
      </c>
      <c r="AJ31" s="307"/>
    </row>
    <row r="32" spans="1:36" ht="76.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190" t="s">
        <v>78</v>
      </c>
      <c r="AG32" s="209"/>
      <c r="AH32" s="209"/>
      <c r="AI32" s="190" t="s">
        <v>78</v>
      </c>
      <c r="AJ32" s="307"/>
    </row>
    <row r="33" spans="1:36" ht="76.5">
      <c r="A33" s="282" t="s">
        <v>80</v>
      </c>
      <c r="B33" s="187" t="s">
        <v>1308</v>
      </c>
      <c r="C33" s="187" t="s">
        <v>1309</v>
      </c>
      <c r="D33" s="187" t="s">
        <v>1309</v>
      </c>
      <c r="E33" s="187" t="s">
        <v>1309</v>
      </c>
      <c r="F33" s="187" t="s">
        <v>1310</v>
      </c>
      <c r="G33" s="187" t="s">
        <v>1311</v>
      </c>
      <c r="H33" s="187" t="s">
        <v>1312</v>
      </c>
      <c r="I33" s="187" t="s">
        <v>1312</v>
      </c>
      <c r="J33" s="187" t="s">
        <v>1313</v>
      </c>
      <c r="K33" s="187" t="s">
        <v>1314</v>
      </c>
      <c r="L33" s="187" t="s">
        <v>1315</v>
      </c>
      <c r="M33" s="187" t="s">
        <v>1314</v>
      </c>
      <c r="N33" s="187" t="s">
        <v>1316</v>
      </c>
      <c r="O33" s="187" t="s">
        <v>1317</v>
      </c>
      <c r="P33" s="187" t="s">
        <v>1317</v>
      </c>
      <c r="Q33" s="187" t="s">
        <v>1317</v>
      </c>
      <c r="R33" s="187" t="s">
        <v>1318</v>
      </c>
      <c r="S33" s="187" t="s">
        <v>1319</v>
      </c>
      <c r="T33" s="187" t="s">
        <v>1320</v>
      </c>
      <c r="U33" s="187" t="s">
        <v>1320</v>
      </c>
      <c r="V33" s="187" t="s">
        <v>1321</v>
      </c>
      <c r="W33" s="187" t="s">
        <v>1322</v>
      </c>
      <c r="X33" s="187" t="s">
        <v>1322</v>
      </c>
      <c r="Y33" s="187" t="s">
        <v>1323</v>
      </c>
      <c r="Z33" s="187" t="s">
        <v>1324</v>
      </c>
      <c r="AA33" s="187" t="s">
        <v>1325</v>
      </c>
      <c r="AB33" s="187" t="s">
        <v>1325</v>
      </c>
      <c r="AC33" s="187" t="s">
        <v>1325</v>
      </c>
      <c r="AD33" s="187" t="s">
        <v>1326</v>
      </c>
      <c r="AE33" s="187" t="s">
        <v>1326</v>
      </c>
      <c r="AF33" s="187" t="s">
        <v>1327</v>
      </c>
      <c r="AG33" s="209"/>
      <c r="AH33" s="209"/>
      <c r="AI33" s="187" t="s">
        <v>1328</v>
      </c>
      <c r="AJ33" s="307"/>
    </row>
    <row r="34" spans="1:36" ht="51.75" thickBot="1">
      <c r="A34" s="310" t="s">
        <v>81</v>
      </c>
      <c r="B34" s="187" t="s">
        <v>1329</v>
      </c>
      <c r="C34" s="187" t="s">
        <v>1329</v>
      </c>
      <c r="D34" s="187" t="s">
        <v>1329</v>
      </c>
      <c r="E34" s="187" t="s">
        <v>1329</v>
      </c>
      <c r="F34" s="187" t="s">
        <v>1329</v>
      </c>
      <c r="G34" s="187" t="s">
        <v>1329</v>
      </c>
      <c r="H34" s="187" t="s">
        <v>1329</v>
      </c>
      <c r="I34" s="187" t="s">
        <v>1329</v>
      </c>
      <c r="J34" s="187" t="s">
        <v>1329</v>
      </c>
      <c r="K34" s="187" t="s">
        <v>1329</v>
      </c>
      <c r="L34" s="187" t="s">
        <v>1329</v>
      </c>
      <c r="M34" s="187" t="s">
        <v>1329</v>
      </c>
      <c r="N34" s="187" t="s">
        <v>1329</v>
      </c>
      <c r="O34" s="187" t="s">
        <v>1329</v>
      </c>
      <c r="P34" s="187" t="s">
        <v>1329</v>
      </c>
      <c r="Q34" s="187" t="s">
        <v>1329</v>
      </c>
      <c r="R34" s="187" t="s">
        <v>1329</v>
      </c>
      <c r="S34" s="187" t="s">
        <v>1329</v>
      </c>
      <c r="T34" s="187" t="s">
        <v>1329</v>
      </c>
      <c r="U34" s="187" t="s">
        <v>1329</v>
      </c>
      <c r="V34" s="187" t="s">
        <v>1329</v>
      </c>
      <c r="W34" s="187" t="s">
        <v>1329</v>
      </c>
      <c r="X34" s="187" t="s">
        <v>1329</v>
      </c>
      <c r="Y34" s="187" t="s">
        <v>1329</v>
      </c>
      <c r="Z34" s="187" t="s">
        <v>1329</v>
      </c>
      <c r="AA34" s="187" t="s">
        <v>1329</v>
      </c>
      <c r="AB34" s="187" t="s">
        <v>1329</v>
      </c>
      <c r="AC34" s="187" t="s">
        <v>1329</v>
      </c>
      <c r="AD34" s="187" t="s">
        <v>1329</v>
      </c>
      <c r="AE34" s="187" t="s">
        <v>1329</v>
      </c>
      <c r="AF34" s="187" t="s">
        <v>1329</v>
      </c>
      <c r="AG34" s="209"/>
      <c r="AH34" s="209"/>
      <c r="AI34" s="187" t="s">
        <v>1329</v>
      </c>
      <c r="AJ34" s="307"/>
    </row>
    <row r="35" spans="1:36">
      <c r="AG35" s="211"/>
      <c r="AH35" s="211"/>
    </row>
    <row r="36" spans="1:36">
      <c r="AG36" s="211"/>
      <c r="AH36" s="211"/>
    </row>
  </sheetData>
  <mergeCells count="1">
    <mergeCell ref="A1:AI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C421-175F-4D55-9948-11389C373B0F}">
  <dimension ref="A1:AN36"/>
  <sheetViews>
    <sheetView topLeftCell="L16" workbookViewId="0">
      <selection activeCell="AG23" sqref="AG23"/>
    </sheetView>
  </sheetViews>
  <sheetFormatPr defaultRowHeight="15"/>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44774</v>
      </c>
      <c r="C2" s="281">
        <v>44775</v>
      </c>
      <c r="D2" s="281">
        <v>44776</v>
      </c>
      <c r="E2" s="281">
        <v>44777</v>
      </c>
      <c r="F2" s="281">
        <v>44778</v>
      </c>
      <c r="G2" s="281">
        <v>44779</v>
      </c>
      <c r="H2" s="281">
        <v>44780</v>
      </c>
      <c r="I2" s="281">
        <v>44781</v>
      </c>
      <c r="J2" s="281">
        <v>44782</v>
      </c>
      <c r="K2" s="281">
        <v>44783</v>
      </c>
      <c r="L2" s="281">
        <v>44784</v>
      </c>
      <c r="M2" s="281">
        <v>44785</v>
      </c>
      <c r="N2" s="281">
        <v>44786</v>
      </c>
      <c r="O2" s="281">
        <v>44787</v>
      </c>
      <c r="P2" s="281">
        <v>44788</v>
      </c>
      <c r="Q2" s="281">
        <v>44789</v>
      </c>
      <c r="R2" s="281">
        <v>44790</v>
      </c>
      <c r="S2" s="281">
        <v>44791</v>
      </c>
      <c r="T2" s="281">
        <v>44792</v>
      </c>
      <c r="U2" s="281">
        <v>44793</v>
      </c>
      <c r="V2" s="281">
        <v>44794</v>
      </c>
      <c r="W2" s="281">
        <v>44795</v>
      </c>
      <c r="X2" s="281">
        <v>44796</v>
      </c>
      <c r="Y2" s="281">
        <v>44797</v>
      </c>
      <c r="Z2" s="281">
        <v>44798</v>
      </c>
      <c r="AA2" s="281">
        <v>44799</v>
      </c>
      <c r="AB2" s="281">
        <v>44800</v>
      </c>
      <c r="AC2" s="281">
        <v>44801</v>
      </c>
      <c r="AD2" s="281">
        <v>44802</v>
      </c>
      <c r="AE2" s="281">
        <v>44803</v>
      </c>
      <c r="AF2" s="281">
        <v>44804</v>
      </c>
      <c r="AG2" s="281"/>
      <c r="AH2" s="281"/>
      <c r="AI2" s="281">
        <v>44773</v>
      </c>
    </row>
    <row r="3" spans="1:40" ht="5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52</v>
      </c>
      <c r="AG3" s="271"/>
      <c r="AH3" s="317"/>
      <c r="AI3" s="283" t="s">
        <v>52</v>
      </c>
    </row>
    <row r="4" spans="1:40">
      <c r="A4" s="285" t="s">
        <v>54</v>
      </c>
      <c r="B4" s="212">
        <v>245625</v>
      </c>
      <c r="C4" s="212">
        <v>245846</v>
      </c>
      <c r="D4" s="212">
        <v>246070</v>
      </c>
      <c r="E4" s="212">
        <v>246288</v>
      </c>
      <c r="F4" s="212">
        <v>246507</v>
      </c>
      <c r="G4" s="212">
        <v>246713</v>
      </c>
      <c r="H4" s="212">
        <v>246936</v>
      </c>
      <c r="I4" s="212">
        <v>247162</v>
      </c>
      <c r="J4" s="212">
        <v>247383</v>
      </c>
      <c r="K4" s="212">
        <v>247610</v>
      </c>
      <c r="L4" s="212">
        <v>247835</v>
      </c>
      <c r="M4" s="212">
        <v>248054</v>
      </c>
      <c r="N4" s="212">
        <v>248265</v>
      </c>
      <c r="O4" s="212">
        <v>248483</v>
      </c>
      <c r="P4" s="212">
        <v>248707</v>
      </c>
      <c r="Q4" s="212">
        <v>248931</v>
      </c>
      <c r="R4" s="212">
        <v>249157</v>
      </c>
      <c r="S4" s="212">
        <v>249380</v>
      </c>
      <c r="T4" s="212">
        <v>249600</v>
      </c>
      <c r="U4" s="212">
        <v>249816</v>
      </c>
      <c r="V4" s="212">
        <v>250042</v>
      </c>
      <c r="W4" s="212">
        <v>250270</v>
      </c>
      <c r="X4" s="212">
        <v>250498</v>
      </c>
      <c r="Y4" s="212">
        <v>250724</v>
      </c>
      <c r="Z4" s="212">
        <v>250949</v>
      </c>
      <c r="AA4" s="212">
        <v>251172</v>
      </c>
      <c r="AB4" s="212">
        <v>251384</v>
      </c>
      <c r="AC4" s="212">
        <v>251601</v>
      </c>
      <c r="AD4" s="212">
        <v>251831</v>
      </c>
      <c r="AE4" s="212">
        <v>252044</v>
      </c>
      <c r="AF4" s="212">
        <v>252271</v>
      </c>
      <c r="AG4" s="287"/>
      <c r="AH4" s="287"/>
      <c r="AI4" s="212">
        <v>245405</v>
      </c>
      <c r="AJ4" s="318"/>
      <c r="AK4" s="318"/>
      <c r="AN4" s="288"/>
    </row>
    <row r="5" spans="1:40">
      <c r="A5" s="285" t="s">
        <v>55</v>
      </c>
      <c r="B5" s="212">
        <v>6455370</v>
      </c>
      <c r="C5" s="212">
        <v>6462587</v>
      </c>
      <c r="D5" s="212">
        <v>6469954</v>
      </c>
      <c r="E5" s="212">
        <v>6477163</v>
      </c>
      <c r="F5" s="212">
        <v>6484211</v>
      </c>
      <c r="G5" s="212">
        <v>6491028</v>
      </c>
      <c r="H5" s="212">
        <v>6498129</v>
      </c>
      <c r="I5" s="212">
        <v>6505485</v>
      </c>
      <c r="J5" s="212">
        <v>6512736</v>
      </c>
      <c r="K5" s="212">
        <v>6520205</v>
      </c>
      <c r="L5" s="212">
        <v>6527808</v>
      </c>
      <c r="M5" s="212">
        <v>6535278</v>
      </c>
      <c r="N5" s="212">
        <v>6542354</v>
      </c>
      <c r="O5" s="212">
        <v>6549629</v>
      </c>
      <c r="P5" s="212">
        <v>6557305</v>
      </c>
      <c r="Q5" s="212">
        <v>6564955</v>
      </c>
      <c r="R5" s="212">
        <v>6572598</v>
      </c>
      <c r="S5" s="212">
        <v>6580247</v>
      </c>
      <c r="T5" s="212">
        <v>6587814</v>
      </c>
      <c r="U5" s="212">
        <v>6595072</v>
      </c>
      <c r="V5" s="212">
        <v>6602837</v>
      </c>
      <c r="W5" s="212">
        <v>6610658</v>
      </c>
      <c r="X5" s="212">
        <v>6618342</v>
      </c>
      <c r="Y5" s="212">
        <v>6626181</v>
      </c>
      <c r="Z5" s="212">
        <v>6633863</v>
      </c>
      <c r="AA5" s="212">
        <v>6641675</v>
      </c>
      <c r="AB5" s="212">
        <v>6648975</v>
      </c>
      <c r="AC5" s="212">
        <v>6656464</v>
      </c>
      <c r="AD5" s="212">
        <v>6664539</v>
      </c>
      <c r="AE5" s="212">
        <v>6671999</v>
      </c>
      <c r="AF5" s="212">
        <v>6679962</v>
      </c>
      <c r="AG5" s="287"/>
      <c r="AH5" s="287"/>
      <c r="AI5" s="212">
        <v>6448127</v>
      </c>
      <c r="AJ5" s="318"/>
      <c r="AK5" s="318"/>
      <c r="AN5" s="288"/>
    </row>
    <row r="6" spans="1:40">
      <c r="A6" s="285" t="s">
        <v>56</v>
      </c>
      <c r="B6" s="212">
        <v>3129407</v>
      </c>
      <c r="C6" s="212">
        <v>3132799</v>
      </c>
      <c r="D6" s="212">
        <v>3136254</v>
      </c>
      <c r="E6" s="212">
        <v>3139602</v>
      </c>
      <c r="F6" s="212">
        <v>3142959</v>
      </c>
      <c r="G6" s="212">
        <v>3146071</v>
      </c>
      <c r="H6" s="212">
        <v>3149374</v>
      </c>
      <c r="I6" s="212">
        <v>3152787</v>
      </c>
      <c r="J6" s="212">
        <v>3156172</v>
      </c>
      <c r="K6" s="212">
        <v>3159704</v>
      </c>
      <c r="L6" s="212">
        <v>3163273</v>
      </c>
      <c r="M6" s="212">
        <v>3166768</v>
      </c>
      <c r="N6" s="212">
        <v>3170081</v>
      </c>
      <c r="O6" s="212">
        <v>3173704</v>
      </c>
      <c r="P6" s="212">
        <v>3177536</v>
      </c>
      <c r="Q6" s="212">
        <v>3181187</v>
      </c>
      <c r="R6" s="212">
        <v>3184811</v>
      </c>
      <c r="S6" s="212">
        <v>3188462</v>
      </c>
      <c r="T6" s="212">
        <v>3191988</v>
      </c>
      <c r="U6" s="212">
        <v>3195289</v>
      </c>
      <c r="V6" s="212">
        <v>3198637</v>
      </c>
      <c r="W6" s="212">
        <v>3202156</v>
      </c>
      <c r="X6" s="212">
        <v>3205588</v>
      </c>
      <c r="Y6" s="212">
        <v>3209036</v>
      </c>
      <c r="Z6" s="212">
        <v>3212407</v>
      </c>
      <c r="AA6" s="212">
        <v>3215661</v>
      </c>
      <c r="AB6" s="212">
        <v>3218618</v>
      </c>
      <c r="AC6" s="212">
        <v>3221705</v>
      </c>
      <c r="AD6" s="212">
        <v>3225270</v>
      </c>
      <c r="AE6" s="212">
        <v>3228563</v>
      </c>
      <c r="AF6" s="212">
        <v>3232000</v>
      </c>
      <c r="AG6" s="287"/>
      <c r="AH6" s="287"/>
      <c r="AI6" s="212">
        <v>3125948</v>
      </c>
      <c r="AJ6" s="318"/>
      <c r="AK6" s="318"/>
      <c r="AN6" s="288"/>
    </row>
    <row r="7" spans="1:40">
      <c r="A7" s="285" t="s">
        <v>57</v>
      </c>
      <c r="B7" s="212">
        <v>7667942</v>
      </c>
      <c r="C7" s="212">
        <v>7686212</v>
      </c>
      <c r="D7" s="212">
        <v>7704523</v>
      </c>
      <c r="E7" s="212">
        <v>7721013</v>
      </c>
      <c r="F7" s="212">
        <v>7738917</v>
      </c>
      <c r="G7" s="212">
        <v>7755492</v>
      </c>
      <c r="H7" s="212">
        <v>7764890</v>
      </c>
      <c r="I7" s="212">
        <v>7773890</v>
      </c>
      <c r="J7" s="212">
        <v>7782713</v>
      </c>
      <c r="K7" s="212">
        <v>7791173</v>
      </c>
      <c r="L7" s="212">
        <v>7800362</v>
      </c>
      <c r="M7" s="212">
        <v>7809215</v>
      </c>
      <c r="N7" s="212">
        <v>7817070</v>
      </c>
      <c r="O7" s="212">
        <v>7817151</v>
      </c>
      <c r="P7" s="212">
        <v>7817230</v>
      </c>
      <c r="Q7" s="212">
        <v>7817309</v>
      </c>
      <c r="R7" s="212">
        <v>7817387</v>
      </c>
      <c r="S7" s="212">
        <v>7817466</v>
      </c>
      <c r="T7" s="212">
        <v>7817544</v>
      </c>
      <c r="U7" s="212">
        <v>7818887</v>
      </c>
      <c r="V7" s="212">
        <v>7827805</v>
      </c>
      <c r="W7" s="212">
        <v>7837800</v>
      </c>
      <c r="X7" s="212">
        <v>7847163</v>
      </c>
      <c r="Y7" s="212">
        <v>7855759</v>
      </c>
      <c r="Z7" s="212">
        <v>7864507</v>
      </c>
      <c r="AA7" s="212">
        <v>7873142</v>
      </c>
      <c r="AB7" s="212">
        <v>7881392</v>
      </c>
      <c r="AC7" s="212">
        <v>7895435</v>
      </c>
      <c r="AD7" s="212">
        <v>7911321</v>
      </c>
      <c r="AE7" s="212">
        <v>7926616</v>
      </c>
      <c r="AF7" s="212">
        <v>7942765</v>
      </c>
      <c r="AG7" s="287"/>
      <c r="AH7" s="287"/>
      <c r="AI7" s="212">
        <v>7650169</v>
      </c>
      <c r="AJ7" s="318"/>
      <c r="AK7" s="318"/>
      <c r="AN7" s="288"/>
    </row>
    <row r="8" spans="1:40">
      <c r="A8" s="285" t="s">
        <v>58</v>
      </c>
      <c r="B8" s="212">
        <v>2494433</v>
      </c>
      <c r="C8" s="212">
        <v>2494433</v>
      </c>
      <c r="D8" s="212">
        <v>2494433</v>
      </c>
      <c r="E8" s="212">
        <v>2494433</v>
      </c>
      <c r="F8" s="212">
        <v>2494433</v>
      </c>
      <c r="G8" s="212">
        <v>2494800</v>
      </c>
      <c r="H8" s="212">
        <v>2497734</v>
      </c>
      <c r="I8" s="212">
        <v>2500534</v>
      </c>
      <c r="J8" s="212">
        <v>2503282</v>
      </c>
      <c r="K8" s="212">
        <v>2505927</v>
      </c>
      <c r="L8" s="212">
        <v>2508801</v>
      </c>
      <c r="M8" s="212">
        <v>2511575</v>
      </c>
      <c r="N8" s="212">
        <v>2514895</v>
      </c>
      <c r="O8" s="212">
        <v>2520476</v>
      </c>
      <c r="P8" s="212">
        <v>2525763</v>
      </c>
      <c r="Q8" s="212">
        <v>2530985</v>
      </c>
      <c r="R8" s="212">
        <v>2536318</v>
      </c>
      <c r="S8" s="212">
        <v>2542157</v>
      </c>
      <c r="T8" s="212">
        <v>2547688</v>
      </c>
      <c r="U8" s="212">
        <v>2553010</v>
      </c>
      <c r="V8" s="212">
        <v>2555705</v>
      </c>
      <c r="W8" s="212">
        <v>2558736</v>
      </c>
      <c r="X8" s="212">
        <v>2561522</v>
      </c>
      <c r="Y8" s="212">
        <v>2564134</v>
      </c>
      <c r="Z8" s="212">
        <v>2566774</v>
      </c>
      <c r="AA8" s="212">
        <v>2569353</v>
      </c>
      <c r="AB8" s="212">
        <v>2571670</v>
      </c>
      <c r="AC8" s="212">
        <v>2572190</v>
      </c>
      <c r="AD8" s="212">
        <v>2572190</v>
      </c>
      <c r="AE8" s="212">
        <v>2572190</v>
      </c>
      <c r="AF8" s="212">
        <v>2572190</v>
      </c>
      <c r="AG8" s="287"/>
      <c r="AH8" s="287"/>
      <c r="AI8" s="212">
        <v>2494433</v>
      </c>
      <c r="AJ8" s="318"/>
      <c r="AK8" s="318"/>
      <c r="AN8" s="288"/>
    </row>
    <row r="9" spans="1:40">
      <c r="A9" s="285" t="s">
        <v>59</v>
      </c>
      <c r="B9" s="214">
        <v>16130201</v>
      </c>
      <c r="C9" s="214">
        <v>16144106</v>
      </c>
      <c r="D9" s="214">
        <v>16158351</v>
      </c>
      <c r="E9" s="214">
        <v>16172134</v>
      </c>
      <c r="F9" s="214">
        <v>16186006</v>
      </c>
      <c r="G9" s="214">
        <v>16199467</v>
      </c>
      <c r="H9" s="214">
        <v>16213636</v>
      </c>
      <c r="I9" s="214">
        <v>16227965</v>
      </c>
      <c r="J9" s="214">
        <v>16241784</v>
      </c>
      <c r="K9" s="214">
        <v>16255815</v>
      </c>
      <c r="L9" s="214">
        <v>16270052</v>
      </c>
      <c r="M9" s="214">
        <v>16283923</v>
      </c>
      <c r="N9" s="214">
        <v>16297578</v>
      </c>
      <c r="O9" s="214">
        <v>16311419</v>
      </c>
      <c r="P9" s="214">
        <v>16325512</v>
      </c>
      <c r="Q9" s="214">
        <v>16339402</v>
      </c>
      <c r="R9" s="214">
        <v>16353485</v>
      </c>
      <c r="S9" s="214">
        <v>16367754</v>
      </c>
      <c r="T9" s="214">
        <v>16381583</v>
      </c>
      <c r="U9" s="214">
        <v>16395340</v>
      </c>
      <c r="V9" s="214">
        <v>16409350</v>
      </c>
      <c r="W9" s="214">
        <v>16423902</v>
      </c>
      <c r="X9" s="214">
        <v>16438278</v>
      </c>
      <c r="Y9" s="214">
        <v>16452548</v>
      </c>
      <c r="Z9" s="214">
        <v>16466338</v>
      </c>
      <c r="AA9" s="214">
        <v>16480013</v>
      </c>
      <c r="AB9" s="214">
        <v>16493422</v>
      </c>
      <c r="AC9" s="214">
        <v>16506995</v>
      </c>
      <c r="AD9" s="214">
        <v>16521089</v>
      </c>
      <c r="AE9" s="214">
        <v>16534233</v>
      </c>
      <c r="AF9" s="214">
        <v>16548174</v>
      </c>
      <c r="AG9" s="290"/>
      <c r="AH9" s="290"/>
      <c r="AI9" s="214">
        <v>16116265</v>
      </c>
      <c r="AJ9" s="318"/>
      <c r="AK9" s="318"/>
      <c r="AN9" s="288"/>
    </row>
    <row r="10" spans="1:40">
      <c r="A10" s="285" t="s">
        <v>60</v>
      </c>
      <c r="B10" s="212">
        <v>5031626</v>
      </c>
      <c r="C10" s="212">
        <v>5036625</v>
      </c>
      <c r="D10" s="212">
        <v>5041653</v>
      </c>
      <c r="E10" s="212">
        <v>5046287</v>
      </c>
      <c r="F10" s="212">
        <v>5050676</v>
      </c>
      <c r="G10" s="212">
        <v>5054293</v>
      </c>
      <c r="H10" s="212">
        <v>5058417</v>
      </c>
      <c r="I10" s="212">
        <v>5063118</v>
      </c>
      <c r="J10" s="212">
        <v>5067685</v>
      </c>
      <c r="K10" s="212">
        <v>5072474</v>
      </c>
      <c r="L10" s="212">
        <v>5077219</v>
      </c>
      <c r="M10" s="212">
        <v>5081599</v>
      </c>
      <c r="N10" s="212">
        <v>5085363</v>
      </c>
      <c r="O10" s="212">
        <v>5089579</v>
      </c>
      <c r="P10" s="212">
        <v>5094389</v>
      </c>
      <c r="Q10" s="212">
        <v>5099119</v>
      </c>
      <c r="R10" s="212">
        <v>5103971</v>
      </c>
      <c r="S10" s="212">
        <v>5108862</v>
      </c>
      <c r="T10" s="212">
        <v>5113164</v>
      </c>
      <c r="U10" s="212">
        <v>5116744</v>
      </c>
      <c r="V10" s="212">
        <v>5120845</v>
      </c>
      <c r="W10" s="212">
        <v>5125749</v>
      </c>
      <c r="X10" s="212">
        <v>5130666</v>
      </c>
      <c r="Y10" s="212">
        <v>5135681</v>
      </c>
      <c r="Z10" s="212">
        <v>5140576</v>
      </c>
      <c r="AA10" s="212">
        <v>5144975</v>
      </c>
      <c r="AB10" s="212">
        <v>5148502</v>
      </c>
      <c r="AC10" s="212">
        <v>5152690</v>
      </c>
      <c r="AD10" s="212">
        <v>5157739</v>
      </c>
      <c r="AE10" s="212">
        <v>5162444</v>
      </c>
      <c r="AF10" s="212">
        <v>5167641</v>
      </c>
      <c r="AG10" s="287"/>
      <c r="AH10" s="287"/>
      <c r="AI10" s="212">
        <v>5026963</v>
      </c>
      <c r="AJ10" s="318"/>
      <c r="AK10" s="318"/>
      <c r="AN10" s="288"/>
    </row>
    <row r="11" spans="1:40">
      <c r="A11" s="285" t="s">
        <v>61</v>
      </c>
      <c r="B11" s="212">
        <v>193037</v>
      </c>
      <c r="C11" s="212">
        <v>193202</v>
      </c>
      <c r="D11" s="212">
        <v>193376</v>
      </c>
      <c r="E11" s="212">
        <v>193540</v>
      </c>
      <c r="F11" s="212">
        <v>193707</v>
      </c>
      <c r="G11" s="212">
        <v>193862</v>
      </c>
      <c r="H11" s="212">
        <v>194022</v>
      </c>
      <c r="I11" s="212">
        <v>194193</v>
      </c>
      <c r="J11" s="212">
        <v>194362</v>
      </c>
      <c r="K11" s="212">
        <v>194533</v>
      </c>
      <c r="L11" s="212">
        <v>194707</v>
      </c>
      <c r="M11" s="212">
        <v>194876</v>
      </c>
      <c r="N11" s="212">
        <v>195034</v>
      </c>
      <c r="O11" s="212">
        <v>195204</v>
      </c>
      <c r="P11" s="212">
        <v>195391</v>
      </c>
      <c r="Q11" s="212">
        <v>195562</v>
      </c>
      <c r="R11" s="212">
        <v>195746</v>
      </c>
      <c r="S11" s="212">
        <v>195932</v>
      </c>
      <c r="T11" s="212">
        <v>196107</v>
      </c>
      <c r="U11" s="212">
        <v>196274</v>
      </c>
      <c r="V11" s="212">
        <v>196459</v>
      </c>
      <c r="W11" s="212">
        <v>196649</v>
      </c>
      <c r="X11" s="212">
        <v>196831</v>
      </c>
      <c r="Y11" s="212">
        <v>197015</v>
      </c>
      <c r="Z11" s="212">
        <v>197196</v>
      </c>
      <c r="AA11" s="212">
        <v>197374</v>
      </c>
      <c r="AB11" s="212">
        <v>197534</v>
      </c>
      <c r="AC11" s="212">
        <v>197706</v>
      </c>
      <c r="AD11" s="212">
        <v>197894</v>
      </c>
      <c r="AE11" s="212">
        <v>198069</v>
      </c>
      <c r="AF11" s="212">
        <v>198256</v>
      </c>
      <c r="AG11" s="287"/>
      <c r="AH11" s="287"/>
      <c r="AI11" s="212">
        <v>192871</v>
      </c>
      <c r="AJ11" s="318"/>
      <c r="AK11" s="318"/>
      <c r="AN11" s="288"/>
    </row>
    <row r="12" spans="1:40">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293"/>
      <c r="AH12" s="293"/>
      <c r="AI12" s="162"/>
      <c r="AJ12" s="294"/>
      <c r="AK12" s="294"/>
      <c r="AL12" s="294"/>
      <c r="AM12" s="294"/>
      <c r="AN12" s="294"/>
    </row>
    <row r="13" spans="1:40" ht="51">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81" t="s">
        <v>106</v>
      </c>
      <c r="AG13" s="296"/>
      <c r="AH13" s="296"/>
      <c r="AI13" s="181" t="s">
        <v>106</v>
      </c>
    </row>
    <row r="14" spans="1:40" ht="51">
      <c r="A14" s="282" t="s">
        <v>995</v>
      </c>
      <c r="B14" s="182">
        <v>258462.1</v>
      </c>
      <c r="C14" s="182">
        <v>258462.1</v>
      </c>
      <c r="D14" s="182">
        <v>258462.1</v>
      </c>
      <c r="E14" s="182">
        <v>258462.1</v>
      </c>
      <c r="F14" s="182">
        <v>258462.1</v>
      </c>
      <c r="G14" s="182">
        <v>259530.52</v>
      </c>
      <c r="H14" s="182">
        <v>259530.52</v>
      </c>
      <c r="I14" s="182">
        <v>259530.52</v>
      </c>
      <c r="J14" s="182">
        <v>259530.52</v>
      </c>
      <c r="K14" s="182">
        <v>259530.52</v>
      </c>
      <c r="L14" s="182">
        <v>259530.52</v>
      </c>
      <c r="M14" s="182">
        <v>259530.52</v>
      </c>
      <c r="N14" s="182">
        <v>260830.67</v>
      </c>
      <c r="O14" s="182">
        <v>260830.67</v>
      </c>
      <c r="P14" s="182">
        <v>260830.67</v>
      </c>
      <c r="Q14" s="182">
        <v>260830.67</v>
      </c>
      <c r="R14" s="182">
        <v>260830.67</v>
      </c>
      <c r="S14" s="182">
        <v>260830.67</v>
      </c>
      <c r="T14" s="182">
        <v>260830.67</v>
      </c>
      <c r="U14" s="182">
        <v>262456.56</v>
      </c>
      <c r="V14" s="182">
        <v>262456.56</v>
      </c>
      <c r="W14" s="182">
        <v>262456.56</v>
      </c>
      <c r="X14" s="182">
        <v>262456.56</v>
      </c>
      <c r="Y14" s="182">
        <v>262456.56</v>
      </c>
      <c r="Z14" s="182">
        <v>262456.56</v>
      </c>
      <c r="AA14" s="182">
        <v>262456.56</v>
      </c>
      <c r="AB14" s="182">
        <v>263744.8</v>
      </c>
      <c r="AC14" s="182">
        <v>263744.8</v>
      </c>
      <c r="AD14" s="182">
        <v>263744.8</v>
      </c>
      <c r="AE14" s="182">
        <v>263744.8</v>
      </c>
      <c r="AF14" s="182">
        <v>263744.8</v>
      </c>
      <c r="AG14" s="319"/>
      <c r="AH14" s="319"/>
      <c r="AI14" s="182">
        <v>258462.1</v>
      </c>
    </row>
    <row r="15" spans="1:40" ht="89.25">
      <c r="A15" s="282" t="s">
        <v>67</v>
      </c>
      <c r="B15" s="183">
        <v>1493</v>
      </c>
      <c r="C15" s="183">
        <v>1494</v>
      </c>
      <c r="D15" s="183">
        <v>1495</v>
      </c>
      <c r="E15" s="183">
        <v>1495</v>
      </c>
      <c r="F15" s="183">
        <v>1495</v>
      </c>
      <c r="G15" s="183">
        <v>1495</v>
      </c>
      <c r="H15" s="183">
        <v>1495</v>
      </c>
      <c r="I15" s="183">
        <v>1496</v>
      </c>
      <c r="J15" s="183">
        <v>1496</v>
      </c>
      <c r="K15" s="183">
        <v>1497</v>
      </c>
      <c r="L15" s="183">
        <v>1497</v>
      </c>
      <c r="M15" s="183">
        <v>1497</v>
      </c>
      <c r="N15" s="183">
        <v>1497</v>
      </c>
      <c r="O15" s="183">
        <v>1497</v>
      </c>
      <c r="P15" s="183">
        <v>1498</v>
      </c>
      <c r="Q15" s="183">
        <v>1498</v>
      </c>
      <c r="R15" s="183">
        <v>1498</v>
      </c>
      <c r="S15" s="183">
        <v>1498</v>
      </c>
      <c r="T15" s="183">
        <v>1498</v>
      </c>
      <c r="U15" s="183">
        <v>1498</v>
      </c>
      <c r="V15" s="183">
        <v>1498</v>
      </c>
      <c r="W15" s="183">
        <v>1499</v>
      </c>
      <c r="X15" s="183">
        <v>1499</v>
      </c>
      <c r="Y15" s="183">
        <v>1499</v>
      </c>
      <c r="Z15" s="183">
        <v>1499</v>
      </c>
      <c r="AA15" s="183">
        <v>1499</v>
      </c>
      <c r="AB15" s="183">
        <v>1499</v>
      </c>
      <c r="AC15" s="183">
        <v>1500</v>
      </c>
      <c r="AD15" s="183">
        <v>1500</v>
      </c>
      <c r="AE15" s="183">
        <v>1500</v>
      </c>
      <c r="AF15" s="183">
        <v>1500</v>
      </c>
      <c r="AG15" s="320"/>
      <c r="AH15" s="320"/>
      <c r="AI15" s="183">
        <v>1493</v>
      </c>
    </row>
    <row r="16" spans="1:40" ht="89.25">
      <c r="A16" s="282" t="s">
        <v>68</v>
      </c>
      <c r="B16" s="183">
        <v>4951</v>
      </c>
      <c r="C16" s="183">
        <v>4951</v>
      </c>
      <c r="D16" s="183">
        <v>4951</v>
      </c>
      <c r="E16" s="183">
        <v>4951</v>
      </c>
      <c r="F16" s="183">
        <v>4951</v>
      </c>
      <c r="G16" s="183">
        <v>4951</v>
      </c>
      <c r="H16" s="183">
        <v>4951</v>
      </c>
      <c r="I16" s="183">
        <v>4951</v>
      </c>
      <c r="J16" s="183">
        <v>4951</v>
      </c>
      <c r="K16" s="183">
        <v>4951</v>
      </c>
      <c r="L16" s="183">
        <v>4951</v>
      </c>
      <c r="M16" s="183">
        <v>4951</v>
      </c>
      <c r="N16" s="183">
        <v>5047</v>
      </c>
      <c r="O16" s="183">
        <v>5047</v>
      </c>
      <c r="P16" s="183">
        <v>5047</v>
      </c>
      <c r="Q16" s="183">
        <v>5047</v>
      </c>
      <c r="R16" s="183">
        <v>5047</v>
      </c>
      <c r="S16" s="183">
        <v>5047</v>
      </c>
      <c r="T16" s="183">
        <v>5047</v>
      </c>
      <c r="U16" s="183">
        <v>5047</v>
      </c>
      <c r="V16" s="336">
        <v>5507</v>
      </c>
      <c r="W16" s="336">
        <v>5507</v>
      </c>
      <c r="X16" s="336">
        <v>5507</v>
      </c>
      <c r="Y16" s="336">
        <v>5507</v>
      </c>
      <c r="Z16" s="336">
        <v>5770</v>
      </c>
      <c r="AA16" s="336">
        <v>5770</v>
      </c>
      <c r="AB16" s="336">
        <v>5846</v>
      </c>
      <c r="AC16" s="336">
        <v>5846</v>
      </c>
      <c r="AD16" s="336">
        <v>5846</v>
      </c>
      <c r="AE16" s="336">
        <v>5846</v>
      </c>
      <c r="AF16" s="336">
        <v>5846</v>
      </c>
      <c r="AG16" s="320"/>
      <c r="AH16" s="320"/>
      <c r="AI16" s="183">
        <v>4951</v>
      </c>
    </row>
    <row r="17" spans="1:36">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304"/>
      <c r="AH17" s="304"/>
      <c r="AI17" s="162"/>
    </row>
    <row r="18" spans="1:36" ht="38.25">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81" t="s">
        <v>106</v>
      </c>
      <c r="AG18" s="296"/>
      <c r="AH18" s="296"/>
      <c r="AI18" s="181" t="s">
        <v>106</v>
      </c>
    </row>
    <row r="19" spans="1:36" ht="89.25">
      <c r="A19" s="282" t="s">
        <v>70</v>
      </c>
      <c r="B19" s="186">
        <v>65508.800000000003</v>
      </c>
      <c r="C19" s="186">
        <v>65580.3</v>
      </c>
      <c r="D19" s="186">
        <v>65654.100000000006</v>
      </c>
      <c r="E19" s="186">
        <v>65714.600000000006</v>
      </c>
      <c r="F19" s="186">
        <v>65775.8</v>
      </c>
      <c r="G19" s="186">
        <v>65818.8</v>
      </c>
      <c r="H19" s="186">
        <v>65861.399999999994</v>
      </c>
      <c r="I19" s="186">
        <v>65924.899999999994</v>
      </c>
      <c r="J19" s="186">
        <v>65989.5</v>
      </c>
      <c r="K19" s="186">
        <v>66049.2</v>
      </c>
      <c r="L19" s="186">
        <v>66109.899999999994</v>
      </c>
      <c r="M19" s="186">
        <v>66172.399999999994</v>
      </c>
      <c r="N19" s="186">
        <v>66210.8</v>
      </c>
      <c r="O19" s="186">
        <v>66250.7</v>
      </c>
      <c r="P19" s="186">
        <v>66305.8</v>
      </c>
      <c r="Q19" s="186">
        <v>66349.899999999994</v>
      </c>
      <c r="R19" s="186">
        <v>66415.100000000006</v>
      </c>
      <c r="S19" s="186">
        <v>66473.5</v>
      </c>
      <c r="T19" s="186">
        <v>66512.399999999994</v>
      </c>
      <c r="U19" s="186">
        <v>66539.5</v>
      </c>
      <c r="V19" s="186">
        <v>66578.7</v>
      </c>
      <c r="W19" s="186">
        <v>66628.399999999994</v>
      </c>
      <c r="X19" s="186">
        <v>66687.7</v>
      </c>
      <c r="Y19" s="186">
        <v>66749.100000000006</v>
      </c>
      <c r="Z19" s="186">
        <v>66802.7</v>
      </c>
      <c r="AA19" s="186">
        <v>66858.399999999994</v>
      </c>
      <c r="AB19" s="186">
        <v>66891.5</v>
      </c>
      <c r="AC19" s="186">
        <v>66933.7</v>
      </c>
      <c r="AD19" s="186">
        <v>66997.2</v>
      </c>
      <c r="AE19" s="186">
        <v>67079.899999999994</v>
      </c>
      <c r="AF19" s="186">
        <v>67134.2</v>
      </c>
      <c r="AG19" s="321"/>
      <c r="AH19" s="321"/>
      <c r="AI19" s="186">
        <v>65439.9</v>
      </c>
      <c r="AJ19" s="307"/>
    </row>
    <row r="20" spans="1:36" ht="102">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183" t="s">
        <v>1307</v>
      </c>
      <c r="AG20" s="209"/>
      <c r="AH20" s="209"/>
      <c r="AI20" s="183" t="s">
        <v>1307</v>
      </c>
      <c r="AJ20" s="307"/>
    </row>
    <row r="21" spans="1:36" ht="63.75">
      <c r="A21" s="282" t="s">
        <v>72</v>
      </c>
      <c r="B21" s="183">
        <v>102313</v>
      </c>
      <c r="C21" s="183">
        <v>102313</v>
      </c>
      <c r="D21" s="183">
        <v>102313</v>
      </c>
      <c r="E21" s="183">
        <v>102313</v>
      </c>
      <c r="F21" s="183">
        <v>102313</v>
      </c>
      <c r="G21" s="183">
        <v>103851</v>
      </c>
      <c r="H21" s="183">
        <v>103851</v>
      </c>
      <c r="I21" s="183">
        <v>103851</v>
      </c>
      <c r="J21" s="183">
        <v>103851</v>
      </c>
      <c r="K21" s="183">
        <v>103851</v>
      </c>
      <c r="L21" s="183">
        <v>103851</v>
      </c>
      <c r="M21" s="183">
        <v>103851</v>
      </c>
      <c r="N21" s="183">
        <v>105353</v>
      </c>
      <c r="O21" s="183">
        <v>105353</v>
      </c>
      <c r="P21" s="183">
        <v>105353</v>
      </c>
      <c r="Q21" s="183">
        <v>105353</v>
      </c>
      <c r="R21" s="183">
        <v>105353</v>
      </c>
      <c r="S21" s="183">
        <v>105353</v>
      </c>
      <c r="T21" s="183">
        <v>105353</v>
      </c>
      <c r="U21" s="183">
        <v>106597</v>
      </c>
      <c r="V21" s="183">
        <v>106597</v>
      </c>
      <c r="W21" s="183">
        <v>106597</v>
      </c>
      <c r="X21" s="183">
        <v>106597</v>
      </c>
      <c r="Y21" s="183">
        <v>106597</v>
      </c>
      <c r="Z21" s="183">
        <v>106597</v>
      </c>
      <c r="AA21" s="183">
        <v>106597</v>
      </c>
      <c r="AB21" s="183">
        <v>107963</v>
      </c>
      <c r="AC21" s="183">
        <v>107963</v>
      </c>
      <c r="AD21" s="183">
        <v>107963</v>
      </c>
      <c r="AE21" s="183">
        <v>107963</v>
      </c>
      <c r="AF21" s="183">
        <v>107963</v>
      </c>
      <c r="AG21" s="321"/>
      <c r="AH21" s="321"/>
      <c r="AI21" s="183">
        <v>102313</v>
      </c>
      <c r="AJ21" s="307"/>
    </row>
    <row r="22" spans="1:36" ht="51">
      <c r="A22" s="282" t="s">
        <v>73</v>
      </c>
      <c r="B22" s="322">
        <v>155157</v>
      </c>
      <c r="C22" s="322">
        <v>155318</v>
      </c>
      <c r="D22" s="322">
        <v>155470</v>
      </c>
      <c r="E22" s="322">
        <v>155627</v>
      </c>
      <c r="F22" s="322">
        <v>155780</v>
      </c>
      <c r="G22" s="322">
        <v>155935</v>
      </c>
      <c r="H22" s="322">
        <v>156091</v>
      </c>
      <c r="I22" s="322">
        <v>156250</v>
      </c>
      <c r="J22" s="322">
        <v>156396</v>
      </c>
      <c r="K22" s="322">
        <v>156548</v>
      </c>
      <c r="L22" s="322">
        <v>156696</v>
      </c>
      <c r="M22" s="322">
        <v>156835</v>
      </c>
      <c r="N22" s="322">
        <v>156972</v>
      </c>
      <c r="O22" s="322">
        <v>157164</v>
      </c>
      <c r="P22" s="322">
        <v>157347</v>
      </c>
      <c r="Q22" s="322">
        <v>157522</v>
      </c>
      <c r="R22" s="322">
        <v>157702</v>
      </c>
      <c r="S22" s="322">
        <v>157883</v>
      </c>
      <c r="T22" s="322">
        <v>158019</v>
      </c>
      <c r="U22" s="322">
        <v>158224</v>
      </c>
      <c r="V22" s="322">
        <v>158385</v>
      </c>
      <c r="W22" s="322">
        <v>158577</v>
      </c>
      <c r="X22" s="322">
        <v>158753</v>
      </c>
      <c r="Y22" s="322">
        <v>158934</v>
      </c>
      <c r="Z22" s="322">
        <v>159106</v>
      </c>
      <c r="AA22" s="322">
        <v>159256</v>
      </c>
      <c r="AB22" s="322">
        <v>159420</v>
      </c>
      <c r="AC22" s="322">
        <v>159568</v>
      </c>
      <c r="AD22" s="322">
        <v>159732</v>
      </c>
      <c r="AE22" s="322">
        <v>159894</v>
      </c>
      <c r="AF22" s="322">
        <v>160055</v>
      </c>
      <c r="AG22" s="321">
        <f>AF22-AI22</f>
        <v>5044</v>
      </c>
      <c r="AH22" s="321"/>
      <c r="AI22" s="322">
        <v>155011</v>
      </c>
      <c r="AJ22" s="307"/>
    </row>
    <row r="23" spans="1:36" ht="51">
      <c r="A23" s="309" t="s">
        <v>136</v>
      </c>
      <c r="B23" s="183">
        <v>3764</v>
      </c>
      <c r="C23" s="183">
        <v>3764</v>
      </c>
      <c r="D23" s="183">
        <v>3764</v>
      </c>
      <c r="E23" s="183">
        <v>3764</v>
      </c>
      <c r="F23" s="183">
        <v>3764</v>
      </c>
      <c r="G23" s="183">
        <v>3802</v>
      </c>
      <c r="H23" s="183">
        <v>3802</v>
      </c>
      <c r="I23" s="183">
        <v>3802</v>
      </c>
      <c r="J23" s="183">
        <v>3802</v>
      </c>
      <c r="K23" s="183">
        <v>3802</v>
      </c>
      <c r="L23" s="183">
        <v>3802</v>
      </c>
      <c r="M23" s="183">
        <v>3802</v>
      </c>
      <c r="N23" s="183">
        <v>3842</v>
      </c>
      <c r="O23" s="183">
        <v>3842</v>
      </c>
      <c r="P23" s="183">
        <v>3842</v>
      </c>
      <c r="Q23" s="183">
        <v>3842</v>
      </c>
      <c r="R23" s="183">
        <v>3842</v>
      </c>
      <c r="S23" s="183">
        <v>3842</v>
      </c>
      <c r="T23" s="183">
        <v>3842</v>
      </c>
      <c r="U23" s="183">
        <v>3888</v>
      </c>
      <c r="V23" s="183">
        <v>3888</v>
      </c>
      <c r="W23" s="183">
        <v>3888</v>
      </c>
      <c r="X23" s="183">
        <v>3888</v>
      </c>
      <c r="Y23" s="183">
        <v>3888</v>
      </c>
      <c r="Z23" s="183">
        <v>3888</v>
      </c>
      <c r="AA23" s="183">
        <v>3888</v>
      </c>
      <c r="AB23" s="183">
        <v>3945</v>
      </c>
      <c r="AC23" s="183">
        <v>3945</v>
      </c>
      <c r="AD23" s="183">
        <v>3945</v>
      </c>
      <c r="AE23" s="183">
        <v>3945</v>
      </c>
      <c r="AF23" s="183">
        <v>3945</v>
      </c>
      <c r="AG23" s="323">
        <v>181</v>
      </c>
      <c r="AH23" s="208">
        <v>181</v>
      </c>
      <c r="AI23" s="183">
        <v>3764</v>
      </c>
      <c r="AJ23" s="307"/>
    </row>
    <row r="24" spans="1:36" ht="51">
      <c r="A24" s="309" t="s">
        <v>139</v>
      </c>
      <c r="B24" s="183">
        <v>3900</v>
      </c>
      <c r="C24" s="183">
        <v>3900</v>
      </c>
      <c r="D24" s="183">
        <v>3900</v>
      </c>
      <c r="E24" s="183">
        <v>3900</v>
      </c>
      <c r="F24" s="183">
        <v>3900</v>
      </c>
      <c r="G24" s="183">
        <v>3924</v>
      </c>
      <c r="H24" s="183">
        <v>3924</v>
      </c>
      <c r="I24" s="183">
        <v>3924</v>
      </c>
      <c r="J24" s="183">
        <v>3924</v>
      </c>
      <c r="K24" s="183">
        <v>3924</v>
      </c>
      <c r="L24" s="183">
        <v>3924</v>
      </c>
      <c r="M24" s="183">
        <v>3924</v>
      </c>
      <c r="N24" s="183">
        <v>3943</v>
      </c>
      <c r="O24" s="183">
        <v>3943</v>
      </c>
      <c r="P24" s="183">
        <v>3943</v>
      </c>
      <c r="Q24" s="183">
        <v>3943</v>
      </c>
      <c r="R24" s="183">
        <v>3943</v>
      </c>
      <c r="S24" s="183">
        <v>3943</v>
      </c>
      <c r="T24" s="183">
        <v>3943</v>
      </c>
      <c r="U24" s="183">
        <v>3966</v>
      </c>
      <c r="V24" s="183">
        <v>3966</v>
      </c>
      <c r="W24" s="183">
        <v>3966</v>
      </c>
      <c r="X24" s="183">
        <v>3966</v>
      </c>
      <c r="Y24" s="183">
        <v>3966</v>
      </c>
      <c r="Z24" s="183">
        <v>3966</v>
      </c>
      <c r="AA24" s="183">
        <v>3966</v>
      </c>
      <c r="AB24" s="183">
        <v>3990</v>
      </c>
      <c r="AC24" s="183">
        <v>3990</v>
      </c>
      <c r="AD24" s="183">
        <v>3990</v>
      </c>
      <c r="AE24" s="183">
        <v>3990</v>
      </c>
      <c r="AF24" s="183">
        <v>3990</v>
      </c>
      <c r="AG24" s="323">
        <v>90</v>
      </c>
      <c r="AH24" s="208">
        <v>90</v>
      </c>
      <c r="AI24" s="183">
        <v>3900</v>
      </c>
      <c r="AJ24" s="307"/>
    </row>
    <row r="25" spans="1:36" ht="51">
      <c r="A25" s="309" t="s">
        <v>142</v>
      </c>
      <c r="B25" s="183">
        <v>1456</v>
      </c>
      <c r="C25" s="183">
        <v>1456</v>
      </c>
      <c r="D25" s="183">
        <v>1456</v>
      </c>
      <c r="E25" s="183">
        <v>1456</v>
      </c>
      <c r="F25" s="183">
        <v>1456</v>
      </c>
      <c r="G25" s="183">
        <v>1468</v>
      </c>
      <c r="H25" s="183">
        <v>1468</v>
      </c>
      <c r="I25" s="183">
        <v>1468</v>
      </c>
      <c r="J25" s="183">
        <v>1468</v>
      </c>
      <c r="K25" s="183">
        <v>1468</v>
      </c>
      <c r="L25" s="183">
        <v>1468</v>
      </c>
      <c r="M25" s="183">
        <v>1468</v>
      </c>
      <c r="N25" s="183">
        <v>1485</v>
      </c>
      <c r="O25" s="183">
        <v>1485</v>
      </c>
      <c r="P25" s="183">
        <v>1485</v>
      </c>
      <c r="Q25" s="183">
        <v>1485</v>
      </c>
      <c r="R25" s="183">
        <v>1485</v>
      </c>
      <c r="S25" s="183">
        <v>1485</v>
      </c>
      <c r="T25" s="183">
        <v>1485</v>
      </c>
      <c r="U25" s="183">
        <v>1505</v>
      </c>
      <c r="V25" s="183">
        <v>1505</v>
      </c>
      <c r="W25" s="183">
        <v>1505</v>
      </c>
      <c r="X25" s="183">
        <v>1505</v>
      </c>
      <c r="Y25" s="183">
        <v>1505</v>
      </c>
      <c r="Z25" s="183">
        <v>1505</v>
      </c>
      <c r="AA25" s="183">
        <v>1505</v>
      </c>
      <c r="AB25" s="183">
        <v>1528</v>
      </c>
      <c r="AC25" s="183">
        <v>1528</v>
      </c>
      <c r="AD25" s="183">
        <v>1528</v>
      </c>
      <c r="AE25" s="183">
        <v>1528</v>
      </c>
      <c r="AF25" s="183">
        <v>1528</v>
      </c>
      <c r="AG25" s="323">
        <v>72</v>
      </c>
      <c r="AH25" s="208">
        <v>72</v>
      </c>
      <c r="AI25" s="183">
        <v>1456</v>
      </c>
      <c r="AJ25" s="307"/>
    </row>
    <row r="26" spans="1:36" ht="51">
      <c r="A26" s="309" t="s">
        <v>145</v>
      </c>
      <c r="B26" s="183">
        <v>338</v>
      </c>
      <c r="C26" s="183">
        <v>338</v>
      </c>
      <c r="D26" s="183">
        <v>338</v>
      </c>
      <c r="E26" s="183">
        <v>338</v>
      </c>
      <c r="F26" s="183">
        <v>338</v>
      </c>
      <c r="G26" s="183">
        <v>350</v>
      </c>
      <c r="H26" s="183">
        <v>350</v>
      </c>
      <c r="I26" s="183">
        <v>350</v>
      </c>
      <c r="J26" s="183">
        <v>350</v>
      </c>
      <c r="K26" s="183">
        <v>350</v>
      </c>
      <c r="L26" s="183">
        <v>350</v>
      </c>
      <c r="M26" s="183">
        <v>350</v>
      </c>
      <c r="N26" s="183">
        <v>362</v>
      </c>
      <c r="O26" s="183">
        <v>362</v>
      </c>
      <c r="P26" s="183">
        <v>362</v>
      </c>
      <c r="Q26" s="183">
        <v>362</v>
      </c>
      <c r="R26" s="183">
        <v>362</v>
      </c>
      <c r="S26" s="183">
        <v>362</v>
      </c>
      <c r="T26" s="183">
        <v>362</v>
      </c>
      <c r="U26" s="183">
        <v>380</v>
      </c>
      <c r="V26" s="183">
        <v>380</v>
      </c>
      <c r="W26" s="183">
        <v>380</v>
      </c>
      <c r="X26" s="183">
        <v>380</v>
      </c>
      <c r="Y26" s="183">
        <v>380</v>
      </c>
      <c r="Z26" s="183">
        <v>380</v>
      </c>
      <c r="AA26" s="183">
        <v>380</v>
      </c>
      <c r="AB26" s="183">
        <v>392</v>
      </c>
      <c r="AC26" s="183">
        <v>392</v>
      </c>
      <c r="AD26" s="183">
        <v>392</v>
      </c>
      <c r="AE26" s="183">
        <v>392</v>
      </c>
      <c r="AF26" s="183">
        <v>392</v>
      </c>
      <c r="AG26" s="323">
        <v>54</v>
      </c>
      <c r="AH26" s="208">
        <v>54</v>
      </c>
      <c r="AI26" s="183">
        <v>338</v>
      </c>
      <c r="AJ26" s="307"/>
    </row>
    <row r="27" spans="1:36" ht="51">
      <c r="A27" s="309" t="s">
        <v>148</v>
      </c>
      <c r="B27" s="183">
        <v>4413</v>
      </c>
      <c r="C27" s="183">
        <v>4413</v>
      </c>
      <c r="D27" s="183">
        <v>4413</v>
      </c>
      <c r="E27" s="183">
        <v>4413</v>
      </c>
      <c r="F27" s="183">
        <v>4413</v>
      </c>
      <c r="G27" s="183">
        <v>4452</v>
      </c>
      <c r="H27" s="183">
        <v>4452</v>
      </c>
      <c r="I27" s="183">
        <v>4452</v>
      </c>
      <c r="J27" s="183">
        <v>4452</v>
      </c>
      <c r="K27" s="183">
        <v>4452</v>
      </c>
      <c r="L27" s="183">
        <v>4452</v>
      </c>
      <c r="M27" s="183">
        <v>4452</v>
      </c>
      <c r="N27" s="183">
        <v>4500</v>
      </c>
      <c r="O27" s="183">
        <v>4500</v>
      </c>
      <c r="P27" s="183">
        <v>4500</v>
      </c>
      <c r="Q27" s="183">
        <v>4500</v>
      </c>
      <c r="R27" s="183">
        <v>4500</v>
      </c>
      <c r="S27" s="183">
        <v>4500</v>
      </c>
      <c r="T27" s="183">
        <v>4500</v>
      </c>
      <c r="U27" s="183">
        <v>4565</v>
      </c>
      <c r="V27" s="183">
        <v>4565</v>
      </c>
      <c r="W27" s="183">
        <v>4565</v>
      </c>
      <c r="X27" s="183">
        <v>4565</v>
      </c>
      <c r="Y27" s="183">
        <v>4565</v>
      </c>
      <c r="Z27" s="183">
        <v>4565</v>
      </c>
      <c r="AA27" s="183">
        <v>4565</v>
      </c>
      <c r="AB27" s="183">
        <v>4628</v>
      </c>
      <c r="AC27" s="183">
        <v>4628</v>
      </c>
      <c r="AD27" s="183">
        <v>4628</v>
      </c>
      <c r="AE27" s="183">
        <v>4628</v>
      </c>
      <c r="AF27" s="183">
        <v>4628</v>
      </c>
      <c r="AG27" s="323">
        <v>215</v>
      </c>
      <c r="AH27" s="208">
        <v>215</v>
      </c>
      <c r="AI27" s="183">
        <v>4413</v>
      </c>
      <c r="AJ27" s="307"/>
    </row>
    <row r="28" spans="1:36" ht="51">
      <c r="A28" s="309" t="s">
        <v>151</v>
      </c>
      <c r="B28" s="183">
        <v>883</v>
      </c>
      <c r="C28" s="183">
        <v>883</v>
      </c>
      <c r="D28" s="183">
        <v>883</v>
      </c>
      <c r="E28" s="183">
        <v>883</v>
      </c>
      <c r="F28" s="183">
        <v>883</v>
      </c>
      <c r="G28" s="183">
        <v>895</v>
      </c>
      <c r="H28" s="183">
        <v>895</v>
      </c>
      <c r="I28" s="183">
        <v>895</v>
      </c>
      <c r="J28" s="183">
        <v>895</v>
      </c>
      <c r="K28" s="183">
        <v>895</v>
      </c>
      <c r="L28" s="183">
        <v>895</v>
      </c>
      <c r="M28" s="183">
        <v>895</v>
      </c>
      <c r="N28" s="183">
        <v>807</v>
      </c>
      <c r="O28" s="183">
        <v>807</v>
      </c>
      <c r="P28" s="183">
        <v>807</v>
      </c>
      <c r="Q28" s="183">
        <v>807</v>
      </c>
      <c r="R28" s="183">
        <v>807</v>
      </c>
      <c r="S28" s="183">
        <v>807</v>
      </c>
      <c r="T28" s="183">
        <v>807</v>
      </c>
      <c r="U28" s="183">
        <v>919</v>
      </c>
      <c r="V28" s="183">
        <v>919</v>
      </c>
      <c r="W28" s="183">
        <v>919</v>
      </c>
      <c r="X28" s="183">
        <v>919</v>
      </c>
      <c r="Y28" s="183">
        <v>919</v>
      </c>
      <c r="Z28" s="183">
        <v>919</v>
      </c>
      <c r="AA28" s="183">
        <v>919</v>
      </c>
      <c r="AB28" s="183">
        <v>931</v>
      </c>
      <c r="AC28" s="183">
        <v>931</v>
      </c>
      <c r="AD28" s="183">
        <v>931</v>
      </c>
      <c r="AE28" s="183">
        <v>931</v>
      </c>
      <c r="AF28" s="183">
        <v>931</v>
      </c>
      <c r="AG28" s="323">
        <v>48</v>
      </c>
      <c r="AH28" s="208">
        <v>48</v>
      </c>
      <c r="AI28" s="183">
        <v>883</v>
      </c>
      <c r="AJ28" s="307"/>
    </row>
    <row r="29" spans="1:36" ht="51">
      <c r="A29" s="309" t="s">
        <v>154</v>
      </c>
      <c r="B29" s="183">
        <v>407</v>
      </c>
      <c r="C29" s="183">
        <v>407</v>
      </c>
      <c r="D29" s="183">
        <v>407</v>
      </c>
      <c r="E29" s="183">
        <v>407</v>
      </c>
      <c r="F29" s="183">
        <v>407</v>
      </c>
      <c r="G29" s="183">
        <v>413</v>
      </c>
      <c r="H29" s="183">
        <v>413</v>
      </c>
      <c r="I29" s="183">
        <v>413</v>
      </c>
      <c r="J29" s="183">
        <v>413</v>
      </c>
      <c r="K29" s="183">
        <v>413</v>
      </c>
      <c r="L29" s="183">
        <v>413</v>
      </c>
      <c r="M29" s="183">
        <v>413</v>
      </c>
      <c r="N29" s="183">
        <v>419</v>
      </c>
      <c r="O29" s="183">
        <v>419</v>
      </c>
      <c r="P29" s="183">
        <v>419</v>
      </c>
      <c r="Q29" s="183">
        <v>419</v>
      </c>
      <c r="R29" s="183">
        <v>419</v>
      </c>
      <c r="S29" s="183">
        <v>419</v>
      </c>
      <c r="T29" s="183">
        <v>419</v>
      </c>
      <c r="U29" s="183">
        <v>424</v>
      </c>
      <c r="V29" s="183">
        <v>424</v>
      </c>
      <c r="W29" s="183">
        <v>424</v>
      </c>
      <c r="X29" s="183">
        <v>424</v>
      </c>
      <c r="Y29" s="183">
        <v>424</v>
      </c>
      <c r="Z29" s="183">
        <v>424</v>
      </c>
      <c r="AA29" s="183">
        <v>424</v>
      </c>
      <c r="AB29" s="183">
        <v>430</v>
      </c>
      <c r="AC29" s="183">
        <v>430</v>
      </c>
      <c r="AD29" s="183">
        <v>430</v>
      </c>
      <c r="AE29" s="183">
        <v>430</v>
      </c>
      <c r="AF29" s="183">
        <v>430</v>
      </c>
      <c r="AG29" s="323">
        <v>23</v>
      </c>
      <c r="AH29" s="208">
        <v>23</v>
      </c>
      <c r="AI29" s="183">
        <v>407</v>
      </c>
      <c r="AJ29" s="307"/>
    </row>
    <row r="30" spans="1:36">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304"/>
      <c r="AH30" s="304"/>
      <c r="AI30" s="162"/>
      <c r="AJ30" s="307"/>
    </row>
    <row r="31" spans="1:36" ht="38.25">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81" t="s">
        <v>157</v>
      </c>
      <c r="AG31" s="296"/>
      <c r="AH31" s="296"/>
      <c r="AI31" s="181" t="s">
        <v>157</v>
      </c>
      <c r="AJ31" s="307"/>
    </row>
    <row r="32" spans="1:36" ht="76.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190" t="s">
        <v>78</v>
      </c>
      <c r="AG32" s="209"/>
      <c r="AH32" s="209"/>
      <c r="AI32" s="190" t="s">
        <v>78</v>
      </c>
      <c r="AJ32" s="307"/>
    </row>
    <row r="33" spans="1:36" ht="76.5">
      <c r="A33" s="282" t="s">
        <v>80</v>
      </c>
      <c r="B33" s="187" t="s">
        <v>1503</v>
      </c>
      <c r="C33" s="187" t="s">
        <v>1504</v>
      </c>
      <c r="D33" s="187" t="s">
        <v>1327</v>
      </c>
      <c r="E33" s="187" t="s">
        <v>1504</v>
      </c>
      <c r="F33" s="187" t="s">
        <v>1505</v>
      </c>
      <c r="G33" s="187" t="s">
        <v>1506</v>
      </c>
      <c r="H33" s="187" t="s">
        <v>1507</v>
      </c>
      <c r="I33" s="187" t="s">
        <v>1507</v>
      </c>
      <c r="J33" s="187" t="s">
        <v>1507</v>
      </c>
      <c r="K33" s="187" t="s">
        <v>1508</v>
      </c>
      <c r="L33" s="187" t="s">
        <v>1509</v>
      </c>
      <c r="M33" s="187" t="s">
        <v>1510</v>
      </c>
      <c r="N33" s="187" t="s">
        <v>1510</v>
      </c>
      <c r="O33" s="187" t="s">
        <v>1510</v>
      </c>
      <c r="P33" s="187" t="s">
        <v>1511</v>
      </c>
      <c r="Q33" s="187" t="s">
        <v>1512</v>
      </c>
      <c r="R33" s="187" t="s">
        <v>1513</v>
      </c>
      <c r="S33" s="187" t="s">
        <v>1513</v>
      </c>
      <c r="T33" s="187" t="s">
        <v>1513</v>
      </c>
      <c r="U33" s="187" t="s">
        <v>1513</v>
      </c>
      <c r="V33" s="187" t="s">
        <v>1514</v>
      </c>
      <c r="W33" s="187" t="s">
        <v>1515</v>
      </c>
      <c r="X33" s="187" t="s">
        <v>1515</v>
      </c>
      <c r="Y33" s="187" t="s">
        <v>1516</v>
      </c>
      <c r="Z33" s="187" t="s">
        <v>1517</v>
      </c>
      <c r="AA33" s="187" t="s">
        <v>1518</v>
      </c>
      <c r="AB33" s="187" t="s">
        <v>1519</v>
      </c>
      <c r="AC33" s="187" t="s">
        <v>1520</v>
      </c>
      <c r="AD33" s="187" t="s">
        <v>1521</v>
      </c>
      <c r="AE33" s="187" t="s">
        <v>1519</v>
      </c>
      <c r="AF33" s="187" t="s">
        <v>1522</v>
      </c>
      <c r="AG33" s="209"/>
      <c r="AH33" s="209"/>
      <c r="AI33" s="187" t="s">
        <v>1327</v>
      </c>
      <c r="AJ33" s="307"/>
    </row>
    <row r="34" spans="1:36" ht="51.75" thickBot="1">
      <c r="A34" s="310" t="s">
        <v>81</v>
      </c>
      <c r="B34" s="187" t="s">
        <v>1329</v>
      </c>
      <c r="C34" s="187" t="s">
        <v>1329</v>
      </c>
      <c r="D34" s="187" t="s">
        <v>1329</v>
      </c>
      <c r="E34" s="187" t="s">
        <v>1329</v>
      </c>
      <c r="F34" s="187" t="s">
        <v>1329</v>
      </c>
      <c r="G34" s="187" t="s">
        <v>1329</v>
      </c>
      <c r="H34" s="187" t="s">
        <v>1329</v>
      </c>
      <c r="I34" s="187" t="s">
        <v>1329</v>
      </c>
      <c r="J34" s="187" t="s">
        <v>1329</v>
      </c>
      <c r="K34" s="187" t="s">
        <v>1329</v>
      </c>
      <c r="L34" s="187" t="s">
        <v>1329</v>
      </c>
      <c r="M34" s="187" t="s">
        <v>1329</v>
      </c>
      <c r="N34" s="187" t="s">
        <v>1329</v>
      </c>
      <c r="O34" s="187" t="s">
        <v>1329</v>
      </c>
      <c r="P34" s="187" t="s">
        <v>1329</v>
      </c>
      <c r="Q34" s="187" t="s">
        <v>1329</v>
      </c>
      <c r="R34" s="187" t="s">
        <v>1329</v>
      </c>
      <c r="S34" s="187" t="s">
        <v>1329</v>
      </c>
      <c r="T34" s="187" t="s">
        <v>1329</v>
      </c>
      <c r="U34" s="187" t="s">
        <v>1329</v>
      </c>
      <c r="V34" s="187" t="s">
        <v>1329</v>
      </c>
      <c r="W34" s="187" t="s">
        <v>1329</v>
      </c>
      <c r="X34" s="187" t="s">
        <v>1329</v>
      </c>
      <c r="Y34" s="187" t="s">
        <v>1329</v>
      </c>
      <c r="Z34" s="187" t="s">
        <v>1523</v>
      </c>
      <c r="AA34" s="187" t="s">
        <v>1523</v>
      </c>
      <c r="AB34" s="187" t="s">
        <v>1523</v>
      </c>
      <c r="AC34" s="187" t="s">
        <v>1523</v>
      </c>
      <c r="AD34" s="187" t="s">
        <v>1523</v>
      </c>
      <c r="AE34" s="187" t="s">
        <v>1523</v>
      </c>
      <c r="AF34" s="187" t="s">
        <v>1523</v>
      </c>
      <c r="AG34" s="209"/>
      <c r="AH34" s="209"/>
      <c r="AI34" s="187" t="s">
        <v>1329</v>
      </c>
      <c r="AJ34" s="307"/>
    </row>
    <row r="35" spans="1:36">
      <c r="AG35" s="211"/>
      <c r="AH35" s="211"/>
    </row>
    <row r="36" spans="1:36">
      <c r="AG36" s="211"/>
      <c r="AH36" s="211"/>
    </row>
  </sheetData>
  <mergeCells count="1">
    <mergeCell ref="A1:AI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E5CD-A75E-492A-8126-0D1903E88B2D}">
  <dimension ref="A1:AM36"/>
  <sheetViews>
    <sheetView topLeftCell="K18" workbookViewId="0">
      <selection activeCell="AF23" sqref="AF23"/>
    </sheetView>
  </sheetViews>
  <sheetFormatPr defaultRowHeight="15"/>
  <sheetData>
    <row r="1" spans="1:39"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9" ht="15.75">
      <c r="A2" s="280"/>
      <c r="B2" s="281">
        <v>44805</v>
      </c>
      <c r="C2" s="281">
        <v>44806</v>
      </c>
      <c r="D2" s="281">
        <v>44807</v>
      </c>
      <c r="E2" s="281">
        <v>44808</v>
      </c>
      <c r="F2" s="281">
        <v>44809</v>
      </c>
      <c r="G2" s="281">
        <v>44810</v>
      </c>
      <c r="H2" s="281">
        <v>44811</v>
      </c>
      <c r="I2" s="281">
        <v>44812</v>
      </c>
      <c r="J2" s="281">
        <v>44813</v>
      </c>
      <c r="K2" s="281">
        <v>44814</v>
      </c>
      <c r="L2" s="281">
        <v>44815</v>
      </c>
      <c r="M2" s="281">
        <v>44816</v>
      </c>
      <c r="N2" s="281">
        <v>44817</v>
      </c>
      <c r="O2" s="281">
        <v>44818</v>
      </c>
      <c r="P2" s="281">
        <v>44819</v>
      </c>
      <c r="Q2" s="281">
        <v>44820</v>
      </c>
      <c r="R2" s="281">
        <v>44821</v>
      </c>
      <c r="S2" s="281">
        <v>44822</v>
      </c>
      <c r="T2" s="281">
        <v>44823</v>
      </c>
      <c r="U2" s="281">
        <v>44824</v>
      </c>
      <c r="V2" s="281">
        <v>44825</v>
      </c>
      <c r="W2" s="281">
        <v>44826</v>
      </c>
      <c r="X2" s="281">
        <v>44827</v>
      </c>
      <c r="Y2" s="281">
        <v>44828</v>
      </c>
      <c r="Z2" s="281">
        <v>44829</v>
      </c>
      <c r="AA2" s="281">
        <v>44830</v>
      </c>
      <c r="AB2" s="281">
        <v>44831</v>
      </c>
      <c r="AC2" s="281">
        <v>44832</v>
      </c>
      <c r="AD2" s="281">
        <v>44833</v>
      </c>
      <c r="AE2" s="281">
        <v>44834</v>
      </c>
      <c r="AF2" s="281"/>
      <c r="AG2" s="281"/>
      <c r="AH2" s="281">
        <v>44804</v>
      </c>
    </row>
    <row r="3" spans="1:39" ht="5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71"/>
      <c r="AG3" s="317"/>
      <c r="AH3" s="283" t="s">
        <v>52</v>
      </c>
    </row>
    <row r="4" spans="1:39">
      <c r="A4" s="285" t="s">
        <v>54</v>
      </c>
      <c r="B4" s="212">
        <v>252491</v>
      </c>
      <c r="C4" s="212">
        <v>252705</v>
      </c>
      <c r="D4" s="212">
        <v>252910</v>
      </c>
      <c r="E4" s="212">
        <v>253124</v>
      </c>
      <c r="F4" s="212">
        <v>253347</v>
      </c>
      <c r="G4" s="212">
        <v>253573</v>
      </c>
      <c r="H4" s="212">
        <v>253801</v>
      </c>
      <c r="I4" s="212">
        <v>254029</v>
      </c>
      <c r="J4" s="212">
        <v>254246</v>
      </c>
      <c r="K4" s="212">
        <v>254461</v>
      </c>
      <c r="L4" s="212">
        <v>254682</v>
      </c>
      <c r="M4" s="212">
        <v>254907</v>
      </c>
      <c r="N4" s="212">
        <v>255124</v>
      </c>
      <c r="O4" s="212">
        <v>255343</v>
      </c>
      <c r="P4" s="212">
        <v>255568</v>
      </c>
      <c r="Q4" s="212">
        <v>255780</v>
      </c>
      <c r="R4" s="212">
        <v>255980</v>
      </c>
      <c r="S4" s="212">
        <v>256191</v>
      </c>
      <c r="T4" s="212">
        <v>256415</v>
      </c>
      <c r="U4" s="212">
        <v>256636</v>
      </c>
      <c r="V4" s="212">
        <v>256858</v>
      </c>
      <c r="W4" s="212">
        <v>257079</v>
      </c>
      <c r="X4" s="212">
        <v>257297</v>
      </c>
      <c r="Y4" s="212">
        <v>257503</v>
      </c>
      <c r="Z4" s="212">
        <v>257720</v>
      </c>
      <c r="AA4" s="212">
        <v>257946</v>
      </c>
      <c r="AB4" s="212">
        <v>258166</v>
      </c>
      <c r="AC4" s="212">
        <v>258386</v>
      </c>
      <c r="AD4" s="212">
        <v>258606</v>
      </c>
      <c r="AE4" s="212">
        <v>258823</v>
      </c>
      <c r="AF4" s="287"/>
      <c r="AG4" s="287"/>
      <c r="AH4" s="212">
        <v>252271</v>
      </c>
      <c r="AI4" s="318"/>
      <c r="AJ4" s="318"/>
      <c r="AM4" s="288"/>
    </row>
    <row r="5" spans="1:39">
      <c r="A5" s="285" t="s">
        <v>55</v>
      </c>
      <c r="B5" s="212">
        <v>6687534</v>
      </c>
      <c r="C5" s="212">
        <v>6694991</v>
      </c>
      <c r="D5" s="212">
        <v>6702038</v>
      </c>
      <c r="E5" s="212">
        <v>6709258</v>
      </c>
      <c r="F5" s="212">
        <v>6717067</v>
      </c>
      <c r="G5" s="212">
        <v>6724809</v>
      </c>
      <c r="H5" s="212">
        <v>6732523</v>
      </c>
      <c r="I5" s="212">
        <v>6740231</v>
      </c>
      <c r="J5" s="212">
        <v>6747540</v>
      </c>
      <c r="K5" s="212">
        <v>6754720</v>
      </c>
      <c r="L5" s="212">
        <v>6761987</v>
      </c>
      <c r="M5" s="212">
        <v>6769828</v>
      </c>
      <c r="N5" s="212">
        <v>6777363</v>
      </c>
      <c r="O5" s="212">
        <v>6785042</v>
      </c>
      <c r="P5" s="212">
        <v>6792855</v>
      </c>
      <c r="Q5" s="212">
        <v>6800343</v>
      </c>
      <c r="R5" s="212">
        <v>6807371</v>
      </c>
      <c r="S5" s="212">
        <v>6814647</v>
      </c>
      <c r="T5" s="212">
        <v>6822345</v>
      </c>
      <c r="U5" s="212">
        <v>6830427</v>
      </c>
      <c r="V5" s="212">
        <v>6838098</v>
      </c>
      <c r="W5" s="212">
        <v>6845755</v>
      </c>
      <c r="X5" s="212">
        <v>6853389</v>
      </c>
      <c r="Y5" s="212">
        <v>6860475</v>
      </c>
      <c r="Z5" s="212">
        <v>6867813</v>
      </c>
      <c r="AA5" s="212">
        <v>6875599</v>
      </c>
      <c r="AB5" s="212">
        <v>6883107</v>
      </c>
      <c r="AC5" s="212">
        <v>6890633</v>
      </c>
      <c r="AD5" s="212">
        <v>6898273</v>
      </c>
      <c r="AE5" s="212">
        <v>6905663</v>
      </c>
      <c r="AF5" s="287"/>
      <c r="AG5" s="287"/>
      <c r="AH5" s="212">
        <v>6679962</v>
      </c>
      <c r="AI5" s="318"/>
      <c r="AJ5" s="318"/>
      <c r="AM5" s="288"/>
    </row>
    <row r="6" spans="1:39">
      <c r="A6" s="285" t="s">
        <v>56</v>
      </c>
      <c r="B6" s="212">
        <v>3235240</v>
      </c>
      <c r="C6" s="212">
        <v>3238443</v>
      </c>
      <c r="D6" s="212">
        <v>3241464</v>
      </c>
      <c r="E6" s="212">
        <v>3244598</v>
      </c>
      <c r="F6" s="212">
        <v>3248218</v>
      </c>
      <c r="G6" s="212">
        <v>3251737</v>
      </c>
      <c r="H6" s="212">
        <v>3255293</v>
      </c>
      <c r="I6" s="212">
        <v>3258757</v>
      </c>
      <c r="J6" s="212">
        <v>3261875</v>
      </c>
      <c r="K6" s="212">
        <v>3264834</v>
      </c>
      <c r="L6" s="212">
        <v>3267943</v>
      </c>
      <c r="M6" s="212">
        <v>3271596</v>
      </c>
      <c r="N6" s="212">
        <v>3274941</v>
      </c>
      <c r="O6" s="212">
        <v>3278404</v>
      </c>
      <c r="P6" s="212">
        <v>3281927</v>
      </c>
      <c r="Q6" s="212">
        <v>3285327</v>
      </c>
      <c r="R6" s="212">
        <v>3288510</v>
      </c>
      <c r="S6" s="212">
        <v>3291767</v>
      </c>
      <c r="T6" s="212">
        <v>3295399</v>
      </c>
      <c r="U6" s="212">
        <v>3298851</v>
      </c>
      <c r="V6" s="212">
        <v>3302212</v>
      </c>
      <c r="W6" s="212">
        <v>3305648</v>
      </c>
      <c r="X6" s="212">
        <v>3309042</v>
      </c>
      <c r="Y6" s="212">
        <v>3312187</v>
      </c>
      <c r="Z6" s="212">
        <v>3315710</v>
      </c>
      <c r="AA6" s="212">
        <v>3319305</v>
      </c>
      <c r="AB6" s="212">
        <v>3322550</v>
      </c>
      <c r="AC6" s="212">
        <v>3325932</v>
      </c>
      <c r="AD6" s="212">
        <v>3329410</v>
      </c>
      <c r="AE6" s="212">
        <v>3332669</v>
      </c>
      <c r="AF6" s="287"/>
      <c r="AG6" s="287"/>
      <c r="AH6" s="212">
        <v>3232000</v>
      </c>
      <c r="AI6" s="318"/>
      <c r="AJ6" s="318"/>
      <c r="AM6" s="288"/>
    </row>
    <row r="7" spans="1:39">
      <c r="A7" s="285" t="s">
        <v>57</v>
      </c>
      <c r="B7" s="212">
        <v>7958640</v>
      </c>
      <c r="C7" s="212">
        <v>7973301</v>
      </c>
      <c r="D7" s="212">
        <v>7986640</v>
      </c>
      <c r="E7" s="212">
        <v>7994597</v>
      </c>
      <c r="F7" s="212">
        <v>8002453</v>
      </c>
      <c r="G7" s="212">
        <v>8010697</v>
      </c>
      <c r="H7" s="212">
        <v>8019581</v>
      </c>
      <c r="I7" s="212">
        <v>8028418</v>
      </c>
      <c r="J7" s="212">
        <v>8036547</v>
      </c>
      <c r="K7" s="212">
        <v>8043594</v>
      </c>
      <c r="L7" s="212">
        <v>8045427</v>
      </c>
      <c r="M7" s="212">
        <v>8045508</v>
      </c>
      <c r="N7" s="212">
        <v>8050286</v>
      </c>
      <c r="O7" s="212">
        <v>8050366</v>
      </c>
      <c r="P7" s="212">
        <v>8050446</v>
      </c>
      <c r="Q7" s="212">
        <v>8056944</v>
      </c>
      <c r="R7" s="212">
        <v>8063880</v>
      </c>
      <c r="S7" s="212">
        <v>8070930</v>
      </c>
      <c r="T7" s="212">
        <v>8078634</v>
      </c>
      <c r="U7" s="212">
        <v>8087422</v>
      </c>
      <c r="V7" s="212">
        <v>8098195</v>
      </c>
      <c r="W7" s="212">
        <v>8106934</v>
      </c>
      <c r="X7" s="212">
        <v>8114812</v>
      </c>
      <c r="Y7" s="212">
        <v>8122813</v>
      </c>
      <c r="Z7" s="212">
        <v>8136692</v>
      </c>
      <c r="AA7" s="212">
        <v>8151477</v>
      </c>
      <c r="AB7" s="212">
        <v>8165017</v>
      </c>
      <c r="AC7" s="212">
        <v>8179415</v>
      </c>
      <c r="AD7" s="212">
        <v>8193018</v>
      </c>
      <c r="AE7" s="212">
        <v>8206773</v>
      </c>
      <c r="AF7" s="287"/>
      <c r="AG7" s="287"/>
      <c r="AH7" s="212">
        <v>7942765</v>
      </c>
      <c r="AI7" s="318"/>
      <c r="AJ7" s="318"/>
      <c r="AM7" s="288"/>
    </row>
    <row r="8" spans="1:39">
      <c r="A8" s="285" t="s">
        <v>58</v>
      </c>
      <c r="B8" s="212">
        <v>2572190</v>
      </c>
      <c r="C8" s="212">
        <v>2572190</v>
      </c>
      <c r="D8" s="212">
        <v>2572520</v>
      </c>
      <c r="E8" s="212">
        <v>2575027</v>
      </c>
      <c r="F8" s="212">
        <v>2577493</v>
      </c>
      <c r="G8" s="212">
        <v>2580086</v>
      </c>
      <c r="H8" s="212">
        <v>2582879</v>
      </c>
      <c r="I8" s="212">
        <v>2585660</v>
      </c>
      <c r="J8" s="212">
        <v>2588224</v>
      </c>
      <c r="K8" s="212">
        <v>2591190</v>
      </c>
      <c r="L8" s="212">
        <v>2596085</v>
      </c>
      <c r="M8" s="212">
        <v>2601398</v>
      </c>
      <c r="N8" s="212">
        <v>2605004</v>
      </c>
      <c r="O8" s="212">
        <v>2610266</v>
      </c>
      <c r="P8" s="212">
        <v>2615381</v>
      </c>
      <c r="Q8" s="212">
        <v>2618195</v>
      </c>
      <c r="R8" s="212">
        <v>2620322</v>
      </c>
      <c r="S8" s="212">
        <v>2622479</v>
      </c>
      <c r="T8" s="212">
        <v>2624838</v>
      </c>
      <c r="U8" s="212">
        <v>2626871</v>
      </c>
      <c r="V8" s="212">
        <v>2629079</v>
      </c>
      <c r="W8" s="212">
        <v>2631721</v>
      </c>
      <c r="X8" s="212">
        <v>2634111</v>
      </c>
      <c r="Y8" s="212">
        <v>2635984</v>
      </c>
      <c r="Z8" s="212">
        <v>2635984</v>
      </c>
      <c r="AA8" s="212">
        <v>2636197</v>
      </c>
      <c r="AB8" s="212">
        <v>2636512</v>
      </c>
      <c r="AC8" s="212">
        <v>2636512</v>
      </c>
      <c r="AD8" s="212">
        <v>2636512</v>
      </c>
      <c r="AE8" s="212">
        <v>2636512</v>
      </c>
      <c r="AF8" s="287"/>
      <c r="AG8" s="287"/>
      <c r="AH8" s="212">
        <v>2572190</v>
      </c>
      <c r="AI8" s="318"/>
      <c r="AJ8" s="318"/>
      <c r="AM8" s="288"/>
    </row>
    <row r="9" spans="1:39">
      <c r="A9" s="285" t="s">
        <v>59</v>
      </c>
      <c r="B9" s="214">
        <v>16561692</v>
      </c>
      <c r="C9" s="214">
        <v>16574790</v>
      </c>
      <c r="D9" s="214">
        <v>16587958</v>
      </c>
      <c r="E9" s="214">
        <v>16601486</v>
      </c>
      <c r="F9" s="214">
        <v>16615438</v>
      </c>
      <c r="G9" s="214">
        <v>16629502</v>
      </c>
      <c r="H9" s="214">
        <v>16643643</v>
      </c>
      <c r="I9" s="214">
        <v>16657714</v>
      </c>
      <c r="J9" s="214">
        <v>16671284</v>
      </c>
      <c r="K9" s="214">
        <v>16684813</v>
      </c>
      <c r="L9" s="214">
        <v>16698580</v>
      </c>
      <c r="M9" s="214">
        <v>16712971</v>
      </c>
      <c r="N9" s="214">
        <v>16726672</v>
      </c>
      <c r="O9" s="214">
        <v>16740662</v>
      </c>
      <c r="P9" s="214">
        <v>16754613</v>
      </c>
      <c r="Q9" s="214">
        <v>16768082</v>
      </c>
      <c r="R9" s="214">
        <v>16780473</v>
      </c>
      <c r="S9" s="214">
        <v>16793133</v>
      </c>
      <c r="T9" s="214">
        <v>16806767</v>
      </c>
      <c r="U9" s="214">
        <v>16820521</v>
      </c>
      <c r="V9" s="214">
        <v>16834523</v>
      </c>
      <c r="W9" s="214">
        <v>16848272</v>
      </c>
      <c r="X9" s="214">
        <v>16861860</v>
      </c>
      <c r="Y9" s="214">
        <v>16874602</v>
      </c>
      <c r="Z9" s="214">
        <v>16887818</v>
      </c>
      <c r="AA9" s="214">
        <v>16902161</v>
      </c>
      <c r="AB9" s="214">
        <v>16915668</v>
      </c>
      <c r="AC9" s="214">
        <v>16928991</v>
      </c>
      <c r="AD9" s="214">
        <v>16942380</v>
      </c>
      <c r="AE9" s="214">
        <v>16955922</v>
      </c>
      <c r="AF9" s="290"/>
      <c r="AG9" s="290"/>
      <c r="AH9" s="214">
        <v>16548174</v>
      </c>
      <c r="AI9" s="318"/>
      <c r="AJ9" s="318"/>
      <c r="AM9" s="288"/>
    </row>
    <row r="10" spans="1:39">
      <c r="A10" s="285" t="s">
        <v>60</v>
      </c>
      <c r="B10" s="212">
        <v>5172549</v>
      </c>
      <c r="C10" s="212">
        <v>5176882</v>
      </c>
      <c r="D10" s="212">
        <v>5180401</v>
      </c>
      <c r="E10" s="212">
        <v>5184387</v>
      </c>
      <c r="F10" s="212">
        <v>5189393</v>
      </c>
      <c r="G10" s="212">
        <v>5194118</v>
      </c>
      <c r="H10" s="212">
        <v>5199077</v>
      </c>
      <c r="I10" s="212">
        <v>5204138</v>
      </c>
      <c r="J10" s="212">
        <v>5208385</v>
      </c>
      <c r="K10" s="212">
        <v>5211968</v>
      </c>
      <c r="L10" s="212">
        <v>5216145</v>
      </c>
      <c r="M10" s="212">
        <v>5221195</v>
      </c>
      <c r="N10" s="212">
        <v>5225877</v>
      </c>
      <c r="O10" s="212">
        <v>5230642</v>
      </c>
      <c r="P10" s="212">
        <v>5235637</v>
      </c>
      <c r="Q10" s="212">
        <v>5239921</v>
      </c>
      <c r="R10" s="212">
        <v>5243481</v>
      </c>
      <c r="S10" s="212">
        <v>5247578</v>
      </c>
      <c r="T10" s="212">
        <v>5252410</v>
      </c>
      <c r="U10" s="212">
        <v>5257182</v>
      </c>
      <c r="V10" s="212">
        <v>5262066</v>
      </c>
      <c r="W10" s="212">
        <v>5266952</v>
      </c>
      <c r="X10" s="212">
        <v>5271145</v>
      </c>
      <c r="Y10" s="212">
        <v>5274545</v>
      </c>
      <c r="Z10" s="212">
        <v>5278656</v>
      </c>
      <c r="AA10" s="212">
        <v>5283640</v>
      </c>
      <c r="AB10" s="212">
        <v>5288382</v>
      </c>
      <c r="AC10" s="212">
        <v>5293317</v>
      </c>
      <c r="AD10" s="212">
        <v>5298176</v>
      </c>
      <c r="AE10" s="212">
        <v>5302411</v>
      </c>
      <c r="AF10" s="287"/>
      <c r="AG10" s="287"/>
      <c r="AH10" s="212">
        <v>5167641</v>
      </c>
      <c r="AI10" s="318"/>
      <c r="AJ10" s="318"/>
      <c r="AM10" s="288"/>
    </row>
    <row r="11" spans="1:39">
      <c r="A11" s="285" t="s">
        <v>61</v>
      </c>
      <c r="B11" s="212">
        <v>198436</v>
      </c>
      <c r="C11" s="212">
        <v>198618</v>
      </c>
      <c r="D11" s="212">
        <v>198787</v>
      </c>
      <c r="E11" s="212">
        <v>198960</v>
      </c>
      <c r="F11" s="212">
        <v>199142</v>
      </c>
      <c r="G11" s="212">
        <v>199323</v>
      </c>
      <c r="H11" s="212">
        <v>199503</v>
      </c>
      <c r="I11" s="212">
        <v>199684</v>
      </c>
      <c r="J11" s="212">
        <v>199855</v>
      </c>
      <c r="K11" s="212">
        <v>200025</v>
      </c>
      <c r="L11" s="212">
        <v>200188</v>
      </c>
      <c r="M11" s="212">
        <v>200393</v>
      </c>
      <c r="N11" s="212">
        <v>200569</v>
      </c>
      <c r="O11" s="212">
        <v>200749</v>
      </c>
      <c r="P11" s="212">
        <v>200930</v>
      </c>
      <c r="Q11" s="212">
        <v>201108</v>
      </c>
      <c r="R11" s="212">
        <v>201268</v>
      </c>
      <c r="S11" s="212">
        <v>201439</v>
      </c>
      <c r="T11" s="212">
        <v>201619</v>
      </c>
      <c r="U11" s="212">
        <v>201799</v>
      </c>
      <c r="V11" s="212">
        <v>201977</v>
      </c>
      <c r="W11" s="212">
        <v>202150</v>
      </c>
      <c r="X11" s="212">
        <v>202328</v>
      </c>
      <c r="Y11" s="212">
        <v>202488</v>
      </c>
      <c r="Z11" s="212">
        <v>202661</v>
      </c>
      <c r="AA11" s="212">
        <v>202842</v>
      </c>
      <c r="AB11" s="212">
        <v>203014</v>
      </c>
      <c r="AC11" s="212">
        <v>203189</v>
      </c>
      <c r="AD11" s="212">
        <v>203363</v>
      </c>
      <c r="AE11" s="212">
        <v>203536</v>
      </c>
      <c r="AF11" s="287"/>
      <c r="AG11" s="287"/>
      <c r="AH11" s="212">
        <v>198256</v>
      </c>
      <c r="AI11" s="318"/>
      <c r="AJ11" s="318"/>
      <c r="AM11" s="288"/>
    </row>
    <row r="12" spans="1:39">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293"/>
      <c r="AG12" s="293"/>
      <c r="AH12" s="162"/>
      <c r="AI12" s="294"/>
      <c r="AJ12" s="294"/>
      <c r="AK12" s="294"/>
      <c r="AL12" s="294"/>
      <c r="AM12" s="294"/>
    </row>
    <row r="13" spans="1:39" ht="51">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296"/>
      <c r="AG13" s="296"/>
      <c r="AH13" s="181" t="s">
        <v>106</v>
      </c>
    </row>
    <row r="14" spans="1:39" ht="51">
      <c r="A14" s="282" t="s">
        <v>995</v>
      </c>
      <c r="B14" s="182">
        <v>263744.8</v>
      </c>
      <c r="C14" s="182">
        <v>263744.8</v>
      </c>
      <c r="D14" s="182">
        <v>264813.40999999997</v>
      </c>
      <c r="E14" s="182">
        <v>264813.40999999997</v>
      </c>
      <c r="F14" s="182">
        <v>264813.40999999997</v>
      </c>
      <c r="G14" s="182">
        <v>264813.40999999997</v>
      </c>
      <c r="H14" s="182">
        <v>264813.40999999997</v>
      </c>
      <c r="I14" s="182">
        <v>264813.40999999997</v>
      </c>
      <c r="J14" s="182">
        <v>264813.40999999997</v>
      </c>
      <c r="K14" s="182">
        <v>266191.03000000003</v>
      </c>
      <c r="L14" s="182">
        <v>266191.03000000003</v>
      </c>
      <c r="M14" s="182">
        <v>266191.03000000003</v>
      </c>
      <c r="N14" s="182">
        <v>266191.03000000003</v>
      </c>
      <c r="O14" s="182">
        <v>266191.03000000003</v>
      </c>
      <c r="P14" s="182">
        <v>266191.03000000003</v>
      </c>
      <c r="Q14" s="182">
        <v>266191.03000000003</v>
      </c>
      <c r="R14" s="182">
        <v>268130.33</v>
      </c>
      <c r="S14" s="182">
        <v>268130.33</v>
      </c>
      <c r="T14" s="182">
        <v>268130.33</v>
      </c>
      <c r="U14" s="182">
        <v>268130.33</v>
      </c>
      <c r="V14" s="182">
        <v>268130.33</v>
      </c>
      <c r="W14" s="182">
        <v>268130.33</v>
      </c>
      <c r="X14" s="182">
        <v>268130.33</v>
      </c>
      <c r="Y14" s="182">
        <v>269114.2</v>
      </c>
      <c r="Z14" s="182">
        <v>269114.2</v>
      </c>
      <c r="AA14" s="182">
        <v>269114.2</v>
      </c>
      <c r="AB14" s="182">
        <v>269114.2</v>
      </c>
      <c r="AC14" s="182">
        <v>269114.2</v>
      </c>
      <c r="AD14" s="182">
        <v>269114.2</v>
      </c>
      <c r="AE14" s="182">
        <v>269114.2</v>
      </c>
      <c r="AF14" s="319"/>
      <c r="AG14" s="319"/>
      <c r="AH14" s="182">
        <v>263744.8</v>
      </c>
    </row>
    <row r="15" spans="1:39" ht="89.25">
      <c r="A15" s="282" t="s">
        <v>67</v>
      </c>
      <c r="B15" s="183">
        <v>1500</v>
      </c>
      <c r="C15" s="183">
        <v>1500</v>
      </c>
      <c r="D15" s="183">
        <v>1500</v>
      </c>
      <c r="E15" s="183">
        <v>1500</v>
      </c>
      <c r="F15" s="183">
        <v>1501</v>
      </c>
      <c r="G15" s="183">
        <v>1501</v>
      </c>
      <c r="H15" s="183">
        <v>1501</v>
      </c>
      <c r="I15" s="183">
        <v>1501</v>
      </c>
      <c r="J15" s="183">
        <v>1501</v>
      </c>
      <c r="K15" s="183">
        <v>1501</v>
      </c>
      <c r="L15" s="183">
        <v>1501</v>
      </c>
      <c r="M15" s="183">
        <v>1501</v>
      </c>
      <c r="N15" s="183">
        <v>1501</v>
      </c>
      <c r="O15" s="183">
        <v>1688</v>
      </c>
      <c r="P15" s="183">
        <v>1689</v>
      </c>
      <c r="Q15" s="183">
        <v>1689</v>
      </c>
      <c r="R15" s="183">
        <v>1693</v>
      </c>
      <c r="S15" s="183">
        <v>1693</v>
      </c>
      <c r="T15" s="183">
        <v>1693</v>
      </c>
      <c r="U15" s="183">
        <v>1694</v>
      </c>
      <c r="V15" s="183">
        <v>1694</v>
      </c>
      <c r="W15" s="183">
        <v>1694</v>
      </c>
      <c r="X15" s="183">
        <v>1694</v>
      </c>
      <c r="Y15" s="183">
        <v>1694</v>
      </c>
      <c r="Z15" s="183">
        <v>1694</v>
      </c>
      <c r="AA15" s="183">
        <v>1694</v>
      </c>
      <c r="AB15" s="183">
        <v>1694</v>
      </c>
      <c r="AC15" s="183">
        <v>1802</v>
      </c>
      <c r="AD15" s="183">
        <v>1803</v>
      </c>
      <c r="AE15" s="183">
        <v>1803</v>
      </c>
      <c r="AF15" s="320"/>
      <c r="AG15" s="320"/>
      <c r="AH15" s="183">
        <v>1500</v>
      </c>
    </row>
    <row r="16" spans="1:39" ht="89.25">
      <c r="A16" s="282" t="s">
        <v>68</v>
      </c>
      <c r="B16" s="336">
        <v>5846</v>
      </c>
      <c r="C16" s="336">
        <v>5846</v>
      </c>
      <c r="D16" s="336">
        <v>5976</v>
      </c>
      <c r="E16" s="336">
        <v>5976</v>
      </c>
      <c r="F16" s="336">
        <v>5978</v>
      </c>
      <c r="G16" s="336">
        <v>5978</v>
      </c>
      <c r="H16" s="336">
        <v>5978</v>
      </c>
      <c r="I16" s="336">
        <v>5978</v>
      </c>
      <c r="J16" s="336">
        <v>5978</v>
      </c>
      <c r="K16" s="336">
        <v>6365</v>
      </c>
      <c r="L16" s="336">
        <v>6365</v>
      </c>
      <c r="M16" s="336">
        <v>6364</v>
      </c>
      <c r="N16" s="336">
        <v>6365</v>
      </c>
      <c r="O16" s="336">
        <v>6365</v>
      </c>
      <c r="P16" s="336">
        <v>6365</v>
      </c>
      <c r="Q16" s="336">
        <v>6365</v>
      </c>
      <c r="R16" s="336">
        <v>6677</v>
      </c>
      <c r="S16" s="336">
        <v>6677</v>
      </c>
      <c r="T16" s="336">
        <v>6677</v>
      </c>
      <c r="U16" s="336">
        <v>6677</v>
      </c>
      <c r="V16" s="336">
        <v>6677</v>
      </c>
      <c r="W16" s="336">
        <v>6677</v>
      </c>
      <c r="X16" s="336">
        <v>6677</v>
      </c>
      <c r="Y16" s="336">
        <v>6677</v>
      </c>
      <c r="Z16" s="336">
        <v>6677</v>
      </c>
      <c r="AA16" s="336">
        <v>6677</v>
      </c>
      <c r="AB16" s="336">
        <v>6677</v>
      </c>
      <c r="AC16" s="336">
        <v>6677</v>
      </c>
      <c r="AD16" s="336">
        <v>6677</v>
      </c>
      <c r="AE16" s="336">
        <v>6677</v>
      </c>
      <c r="AF16" s="320"/>
      <c r="AG16" s="320"/>
      <c r="AH16" s="336">
        <v>5846</v>
      </c>
    </row>
    <row r="17" spans="1:35">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304"/>
      <c r="AG17" s="304"/>
      <c r="AH17" s="162"/>
    </row>
    <row r="18" spans="1:35" ht="38.25">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296"/>
      <c r="AG18" s="296"/>
      <c r="AH18" s="181" t="s">
        <v>106</v>
      </c>
    </row>
    <row r="19" spans="1:35" ht="89.25">
      <c r="A19" s="282" t="s">
        <v>70</v>
      </c>
      <c r="B19" s="186">
        <v>67191.100000000006</v>
      </c>
      <c r="C19" s="186">
        <v>67250.7</v>
      </c>
      <c r="D19" s="186">
        <v>67282.100000000006</v>
      </c>
      <c r="E19" s="186">
        <v>67321.899999999994</v>
      </c>
      <c r="F19" s="186">
        <v>67380.899999999994</v>
      </c>
      <c r="G19" s="186">
        <v>67434.2</v>
      </c>
      <c r="H19" s="186">
        <v>67490.899999999994</v>
      </c>
      <c r="I19" s="186">
        <v>67529.600000000006</v>
      </c>
      <c r="J19" s="186">
        <v>67569.2</v>
      </c>
      <c r="K19" s="186">
        <v>67569.2</v>
      </c>
      <c r="L19" s="186">
        <v>67612.2</v>
      </c>
      <c r="M19" s="186">
        <v>67670.5</v>
      </c>
      <c r="N19" s="186">
        <v>67725.600000000006</v>
      </c>
      <c r="O19" s="186">
        <v>67780.399999999994</v>
      </c>
      <c r="P19" s="186">
        <v>67794.899999999994</v>
      </c>
      <c r="Q19" s="186">
        <v>67853.3</v>
      </c>
      <c r="R19" s="186">
        <v>67883.100000000006</v>
      </c>
      <c r="S19" s="186">
        <v>67904.600000000006</v>
      </c>
      <c r="T19" s="186">
        <v>67956.800000000003</v>
      </c>
      <c r="U19" s="186">
        <v>68007.100000000006</v>
      </c>
      <c r="V19" s="186">
        <v>68060.100000000006</v>
      </c>
      <c r="W19" s="186">
        <v>68117.100000000006</v>
      </c>
      <c r="X19" s="186">
        <v>68169.8</v>
      </c>
      <c r="Y19" s="186">
        <v>68201.600000000006</v>
      </c>
      <c r="Z19" s="186">
        <v>68237.399999999994</v>
      </c>
      <c r="AA19" s="186">
        <v>68289.2</v>
      </c>
      <c r="AB19" s="186">
        <v>68314.600000000006</v>
      </c>
      <c r="AC19" s="186">
        <v>68362.100000000006</v>
      </c>
      <c r="AD19" s="186">
        <v>68400.899999999994</v>
      </c>
      <c r="AE19" s="186">
        <v>68400.899999999994</v>
      </c>
      <c r="AF19" s="321"/>
      <c r="AG19" s="321"/>
      <c r="AH19" s="186">
        <v>67134.2</v>
      </c>
      <c r="AI19" s="307"/>
    </row>
    <row r="20" spans="1:35" ht="102">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209"/>
      <c r="AG20" s="209"/>
      <c r="AH20" s="183" t="s">
        <v>1307</v>
      </c>
      <c r="AI20" s="307"/>
    </row>
    <row r="21" spans="1:35" ht="63.75">
      <c r="A21" s="282" t="s">
        <v>72</v>
      </c>
      <c r="B21" s="183">
        <v>107963</v>
      </c>
      <c r="C21" s="183">
        <v>107963</v>
      </c>
      <c r="D21" s="183">
        <v>109515</v>
      </c>
      <c r="E21" s="183">
        <v>109515</v>
      </c>
      <c r="F21" s="183">
        <v>109515</v>
      </c>
      <c r="G21" s="183">
        <v>109515</v>
      </c>
      <c r="H21" s="183">
        <v>109515</v>
      </c>
      <c r="I21" s="183">
        <v>109515</v>
      </c>
      <c r="J21" s="183">
        <v>109515</v>
      </c>
      <c r="K21" s="183">
        <v>110693</v>
      </c>
      <c r="L21" s="183">
        <v>110693</v>
      </c>
      <c r="M21" s="183">
        <v>110693</v>
      </c>
      <c r="N21" s="183">
        <v>110693</v>
      </c>
      <c r="O21" s="183">
        <v>110693</v>
      </c>
      <c r="P21" s="183">
        <v>110693</v>
      </c>
      <c r="Q21" s="183">
        <v>110693</v>
      </c>
      <c r="R21" s="183">
        <v>112005</v>
      </c>
      <c r="S21" s="183">
        <v>112005</v>
      </c>
      <c r="T21" s="183">
        <v>112005</v>
      </c>
      <c r="U21" s="183">
        <v>112005</v>
      </c>
      <c r="V21" s="183">
        <v>112005</v>
      </c>
      <c r="W21" s="183">
        <v>112005</v>
      </c>
      <c r="X21" s="183">
        <v>112005</v>
      </c>
      <c r="Y21" s="183">
        <v>113367</v>
      </c>
      <c r="Z21" s="183">
        <v>113367</v>
      </c>
      <c r="AA21" s="183">
        <v>113367</v>
      </c>
      <c r="AB21" s="183">
        <v>113367</v>
      </c>
      <c r="AC21" s="183">
        <v>113367</v>
      </c>
      <c r="AD21" s="183">
        <v>113367</v>
      </c>
      <c r="AE21" s="183">
        <v>113367</v>
      </c>
      <c r="AF21" s="321"/>
      <c r="AG21" s="321"/>
      <c r="AH21" s="183">
        <v>107963</v>
      </c>
      <c r="AI21" s="307"/>
    </row>
    <row r="22" spans="1:35" ht="51">
      <c r="A22" s="282" t="s">
        <v>73</v>
      </c>
      <c r="B22" s="322">
        <v>160210</v>
      </c>
      <c r="C22" s="322">
        <v>160372</v>
      </c>
      <c r="D22" s="322">
        <v>160517</v>
      </c>
      <c r="E22" s="322">
        <v>160670</v>
      </c>
      <c r="F22" s="322">
        <v>160833</v>
      </c>
      <c r="G22" s="322">
        <v>160985</v>
      </c>
      <c r="H22" s="322">
        <v>161150</v>
      </c>
      <c r="I22" s="322">
        <v>161318</v>
      </c>
      <c r="J22" s="322">
        <v>161470</v>
      </c>
      <c r="K22" s="322">
        <v>161630</v>
      </c>
      <c r="L22" s="322">
        <v>161771</v>
      </c>
      <c r="M22" s="322">
        <v>161939</v>
      </c>
      <c r="N22" s="322">
        <v>162090</v>
      </c>
      <c r="O22" s="322">
        <v>162245</v>
      </c>
      <c r="P22" s="322">
        <v>162382</v>
      </c>
      <c r="Q22" s="322">
        <v>162522</v>
      </c>
      <c r="R22" s="322">
        <v>162672</v>
      </c>
      <c r="S22" s="322">
        <v>162794</v>
      </c>
      <c r="T22" s="322">
        <v>162935</v>
      </c>
      <c r="U22" s="322">
        <v>163067</v>
      </c>
      <c r="V22" s="322">
        <v>163214</v>
      </c>
      <c r="W22" s="322">
        <v>163356</v>
      </c>
      <c r="X22" s="322">
        <v>163505</v>
      </c>
      <c r="Y22" s="322">
        <v>163633</v>
      </c>
      <c r="Z22" s="322">
        <v>163766</v>
      </c>
      <c r="AA22" s="322">
        <v>163923</v>
      </c>
      <c r="AB22" s="322">
        <v>164058</v>
      </c>
      <c r="AC22" s="322">
        <v>164191</v>
      </c>
      <c r="AD22" s="322">
        <v>164321</v>
      </c>
      <c r="AE22" s="322">
        <v>164321</v>
      </c>
      <c r="AF22" s="321">
        <f>AE22-AH22</f>
        <v>4266</v>
      </c>
      <c r="AG22" s="321"/>
      <c r="AH22" s="322">
        <v>160055</v>
      </c>
      <c r="AI22" s="307"/>
    </row>
    <row r="23" spans="1:35" ht="51">
      <c r="A23" s="309" t="s">
        <v>136</v>
      </c>
      <c r="B23" s="183">
        <v>3945</v>
      </c>
      <c r="C23" s="183">
        <v>3945</v>
      </c>
      <c r="D23" s="183">
        <v>3999</v>
      </c>
      <c r="E23" s="183">
        <v>3999</v>
      </c>
      <c r="F23" s="183">
        <v>3999</v>
      </c>
      <c r="G23" s="183">
        <v>3999</v>
      </c>
      <c r="H23" s="183">
        <v>3999</v>
      </c>
      <c r="I23" s="183">
        <v>3999</v>
      </c>
      <c r="J23" s="183">
        <v>3999</v>
      </c>
      <c r="K23" s="183">
        <v>4051</v>
      </c>
      <c r="L23" s="183">
        <v>4051</v>
      </c>
      <c r="M23" s="183">
        <v>4051</v>
      </c>
      <c r="N23" s="183">
        <v>4051</v>
      </c>
      <c r="O23" s="183">
        <v>4051</v>
      </c>
      <c r="P23" s="183">
        <v>4051</v>
      </c>
      <c r="Q23" s="183">
        <v>4051</v>
      </c>
      <c r="R23" s="183">
        <v>4183</v>
      </c>
      <c r="S23" s="183">
        <v>4183</v>
      </c>
      <c r="T23" s="183">
        <v>4183</v>
      </c>
      <c r="U23" s="183">
        <v>4183</v>
      </c>
      <c r="V23" s="183">
        <v>4183</v>
      </c>
      <c r="W23" s="183">
        <v>4183</v>
      </c>
      <c r="X23" s="183">
        <v>4183</v>
      </c>
      <c r="Y23" s="183">
        <v>4266</v>
      </c>
      <c r="Z23" s="183">
        <v>4266</v>
      </c>
      <c r="AA23" s="183">
        <v>4266</v>
      </c>
      <c r="AB23" s="183">
        <v>4266</v>
      </c>
      <c r="AC23" s="183">
        <v>4266</v>
      </c>
      <c r="AD23" s="183">
        <v>4266</v>
      </c>
      <c r="AE23" s="183">
        <v>4266</v>
      </c>
      <c r="AF23" s="323">
        <v>321</v>
      </c>
      <c r="AG23" s="208">
        <v>321</v>
      </c>
      <c r="AH23" s="183">
        <v>3945</v>
      </c>
      <c r="AI23" s="307"/>
    </row>
    <row r="24" spans="1:35" ht="51">
      <c r="A24" s="309" t="s">
        <v>139</v>
      </c>
      <c r="B24" s="183">
        <v>3990</v>
      </c>
      <c r="C24" s="183">
        <v>3990</v>
      </c>
      <c r="D24" s="183">
        <v>4016</v>
      </c>
      <c r="E24" s="183">
        <v>4016</v>
      </c>
      <c r="F24" s="183">
        <v>4016</v>
      </c>
      <c r="G24" s="183">
        <v>4016</v>
      </c>
      <c r="H24" s="183">
        <v>4016</v>
      </c>
      <c r="I24" s="183">
        <v>4016</v>
      </c>
      <c r="J24" s="183">
        <v>4016</v>
      </c>
      <c r="K24" s="183">
        <v>4037</v>
      </c>
      <c r="L24" s="183">
        <v>4037</v>
      </c>
      <c r="M24" s="183">
        <v>4037</v>
      </c>
      <c r="N24" s="183">
        <v>4037</v>
      </c>
      <c r="O24" s="183">
        <v>4037</v>
      </c>
      <c r="P24" s="183">
        <v>4037</v>
      </c>
      <c r="Q24" s="183">
        <v>4037</v>
      </c>
      <c r="R24" s="183">
        <v>4115</v>
      </c>
      <c r="S24" s="183">
        <v>4115</v>
      </c>
      <c r="T24" s="183">
        <v>4115</v>
      </c>
      <c r="U24" s="183">
        <v>4115</v>
      </c>
      <c r="V24" s="183">
        <v>4115</v>
      </c>
      <c r="W24" s="183">
        <v>4115</v>
      </c>
      <c r="X24" s="183">
        <v>4115</v>
      </c>
      <c r="Y24" s="183">
        <v>4137</v>
      </c>
      <c r="Z24" s="183">
        <v>4137</v>
      </c>
      <c r="AA24" s="183">
        <v>4137</v>
      </c>
      <c r="AB24" s="183">
        <v>4137</v>
      </c>
      <c r="AC24" s="183">
        <v>4137</v>
      </c>
      <c r="AD24" s="183">
        <v>4137</v>
      </c>
      <c r="AE24" s="183">
        <v>4137</v>
      </c>
      <c r="AF24" s="323">
        <v>147</v>
      </c>
      <c r="AG24" s="208">
        <v>147</v>
      </c>
      <c r="AH24" s="183">
        <v>3990</v>
      </c>
      <c r="AI24" s="307"/>
    </row>
    <row r="25" spans="1:35" ht="51">
      <c r="A25" s="309" t="s">
        <v>142</v>
      </c>
      <c r="B25" s="183">
        <v>1528</v>
      </c>
      <c r="C25" s="183">
        <v>1528</v>
      </c>
      <c r="D25" s="183">
        <v>1550</v>
      </c>
      <c r="E25" s="183">
        <v>1550</v>
      </c>
      <c r="F25" s="183">
        <v>1550</v>
      </c>
      <c r="G25" s="183">
        <v>1550</v>
      </c>
      <c r="H25" s="183">
        <v>1550</v>
      </c>
      <c r="I25" s="183">
        <v>1550</v>
      </c>
      <c r="J25" s="183">
        <v>1550</v>
      </c>
      <c r="K25" s="183">
        <v>1574</v>
      </c>
      <c r="L25" s="183">
        <v>1574</v>
      </c>
      <c r="M25" s="183">
        <v>1574</v>
      </c>
      <c r="N25" s="183">
        <v>1574</v>
      </c>
      <c r="O25" s="183">
        <v>1574</v>
      </c>
      <c r="P25" s="183">
        <v>1574</v>
      </c>
      <c r="Q25" s="183">
        <v>1574</v>
      </c>
      <c r="R25" s="183">
        <v>1636</v>
      </c>
      <c r="S25" s="183">
        <v>1636</v>
      </c>
      <c r="T25" s="183">
        <v>1636</v>
      </c>
      <c r="U25" s="183">
        <v>1636</v>
      </c>
      <c r="V25" s="183">
        <v>1636</v>
      </c>
      <c r="W25" s="183">
        <v>1636</v>
      </c>
      <c r="X25" s="183">
        <v>1636</v>
      </c>
      <c r="Y25" s="183">
        <v>1658</v>
      </c>
      <c r="Z25" s="183">
        <v>1658</v>
      </c>
      <c r="AA25" s="183">
        <v>1658</v>
      </c>
      <c r="AB25" s="183">
        <v>1658</v>
      </c>
      <c r="AC25" s="183">
        <v>1658</v>
      </c>
      <c r="AD25" s="183">
        <v>1658</v>
      </c>
      <c r="AE25" s="183">
        <v>1658</v>
      </c>
      <c r="AF25" s="323">
        <v>130</v>
      </c>
      <c r="AG25" s="208">
        <v>130</v>
      </c>
      <c r="AH25" s="183">
        <v>1528</v>
      </c>
      <c r="AI25" s="307"/>
    </row>
    <row r="26" spans="1:35" ht="51">
      <c r="A26" s="309" t="s">
        <v>145</v>
      </c>
      <c r="B26" s="183">
        <v>392</v>
      </c>
      <c r="C26" s="183">
        <v>392</v>
      </c>
      <c r="D26" s="183">
        <v>409</v>
      </c>
      <c r="E26" s="183">
        <v>409</v>
      </c>
      <c r="F26" s="183">
        <v>409</v>
      </c>
      <c r="G26" s="183">
        <v>409</v>
      </c>
      <c r="H26" s="183">
        <v>409</v>
      </c>
      <c r="I26" s="183">
        <v>409</v>
      </c>
      <c r="J26" s="183">
        <v>409</v>
      </c>
      <c r="K26" s="183">
        <v>423</v>
      </c>
      <c r="L26" s="183">
        <v>423</v>
      </c>
      <c r="M26" s="183">
        <v>423</v>
      </c>
      <c r="N26" s="183">
        <v>423</v>
      </c>
      <c r="O26" s="183">
        <v>423</v>
      </c>
      <c r="P26" s="183">
        <v>423</v>
      </c>
      <c r="Q26" s="183">
        <v>423</v>
      </c>
      <c r="R26" s="183">
        <v>447</v>
      </c>
      <c r="S26" s="183">
        <v>447</v>
      </c>
      <c r="T26" s="183">
        <v>447</v>
      </c>
      <c r="U26" s="183">
        <v>447</v>
      </c>
      <c r="V26" s="183">
        <v>447</v>
      </c>
      <c r="W26" s="183">
        <v>447</v>
      </c>
      <c r="X26" s="183">
        <v>447</v>
      </c>
      <c r="Y26" s="183">
        <v>459</v>
      </c>
      <c r="Z26" s="183">
        <v>459</v>
      </c>
      <c r="AA26" s="183">
        <v>459</v>
      </c>
      <c r="AB26" s="183">
        <v>459</v>
      </c>
      <c r="AC26" s="183">
        <v>459</v>
      </c>
      <c r="AD26" s="183">
        <v>459</v>
      </c>
      <c r="AE26" s="183">
        <v>459</v>
      </c>
      <c r="AF26" s="323">
        <v>67</v>
      </c>
      <c r="AG26" s="208">
        <v>67</v>
      </c>
      <c r="AH26" s="183">
        <v>392</v>
      </c>
      <c r="AI26" s="307"/>
    </row>
    <row r="27" spans="1:35" ht="51">
      <c r="A27" s="309" t="s">
        <v>148</v>
      </c>
      <c r="B27" s="183">
        <v>4628</v>
      </c>
      <c r="C27" s="183">
        <v>4628</v>
      </c>
      <c r="D27" s="183">
        <v>4633</v>
      </c>
      <c r="E27" s="183">
        <v>4633</v>
      </c>
      <c r="F27" s="183">
        <v>4633</v>
      </c>
      <c r="G27" s="183">
        <v>4633</v>
      </c>
      <c r="H27" s="183">
        <v>4633</v>
      </c>
      <c r="I27" s="183">
        <v>4633</v>
      </c>
      <c r="J27" s="183">
        <v>4633</v>
      </c>
      <c r="K27" s="183">
        <v>4849</v>
      </c>
      <c r="L27" s="183">
        <v>4849</v>
      </c>
      <c r="M27" s="183">
        <v>4849</v>
      </c>
      <c r="N27" s="183">
        <v>4849</v>
      </c>
      <c r="O27" s="183">
        <v>4849</v>
      </c>
      <c r="P27" s="183">
        <v>4849</v>
      </c>
      <c r="Q27" s="183">
        <v>4849</v>
      </c>
      <c r="R27" s="183">
        <v>5152</v>
      </c>
      <c r="S27" s="183">
        <v>5152</v>
      </c>
      <c r="T27" s="183">
        <v>5152</v>
      </c>
      <c r="U27" s="183">
        <v>5152</v>
      </c>
      <c r="V27" s="183">
        <v>5152</v>
      </c>
      <c r="W27" s="183">
        <v>5152</v>
      </c>
      <c r="X27" s="183">
        <v>5152</v>
      </c>
      <c r="Y27" s="183">
        <v>5286</v>
      </c>
      <c r="Z27" s="183">
        <v>5286</v>
      </c>
      <c r="AA27" s="183">
        <v>5286</v>
      </c>
      <c r="AB27" s="183">
        <v>5286</v>
      </c>
      <c r="AC27" s="183">
        <v>5286</v>
      </c>
      <c r="AD27" s="183">
        <v>5286</v>
      </c>
      <c r="AE27" s="183">
        <v>5286</v>
      </c>
      <c r="AF27" s="323">
        <v>658</v>
      </c>
      <c r="AG27" s="208">
        <v>658</v>
      </c>
      <c r="AH27" s="183">
        <v>4628</v>
      </c>
      <c r="AI27" s="307"/>
    </row>
    <row r="28" spans="1:35" ht="51">
      <c r="A28" s="309" t="s">
        <v>151</v>
      </c>
      <c r="B28" s="183">
        <v>931</v>
      </c>
      <c r="C28" s="183">
        <v>931</v>
      </c>
      <c r="D28" s="183">
        <v>943</v>
      </c>
      <c r="E28" s="183">
        <v>943</v>
      </c>
      <c r="F28" s="183">
        <v>943</v>
      </c>
      <c r="G28" s="183">
        <v>943</v>
      </c>
      <c r="H28" s="183">
        <v>943</v>
      </c>
      <c r="I28" s="183">
        <v>943</v>
      </c>
      <c r="J28" s="183">
        <v>943</v>
      </c>
      <c r="K28" s="183">
        <v>954</v>
      </c>
      <c r="L28" s="183">
        <v>954</v>
      </c>
      <c r="M28" s="183">
        <v>954</v>
      </c>
      <c r="N28" s="183">
        <v>954</v>
      </c>
      <c r="O28" s="183">
        <v>954</v>
      </c>
      <c r="P28" s="183">
        <v>954</v>
      </c>
      <c r="Q28" s="183">
        <v>954</v>
      </c>
      <c r="R28" s="183">
        <v>967</v>
      </c>
      <c r="S28" s="183">
        <v>967</v>
      </c>
      <c r="T28" s="183">
        <v>967</v>
      </c>
      <c r="U28" s="183">
        <v>967</v>
      </c>
      <c r="V28" s="183">
        <v>967</v>
      </c>
      <c r="W28" s="183">
        <v>967</v>
      </c>
      <c r="X28" s="183">
        <v>967</v>
      </c>
      <c r="Y28" s="183">
        <v>979</v>
      </c>
      <c r="Z28" s="183">
        <v>979</v>
      </c>
      <c r="AA28" s="183">
        <v>979</v>
      </c>
      <c r="AB28" s="183">
        <v>979</v>
      </c>
      <c r="AC28" s="183">
        <v>979</v>
      </c>
      <c r="AD28" s="183">
        <v>979</v>
      </c>
      <c r="AE28" s="183">
        <v>979</v>
      </c>
      <c r="AF28" s="323">
        <v>48</v>
      </c>
      <c r="AG28" s="208">
        <v>48</v>
      </c>
      <c r="AH28" s="183">
        <v>931</v>
      </c>
      <c r="AI28" s="307"/>
    </row>
    <row r="29" spans="1:35" ht="51">
      <c r="A29" s="309" t="s">
        <v>154</v>
      </c>
      <c r="B29" s="183">
        <v>430</v>
      </c>
      <c r="C29" s="183">
        <v>430</v>
      </c>
      <c r="D29" s="183">
        <v>436</v>
      </c>
      <c r="E29" s="183">
        <v>436</v>
      </c>
      <c r="F29" s="183">
        <v>436</v>
      </c>
      <c r="G29" s="183">
        <v>436</v>
      </c>
      <c r="H29" s="183">
        <v>436</v>
      </c>
      <c r="I29" s="183">
        <v>436</v>
      </c>
      <c r="J29" s="183">
        <v>436</v>
      </c>
      <c r="K29" s="183">
        <v>442</v>
      </c>
      <c r="L29" s="183">
        <v>442</v>
      </c>
      <c r="M29" s="183">
        <v>442</v>
      </c>
      <c r="N29" s="183">
        <v>442</v>
      </c>
      <c r="O29" s="183">
        <v>442</v>
      </c>
      <c r="P29" s="183">
        <v>442</v>
      </c>
      <c r="Q29" s="183">
        <v>442</v>
      </c>
      <c r="R29" s="183">
        <v>448</v>
      </c>
      <c r="S29" s="183">
        <v>448</v>
      </c>
      <c r="T29" s="183">
        <v>448</v>
      </c>
      <c r="U29" s="183">
        <v>448</v>
      </c>
      <c r="V29" s="183">
        <v>448</v>
      </c>
      <c r="W29" s="183">
        <v>448</v>
      </c>
      <c r="X29" s="183">
        <v>448</v>
      </c>
      <c r="Y29" s="183">
        <v>455</v>
      </c>
      <c r="Z29" s="183">
        <v>455</v>
      </c>
      <c r="AA29" s="183">
        <v>455</v>
      </c>
      <c r="AB29" s="183">
        <v>455</v>
      </c>
      <c r="AC29" s="183">
        <v>455</v>
      </c>
      <c r="AD29" s="183">
        <v>455</v>
      </c>
      <c r="AE29" s="183">
        <v>455</v>
      </c>
      <c r="AF29" s="323">
        <v>25</v>
      </c>
      <c r="AG29" s="208">
        <v>25</v>
      </c>
      <c r="AH29" s="183">
        <v>430</v>
      </c>
      <c r="AI29" s="307"/>
    </row>
    <row r="30" spans="1:35">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304"/>
      <c r="AG30" s="304"/>
      <c r="AH30" s="162"/>
      <c r="AI30" s="307"/>
    </row>
    <row r="31" spans="1:35" ht="38.25">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296"/>
      <c r="AG31" s="296"/>
      <c r="AH31" s="181" t="s">
        <v>157</v>
      </c>
      <c r="AI31" s="307"/>
    </row>
    <row r="32" spans="1:35" ht="76.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209"/>
      <c r="AG32" s="209"/>
      <c r="AH32" s="190" t="s">
        <v>78</v>
      </c>
      <c r="AI32" s="307"/>
    </row>
    <row r="33" spans="1:35" ht="76.5">
      <c r="A33" s="282" t="s">
        <v>80</v>
      </c>
      <c r="B33" s="187" t="s">
        <v>1524</v>
      </c>
      <c r="C33" s="187" t="s">
        <v>1525</v>
      </c>
      <c r="D33" s="187" t="s">
        <v>1526</v>
      </c>
      <c r="E33" s="187" t="s">
        <v>1527</v>
      </c>
      <c r="F33" s="187" t="s">
        <v>1524</v>
      </c>
      <c r="G33" s="187" t="s">
        <v>1527</v>
      </c>
      <c r="H33" s="187" t="s">
        <v>1528</v>
      </c>
      <c r="I33" s="187" t="s">
        <v>1529</v>
      </c>
      <c r="J33" s="187" t="s">
        <v>1530</v>
      </c>
      <c r="K33" s="187" t="s">
        <v>1531</v>
      </c>
      <c r="L33" s="187" t="s">
        <v>1532</v>
      </c>
      <c r="M33" s="187" t="s">
        <v>1533</v>
      </c>
      <c r="N33" s="187" t="s">
        <v>1533</v>
      </c>
      <c r="O33" s="187" t="s">
        <v>1532</v>
      </c>
      <c r="P33" s="187" t="s">
        <v>1534</v>
      </c>
      <c r="Q33" s="187" t="s">
        <v>1532</v>
      </c>
      <c r="R33" s="187" t="s">
        <v>1533</v>
      </c>
      <c r="S33" s="187" t="s">
        <v>1533</v>
      </c>
      <c r="T33" s="187" t="s">
        <v>1533</v>
      </c>
      <c r="U33" s="187" t="s">
        <v>1535</v>
      </c>
      <c r="V33" s="187" t="s">
        <v>1535</v>
      </c>
      <c r="W33" s="187" t="s">
        <v>1536</v>
      </c>
      <c r="X33" s="187" t="s">
        <v>1536</v>
      </c>
      <c r="Y33" s="187" t="s">
        <v>1536</v>
      </c>
      <c r="Z33" s="187" t="s">
        <v>1536</v>
      </c>
      <c r="AA33" s="187" t="s">
        <v>1537</v>
      </c>
      <c r="AB33" s="187" t="s">
        <v>1538</v>
      </c>
      <c r="AC33" s="187" t="s">
        <v>1537</v>
      </c>
      <c r="AD33" s="187" t="s">
        <v>1539</v>
      </c>
      <c r="AE33" s="187" t="s">
        <v>1537</v>
      </c>
      <c r="AF33" s="209"/>
      <c r="AG33" s="209"/>
      <c r="AH33" s="187" t="s">
        <v>1522</v>
      </c>
      <c r="AI33" s="307"/>
    </row>
    <row r="34" spans="1:35" ht="51.75" thickBot="1">
      <c r="A34" s="310" t="s">
        <v>81</v>
      </c>
      <c r="B34" s="187" t="s">
        <v>1523</v>
      </c>
      <c r="C34" s="187" t="s">
        <v>1523</v>
      </c>
      <c r="D34" s="187" t="s">
        <v>1523</v>
      </c>
      <c r="E34" s="187" t="s">
        <v>1523</v>
      </c>
      <c r="F34" s="187" t="s">
        <v>1523</v>
      </c>
      <c r="G34" s="187" t="s">
        <v>1523</v>
      </c>
      <c r="H34" s="187" t="s">
        <v>1523</v>
      </c>
      <c r="I34" s="187" t="s">
        <v>1523</v>
      </c>
      <c r="J34" s="187" t="s">
        <v>1523</v>
      </c>
      <c r="K34" s="187" t="s">
        <v>1523</v>
      </c>
      <c r="L34" s="187" t="s">
        <v>1523</v>
      </c>
      <c r="M34" s="187" t="s">
        <v>1523</v>
      </c>
      <c r="N34" s="187" t="s">
        <v>1523</v>
      </c>
      <c r="O34" s="187" t="s">
        <v>1523</v>
      </c>
      <c r="P34" s="187" t="s">
        <v>1523</v>
      </c>
      <c r="Q34" s="187" t="s">
        <v>1523</v>
      </c>
      <c r="R34" s="187" t="s">
        <v>1523</v>
      </c>
      <c r="S34" s="187" t="s">
        <v>1523</v>
      </c>
      <c r="T34" s="187" t="s">
        <v>1523</v>
      </c>
      <c r="U34" s="187" t="s">
        <v>1523</v>
      </c>
      <c r="V34" s="187" t="s">
        <v>1523</v>
      </c>
      <c r="W34" s="187" t="s">
        <v>1523</v>
      </c>
      <c r="X34" s="187" t="s">
        <v>1523</v>
      </c>
      <c r="Y34" s="187" t="s">
        <v>1523</v>
      </c>
      <c r="Z34" s="187" t="s">
        <v>1523</v>
      </c>
      <c r="AA34" s="187" t="s">
        <v>1523</v>
      </c>
      <c r="AB34" s="187" t="s">
        <v>1523</v>
      </c>
      <c r="AC34" s="187" t="s">
        <v>1523</v>
      </c>
      <c r="AD34" s="187" t="s">
        <v>1523</v>
      </c>
      <c r="AE34" s="187" t="s">
        <v>1523</v>
      </c>
      <c r="AF34" s="209"/>
      <c r="AG34" s="209"/>
      <c r="AH34" s="187" t="s">
        <v>1523</v>
      </c>
      <c r="AI34" s="307"/>
    </row>
    <row r="35" spans="1:35">
      <c r="AF35" s="211"/>
      <c r="AG35" s="211"/>
    </row>
    <row r="36" spans="1:35">
      <c r="AF36" s="211"/>
      <c r="AG36" s="211"/>
    </row>
  </sheetData>
  <mergeCells count="1">
    <mergeCell ref="A1:AH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F42D-C0A9-4801-BB5E-CB91C97B57CC}">
  <dimension ref="A1:AN36"/>
  <sheetViews>
    <sheetView topLeftCell="O1" workbookViewId="0">
      <selection activeCell="AG23" sqref="AG23"/>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2" width="12.85546875" style="144" customWidth="1"/>
    <col min="33" max="34" width="9.140625" style="144"/>
    <col min="35" max="35" width="12.85546875" style="144" customWidth="1"/>
    <col min="36" max="36" width="11" style="144" customWidth="1"/>
    <col min="37" max="37" width="11.42578125" style="144" customWidth="1"/>
    <col min="38" max="16384" width="9.140625" style="144"/>
  </cols>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44835</v>
      </c>
      <c r="C2" s="281">
        <v>44836</v>
      </c>
      <c r="D2" s="281">
        <v>44837</v>
      </c>
      <c r="E2" s="281">
        <v>44838</v>
      </c>
      <c r="F2" s="281">
        <v>44839</v>
      </c>
      <c r="G2" s="281">
        <v>44840</v>
      </c>
      <c r="H2" s="281">
        <v>44841</v>
      </c>
      <c r="I2" s="281">
        <v>44842</v>
      </c>
      <c r="J2" s="281">
        <v>44843</v>
      </c>
      <c r="K2" s="281">
        <v>44844</v>
      </c>
      <c r="L2" s="281">
        <v>44845</v>
      </c>
      <c r="M2" s="281">
        <v>44846</v>
      </c>
      <c r="N2" s="281">
        <v>44847</v>
      </c>
      <c r="O2" s="281">
        <v>44848</v>
      </c>
      <c r="P2" s="281">
        <v>44849</v>
      </c>
      <c r="Q2" s="281">
        <v>44850</v>
      </c>
      <c r="R2" s="281">
        <v>44851</v>
      </c>
      <c r="S2" s="281">
        <v>44852</v>
      </c>
      <c r="T2" s="281">
        <v>44853</v>
      </c>
      <c r="U2" s="281">
        <v>44854</v>
      </c>
      <c r="V2" s="281">
        <v>44855</v>
      </c>
      <c r="W2" s="281">
        <v>44856</v>
      </c>
      <c r="X2" s="281">
        <v>44857</v>
      </c>
      <c r="Y2" s="281">
        <v>44858</v>
      </c>
      <c r="Z2" s="281">
        <v>44859</v>
      </c>
      <c r="AA2" s="281">
        <v>44860</v>
      </c>
      <c r="AB2" s="281">
        <v>44861</v>
      </c>
      <c r="AC2" s="281">
        <v>44862</v>
      </c>
      <c r="AD2" s="281">
        <v>44863</v>
      </c>
      <c r="AE2" s="281">
        <v>44864</v>
      </c>
      <c r="AF2" s="281">
        <v>44865</v>
      </c>
      <c r="AG2" s="281"/>
      <c r="AH2" s="281"/>
      <c r="AI2" s="281">
        <v>44834</v>
      </c>
    </row>
    <row r="3" spans="1:40"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52</v>
      </c>
      <c r="AG3" s="271"/>
      <c r="AH3" s="317"/>
      <c r="AI3" s="283" t="s">
        <v>52</v>
      </c>
    </row>
    <row r="4" spans="1:40" ht="20.100000000000001" customHeight="1">
      <c r="A4" s="285" t="s">
        <v>54</v>
      </c>
      <c r="B4" s="212">
        <v>259024</v>
      </c>
      <c r="C4" s="212">
        <v>259235</v>
      </c>
      <c r="D4" s="212">
        <v>259458</v>
      </c>
      <c r="E4" s="212">
        <v>259672</v>
      </c>
      <c r="F4" s="212">
        <v>259893</v>
      </c>
      <c r="G4" s="212">
        <v>260116</v>
      </c>
      <c r="H4" s="212">
        <v>260320</v>
      </c>
      <c r="I4" s="212">
        <v>260535</v>
      </c>
      <c r="J4" s="212">
        <v>260749</v>
      </c>
      <c r="K4" s="212">
        <v>260967</v>
      </c>
      <c r="L4" s="212">
        <v>261185</v>
      </c>
      <c r="M4" s="212">
        <v>261402</v>
      </c>
      <c r="N4" s="212">
        <v>261623</v>
      </c>
      <c r="O4" s="212">
        <v>261837</v>
      </c>
      <c r="P4" s="212">
        <v>262041</v>
      </c>
      <c r="Q4" s="212">
        <v>262254</v>
      </c>
      <c r="R4" s="383">
        <v>262473</v>
      </c>
      <c r="S4" s="212">
        <v>262684</v>
      </c>
      <c r="T4" s="383">
        <v>262897</v>
      </c>
      <c r="U4" s="383">
        <v>263114</v>
      </c>
      <c r="V4" s="383">
        <v>263328</v>
      </c>
      <c r="W4" s="212">
        <v>263530</v>
      </c>
      <c r="X4" s="383">
        <v>263740</v>
      </c>
      <c r="Y4" s="383">
        <v>263956</v>
      </c>
      <c r="Z4" s="383">
        <v>264170</v>
      </c>
      <c r="AA4" s="383">
        <v>264386</v>
      </c>
      <c r="AB4" s="212">
        <v>264602</v>
      </c>
      <c r="AC4" s="212">
        <v>264822</v>
      </c>
      <c r="AD4" s="212">
        <v>265022</v>
      </c>
      <c r="AE4" s="212">
        <v>265236</v>
      </c>
      <c r="AF4" s="212">
        <v>265455</v>
      </c>
      <c r="AG4" s="287"/>
      <c r="AH4" s="287"/>
      <c r="AI4" s="212">
        <v>258823</v>
      </c>
      <c r="AJ4" s="318"/>
      <c r="AK4" s="318"/>
      <c r="AN4" s="288"/>
    </row>
    <row r="5" spans="1:40" ht="20.100000000000001" customHeight="1">
      <c r="A5" s="285" t="s">
        <v>55</v>
      </c>
      <c r="B5" s="212">
        <v>6912453</v>
      </c>
      <c r="C5" s="212">
        <v>6919597</v>
      </c>
      <c r="D5" s="212">
        <v>6927518</v>
      </c>
      <c r="E5" s="212">
        <v>6935083</v>
      </c>
      <c r="F5" s="212">
        <v>6942864</v>
      </c>
      <c r="G5" s="212">
        <v>6950663</v>
      </c>
      <c r="H5" s="212">
        <v>6958419</v>
      </c>
      <c r="I5" s="212">
        <v>6966063</v>
      </c>
      <c r="J5" s="212">
        <v>6973736</v>
      </c>
      <c r="K5" s="212">
        <v>6981746</v>
      </c>
      <c r="L5" s="212">
        <v>6989544</v>
      </c>
      <c r="M5" s="212">
        <v>6997349</v>
      </c>
      <c r="N5" s="212">
        <v>7005374</v>
      </c>
      <c r="O5" s="212">
        <v>7013090</v>
      </c>
      <c r="P5" s="212">
        <v>7020456</v>
      </c>
      <c r="Q5" s="212">
        <v>7028119</v>
      </c>
      <c r="R5" s="383">
        <v>7036274</v>
      </c>
      <c r="S5" s="212">
        <v>7043944</v>
      </c>
      <c r="T5" s="383">
        <v>7051663</v>
      </c>
      <c r="U5" s="383">
        <v>7059211</v>
      </c>
      <c r="V5" s="383">
        <v>7066798</v>
      </c>
      <c r="W5" s="212">
        <v>7073891</v>
      </c>
      <c r="X5" s="383">
        <v>7081433</v>
      </c>
      <c r="Y5" s="383">
        <v>7089093</v>
      </c>
      <c r="Z5" s="383">
        <v>7096705</v>
      </c>
      <c r="AA5" s="383">
        <v>7104194</v>
      </c>
      <c r="AB5" s="212">
        <v>7111669</v>
      </c>
      <c r="AC5" s="212">
        <v>7119320</v>
      </c>
      <c r="AD5" s="212">
        <v>7126252</v>
      </c>
      <c r="AE5" s="212">
        <v>7133479</v>
      </c>
      <c r="AF5" s="212">
        <v>7141082</v>
      </c>
      <c r="AG5" s="287"/>
      <c r="AH5" s="287"/>
      <c r="AI5" s="212">
        <v>6905663</v>
      </c>
      <c r="AJ5" s="318"/>
      <c r="AK5" s="318"/>
      <c r="AN5" s="288"/>
    </row>
    <row r="6" spans="1:40" ht="20.100000000000001" customHeight="1">
      <c r="A6" s="285" t="s">
        <v>56</v>
      </c>
      <c r="B6" s="212">
        <v>3335607</v>
      </c>
      <c r="C6" s="212">
        <v>3338642</v>
      </c>
      <c r="D6" s="212">
        <v>3342013</v>
      </c>
      <c r="E6" s="212">
        <v>3345319</v>
      </c>
      <c r="F6" s="212">
        <v>3348819</v>
      </c>
      <c r="G6" s="212">
        <v>3352372</v>
      </c>
      <c r="H6" s="212">
        <v>3355778</v>
      </c>
      <c r="I6" s="212">
        <v>3359060</v>
      </c>
      <c r="J6" s="212">
        <v>3362370</v>
      </c>
      <c r="K6" s="212">
        <v>3366077</v>
      </c>
      <c r="L6" s="212">
        <v>3369639</v>
      </c>
      <c r="M6" s="212">
        <v>3373369</v>
      </c>
      <c r="N6" s="212">
        <v>3377077</v>
      </c>
      <c r="O6" s="212">
        <v>3380614</v>
      </c>
      <c r="P6" s="212">
        <v>3383816</v>
      </c>
      <c r="Q6" s="212">
        <v>3387376</v>
      </c>
      <c r="R6" s="383">
        <v>3391244</v>
      </c>
      <c r="S6" s="212">
        <v>3395026</v>
      </c>
      <c r="T6" s="383">
        <v>3398566</v>
      </c>
      <c r="U6" s="383">
        <v>3402083</v>
      </c>
      <c r="V6" s="383">
        <v>3405371</v>
      </c>
      <c r="W6" s="212">
        <v>3408382</v>
      </c>
      <c r="X6" s="383">
        <v>3411591</v>
      </c>
      <c r="Y6" s="383">
        <v>3415036</v>
      </c>
      <c r="Z6" s="383">
        <v>3418530</v>
      </c>
      <c r="AA6" s="383">
        <v>3422073</v>
      </c>
      <c r="AB6" s="212">
        <v>3425524</v>
      </c>
      <c r="AC6" s="212">
        <v>3428795</v>
      </c>
      <c r="AD6" s="212">
        <v>3431696</v>
      </c>
      <c r="AE6" s="212">
        <v>3434823</v>
      </c>
      <c r="AF6" s="212">
        <v>3438313</v>
      </c>
      <c r="AG6" s="287"/>
      <c r="AH6" s="287"/>
      <c r="AI6" s="212">
        <v>3332669</v>
      </c>
      <c r="AJ6" s="318"/>
      <c r="AK6" s="318"/>
      <c r="AN6" s="288"/>
    </row>
    <row r="7" spans="1:40" ht="20.100000000000001" customHeight="1">
      <c r="A7" s="285" t="s">
        <v>57</v>
      </c>
      <c r="B7" s="212">
        <v>8220114</v>
      </c>
      <c r="C7" s="212">
        <v>8233524</v>
      </c>
      <c r="D7" s="212">
        <v>8247590</v>
      </c>
      <c r="E7" s="212">
        <v>8261973</v>
      </c>
      <c r="F7" s="212">
        <v>8277462</v>
      </c>
      <c r="G7" s="212">
        <v>8285155</v>
      </c>
      <c r="H7" s="212">
        <v>8292111</v>
      </c>
      <c r="I7" s="212">
        <v>8298162</v>
      </c>
      <c r="J7" s="212">
        <v>8298242</v>
      </c>
      <c r="K7" s="212">
        <v>8298322</v>
      </c>
      <c r="L7" s="212">
        <v>8298401</v>
      </c>
      <c r="M7" s="212">
        <v>8298481</v>
      </c>
      <c r="N7" s="212">
        <v>8298632</v>
      </c>
      <c r="O7" s="212">
        <v>8299756</v>
      </c>
      <c r="P7" s="212">
        <v>8300912</v>
      </c>
      <c r="Q7" s="212">
        <v>8308613</v>
      </c>
      <c r="R7" s="383">
        <v>8316314</v>
      </c>
      <c r="S7" s="212">
        <v>8323572</v>
      </c>
      <c r="T7" s="383">
        <v>8330609</v>
      </c>
      <c r="U7" s="383">
        <v>8337776</v>
      </c>
      <c r="V7" s="383">
        <v>8339665</v>
      </c>
      <c r="W7" s="212">
        <v>8340257</v>
      </c>
      <c r="X7" s="383">
        <v>8351745</v>
      </c>
      <c r="Y7" s="383">
        <v>8364648</v>
      </c>
      <c r="Z7" s="383">
        <v>8372531</v>
      </c>
      <c r="AA7" s="383">
        <v>8386612</v>
      </c>
      <c r="AB7" s="212">
        <v>8401080</v>
      </c>
      <c r="AC7" s="212">
        <v>8414560</v>
      </c>
      <c r="AD7" s="212">
        <v>8426246</v>
      </c>
      <c r="AE7" s="212">
        <v>8432728</v>
      </c>
      <c r="AF7" s="212">
        <v>8439477</v>
      </c>
      <c r="AG7" s="287"/>
      <c r="AH7" s="287"/>
      <c r="AI7" s="212">
        <v>8206773</v>
      </c>
      <c r="AJ7" s="318"/>
      <c r="AK7" s="318"/>
      <c r="AN7" s="288"/>
    </row>
    <row r="8" spans="1:40" ht="20.100000000000001" customHeight="1">
      <c r="A8" s="285" t="s">
        <v>58</v>
      </c>
      <c r="B8" s="212">
        <v>2636512</v>
      </c>
      <c r="C8" s="212">
        <v>2636512</v>
      </c>
      <c r="D8" s="212">
        <v>2636512</v>
      </c>
      <c r="E8" s="212">
        <v>2636512</v>
      </c>
      <c r="F8" s="212">
        <v>2636512</v>
      </c>
      <c r="G8" s="212">
        <v>2638680</v>
      </c>
      <c r="H8" s="212">
        <v>2640889</v>
      </c>
      <c r="I8" s="212">
        <v>2643459</v>
      </c>
      <c r="J8" s="212">
        <v>2648251</v>
      </c>
      <c r="K8" s="212">
        <v>2653066</v>
      </c>
      <c r="L8" s="212">
        <v>2658193</v>
      </c>
      <c r="M8" s="212">
        <v>2662697</v>
      </c>
      <c r="N8" s="212">
        <v>2667176</v>
      </c>
      <c r="O8" s="212">
        <v>2671234</v>
      </c>
      <c r="P8" s="212">
        <v>2675246</v>
      </c>
      <c r="Q8" s="212">
        <v>2677137</v>
      </c>
      <c r="R8" s="383">
        <v>2679279</v>
      </c>
      <c r="S8" s="212">
        <v>2681463</v>
      </c>
      <c r="T8" s="383">
        <v>2683609</v>
      </c>
      <c r="U8" s="383">
        <v>2685781</v>
      </c>
      <c r="V8" s="383">
        <v>2689626</v>
      </c>
      <c r="W8" s="212">
        <v>2693773</v>
      </c>
      <c r="X8" s="383">
        <v>2694430</v>
      </c>
      <c r="Y8" s="383">
        <v>2694652</v>
      </c>
      <c r="Z8" s="383">
        <v>2696445</v>
      </c>
      <c r="AA8" s="383">
        <v>2696445</v>
      </c>
      <c r="AB8" s="212">
        <v>2696445</v>
      </c>
      <c r="AC8" s="212">
        <v>2696445</v>
      </c>
      <c r="AD8" s="212">
        <v>2696713</v>
      </c>
      <c r="AE8" s="212">
        <v>2698747</v>
      </c>
      <c r="AF8" s="212">
        <v>2700843</v>
      </c>
      <c r="AG8" s="287"/>
      <c r="AH8" s="287"/>
      <c r="AI8" s="212">
        <v>2636512</v>
      </c>
      <c r="AJ8" s="318"/>
      <c r="AK8" s="318"/>
      <c r="AN8" s="288"/>
    </row>
    <row r="9" spans="1:40" ht="20.100000000000001" customHeight="1">
      <c r="A9" s="285" t="s">
        <v>59</v>
      </c>
      <c r="B9" s="214">
        <v>16968956</v>
      </c>
      <c r="C9" s="214">
        <v>16982441</v>
      </c>
      <c r="D9" s="214">
        <v>16996427</v>
      </c>
      <c r="E9" s="214">
        <v>17010386</v>
      </c>
      <c r="F9" s="214">
        <v>17024733</v>
      </c>
      <c r="G9" s="214">
        <v>17038731</v>
      </c>
      <c r="H9" s="214">
        <v>17052253</v>
      </c>
      <c r="I9" s="214">
        <v>17066030</v>
      </c>
      <c r="J9" s="214">
        <v>17080090</v>
      </c>
      <c r="K9" s="214">
        <v>17093941</v>
      </c>
      <c r="L9" s="214">
        <v>17107299</v>
      </c>
      <c r="M9" s="214">
        <v>17120390</v>
      </c>
      <c r="N9" s="214">
        <v>17133759</v>
      </c>
      <c r="O9" s="214">
        <v>17146798</v>
      </c>
      <c r="P9" s="214">
        <v>17159490</v>
      </c>
      <c r="Q9" s="214">
        <v>17172379</v>
      </c>
      <c r="R9" s="384">
        <v>17185846</v>
      </c>
      <c r="S9" s="214">
        <v>17198908</v>
      </c>
      <c r="T9" s="384">
        <v>17212074</v>
      </c>
      <c r="U9" s="384">
        <v>17225156</v>
      </c>
      <c r="V9" s="384">
        <v>17238259</v>
      </c>
      <c r="W9" s="214">
        <v>17251016</v>
      </c>
      <c r="X9" s="384">
        <v>17264107</v>
      </c>
      <c r="Y9" s="384">
        <v>17277041</v>
      </c>
      <c r="Z9" s="384">
        <v>17289809</v>
      </c>
      <c r="AA9" s="384">
        <v>17302679</v>
      </c>
      <c r="AB9" s="214">
        <v>17315963</v>
      </c>
      <c r="AC9" s="214">
        <v>17329562</v>
      </c>
      <c r="AD9" s="214">
        <v>17342050</v>
      </c>
      <c r="AE9" s="214">
        <v>17355032</v>
      </c>
      <c r="AF9" s="214">
        <v>17368408</v>
      </c>
      <c r="AG9" s="290"/>
      <c r="AH9" s="290"/>
      <c r="AI9" s="214">
        <v>16955922</v>
      </c>
      <c r="AJ9" s="318"/>
      <c r="AK9" s="318"/>
      <c r="AN9" s="288"/>
    </row>
    <row r="10" spans="1:40" ht="20.100000000000001" customHeight="1">
      <c r="A10" s="285" t="s">
        <v>60</v>
      </c>
      <c r="B10" s="212">
        <v>5305721</v>
      </c>
      <c r="C10" s="212">
        <v>5309648</v>
      </c>
      <c r="D10" s="212">
        <v>5314692</v>
      </c>
      <c r="E10" s="212">
        <v>5319462</v>
      </c>
      <c r="F10" s="212">
        <v>5324345</v>
      </c>
      <c r="G10" s="212">
        <v>5329288</v>
      </c>
      <c r="H10" s="212">
        <v>5333575</v>
      </c>
      <c r="I10" s="212">
        <v>5337208</v>
      </c>
      <c r="J10" s="212">
        <v>5341348</v>
      </c>
      <c r="K10" s="212">
        <v>5346317</v>
      </c>
      <c r="L10" s="212">
        <v>5351102</v>
      </c>
      <c r="M10" s="212">
        <v>5355878</v>
      </c>
      <c r="N10" s="212">
        <v>5360970</v>
      </c>
      <c r="O10" s="212">
        <v>5365181</v>
      </c>
      <c r="P10" s="212">
        <v>5368698</v>
      </c>
      <c r="Q10" s="212">
        <v>5372519</v>
      </c>
      <c r="R10" s="383">
        <v>5376872</v>
      </c>
      <c r="S10" s="212">
        <v>5380936</v>
      </c>
      <c r="T10" s="383">
        <v>5385089</v>
      </c>
      <c r="U10" s="383">
        <v>5389270</v>
      </c>
      <c r="V10" s="383">
        <v>5393032</v>
      </c>
      <c r="W10" s="212">
        <v>5396067</v>
      </c>
      <c r="X10" s="383">
        <v>5399694</v>
      </c>
      <c r="Y10" s="383">
        <v>5403868</v>
      </c>
      <c r="Z10" s="383">
        <v>5408160</v>
      </c>
      <c r="AA10" s="383">
        <v>5412326</v>
      </c>
      <c r="AB10" s="212">
        <v>5416528</v>
      </c>
      <c r="AC10" s="212">
        <v>5420380</v>
      </c>
      <c r="AD10" s="212">
        <v>5423382</v>
      </c>
      <c r="AE10" s="212">
        <v>5426896</v>
      </c>
      <c r="AF10" s="212">
        <v>5431311</v>
      </c>
      <c r="AG10" s="287"/>
      <c r="AH10" s="287"/>
      <c r="AI10" s="212">
        <v>5302411</v>
      </c>
      <c r="AJ10" s="318"/>
      <c r="AK10" s="318"/>
      <c r="AN10" s="288"/>
    </row>
    <row r="11" spans="1:40" ht="22.5" customHeight="1">
      <c r="A11" s="285" t="s">
        <v>61</v>
      </c>
      <c r="B11" s="212">
        <v>203692</v>
      </c>
      <c r="C11" s="212">
        <v>203866</v>
      </c>
      <c r="D11" s="212">
        <v>204057</v>
      </c>
      <c r="E11" s="212">
        <v>204243</v>
      </c>
      <c r="F11" s="212">
        <v>204430</v>
      </c>
      <c r="G11" s="212">
        <v>204623</v>
      </c>
      <c r="H11" s="212">
        <v>204815</v>
      </c>
      <c r="I11" s="212">
        <v>204998</v>
      </c>
      <c r="J11" s="212">
        <v>205181</v>
      </c>
      <c r="K11" s="212">
        <v>205372</v>
      </c>
      <c r="L11" s="212">
        <v>205552</v>
      </c>
      <c r="M11" s="212">
        <v>205726</v>
      </c>
      <c r="N11" s="212">
        <v>205904</v>
      </c>
      <c r="O11" s="212">
        <v>206075</v>
      </c>
      <c r="P11" s="212">
        <v>206237</v>
      </c>
      <c r="Q11" s="212">
        <v>206411</v>
      </c>
      <c r="R11" s="383">
        <v>206591</v>
      </c>
      <c r="S11" s="212">
        <v>206760</v>
      </c>
      <c r="T11" s="383">
        <v>206928</v>
      </c>
      <c r="U11" s="383">
        <v>207104</v>
      </c>
      <c r="V11" s="383">
        <v>207278</v>
      </c>
      <c r="W11" s="212">
        <v>207437</v>
      </c>
      <c r="X11" s="383">
        <v>207604</v>
      </c>
      <c r="Y11" s="383">
        <v>207775</v>
      </c>
      <c r="Z11" s="383">
        <v>207943</v>
      </c>
      <c r="AA11" s="383">
        <v>208111</v>
      </c>
      <c r="AB11" s="212">
        <v>208280</v>
      </c>
      <c r="AC11" s="212">
        <v>208457</v>
      </c>
      <c r="AD11" s="212">
        <v>208611</v>
      </c>
      <c r="AE11" s="212">
        <v>208776</v>
      </c>
      <c r="AF11" s="212">
        <v>208955</v>
      </c>
      <c r="AG11" s="287"/>
      <c r="AH11" s="287"/>
      <c r="AI11" s="212">
        <v>203536</v>
      </c>
      <c r="AJ11" s="318"/>
      <c r="AK11" s="318"/>
      <c r="AN11" s="288"/>
    </row>
    <row r="12" spans="1:40" s="294" customFormat="1" ht="18" customHeight="1">
      <c r="A12" s="291" t="s">
        <v>62</v>
      </c>
      <c r="B12" s="162"/>
      <c r="C12" s="162"/>
      <c r="D12" s="162"/>
      <c r="E12" s="162"/>
      <c r="F12" s="162"/>
      <c r="G12" s="162"/>
      <c r="H12" s="162"/>
      <c r="I12" s="162"/>
      <c r="J12" s="162"/>
      <c r="K12" s="162"/>
      <c r="L12" s="162"/>
      <c r="M12" s="162"/>
      <c r="N12" s="162"/>
      <c r="O12" s="162"/>
      <c r="P12" s="162"/>
      <c r="Q12" s="162"/>
      <c r="R12" s="385"/>
      <c r="S12" s="162"/>
      <c r="T12" s="385"/>
      <c r="U12" s="385"/>
      <c r="V12" s="385"/>
      <c r="W12" s="162"/>
      <c r="X12" s="385"/>
      <c r="Y12" s="385"/>
      <c r="Z12" s="385"/>
      <c r="AA12" s="385"/>
      <c r="AB12" s="162"/>
      <c r="AC12" s="162"/>
      <c r="AD12" s="162"/>
      <c r="AE12" s="162"/>
      <c r="AF12" s="162"/>
      <c r="AG12" s="293"/>
      <c r="AH12" s="293"/>
      <c r="AI12" s="162"/>
    </row>
    <row r="13" spans="1:40" ht="25.5">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386" t="s">
        <v>106</v>
      </c>
      <c r="S13" s="181" t="s">
        <v>106</v>
      </c>
      <c r="T13" s="386" t="s">
        <v>106</v>
      </c>
      <c r="U13" s="386" t="s">
        <v>106</v>
      </c>
      <c r="V13" s="386" t="s">
        <v>106</v>
      </c>
      <c r="W13" s="181" t="s">
        <v>106</v>
      </c>
      <c r="X13" s="386" t="s">
        <v>106</v>
      </c>
      <c r="Y13" s="386" t="s">
        <v>106</v>
      </c>
      <c r="Z13" s="386" t="s">
        <v>106</v>
      </c>
      <c r="AA13" s="386" t="s">
        <v>106</v>
      </c>
      <c r="AB13" s="181" t="s">
        <v>106</v>
      </c>
      <c r="AC13" s="181" t="s">
        <v>106</v>
      </c>
      <c r="AD13" s="181" t="s">
        <v>106</v>
      </c>
      <c r="AE13" s="181" t="s">
        <v>106</v>
      </c>
      <c r="AF13" s="181" t="s">
        <v>106</v>
      </c>
      <c r="AG13" s="296"/>
      <c r="AH13" s="296"/>
      <c r="AI13" s="181" t="s">
        <v>106</v>
      </c>
    </row>
    <row r="14" spans="1:40">
      <c r="A14" s="282" t="s">
        <v>995</v>
      </c>
      <c r="B14" s="182">
        <v>270475.96000000002</v>
      </c>
      <c r="C14" s="182">
        <v>270475.96000000002</v>
      </c>
      <c r="D14" s="182">
        <v>270475.96000000002</v>
      </c>
      <c r="E14" s="182">
        <v>270475.96000000002</v>
      </c>
      <c r="F14" s="182">
        <v>270475.96000000002</v>
      </c>
      <c r="G14" s="182">
        <v>270475.96000000002</v>
      </c>
      <c r="H14" s="182">
        <v>270475.96000000002</v>
      </c>
      <c r="I14" s="182">
        <v>271547.09000000003</v>
      </c>
      <c r="J14" s="182">
        <v>271547.09000000003</v>
      </c>
      <c r="K14" s="182">
        <v>271547.09000000003</v>
      </c>
      <c r="L14" s="182">
        <v>271547.09000000003</v>
      </c>
      <c r="M14" s="182">
        <v>271547.09000000003</v>
      </c>
      <c r="N14" s="182">
        <v>271547.09000000003</v>
      </c>
      <c r="O14" s="182">
        <v>271547.09000000003</v>
      </c>
      <c r="P14" s="182">
        <v>272597.96000000002</v>
      </c>
      <c r="Q14" s="182">
        <v>272597.96000000002</v>
      </c>
      <c r="R14" s="387">
        <v>272597.96000000002</v>
      </c>
      <c r="S14" s="182">
        <v>272597.96000000002</v>
      </c>
      <c r="T14" s="387">
        <v>272597.96000000002</v>
      </c>
      <c r="U14" s="387">
        <v>272597.96000000002</v>
      </c>
      <c r="V14" s="387">
        <v>272597.96000000002</v>
      </c>
      <c r="W14" s="182">
        <v>273744.82</v>
      </c>
      <c r="X14" s="387">
        <v>273744.82</v>
      </c>
      <c r="Y14" s="387">
        <v>273744.82</v>
      </c>
      <c r="Z14" s="387">
        <v>273744.82</v>
      </c>
      <c r="AA14" s="387">
        <v>273744.82</v>
      </c>
      <c r="AB14" s="182">
        <v>273744.82</v>
      </c>
      <c r="AC14" s="182">
        <v>273744.82</v>
      </c>
      <c r="AD14" s="182">
        <v>274859.09000000003</v>
      </c>
      <c r="AE14" s="182">
        <v>274859.09000000003</v>
      </c>
      <c r="AF14" s="182">
        <v>274859.09000000003</v>
      </c>
      <c r="AG14" s="302"/>
      <c r="AH14" s="302"/>
      <c r="AI14" s="182">
        <v>269114.2</v>
      </c>
    </row>
    <row r="15" spans="1:40" ht="25.5">
      <c r="A15" s="282" t="s">
        <v>67</v>
      </c>
      <c r="B15" s="183">
        <v>1805</v>
      </c>
      <c r="C15" s="183">
        <v>1805</v>
      </c>
      <c r="D15" s="183">
        <v>1805</v>
      </c>
      <c r="E15" s="183">
        <v>1805</v>
      </c>
      <c r="F15" s="183">
        <v>1805</v>
      </c>
      <c r="G15" s="183">
        <v>1805</v>
      </c>
      <c r="H15" s="183">
        <v>1805</v>
      </c>
      <c r="I15" s="183">
        <v>1805</v>
      </c>
      <c r="J15" s="183">
        <v>1805</v>
      </c>
      <c r="K15" s="183">
        <v>1805</v>
      </c>
      <c r="L15" s="183">
        <v>1805</v>
      </c>
      <c r="M15" s="183">
        <v>1805</v>
      </c>
      <c r="N15" s="183">
        <v>1805</v>
      </c>
      <c r="O15" s="183">
        <v>1805</v>
      </c>
      <c r="P15" s="183">
        <v>1806</v>
      </c>
      <c r="Q15" s="183">
        <v>1806</v>
      </c>
      <c r="R15" s="388">
        <v>1806</v>
      </c>
      <c r="S15" s="183">
        <v>1806</v>
      </c>
      <c r="T15" s="388">
        <v>1806</v>
      </c>
      <c r="U15" s="388">
        <v>1806</v>
      </c>
      <c r="V15" s="388">
        <v>1806</v>
      </c>
      <c r="W15" s="183">
        <v>1806</v>
      </c>
      <c r="X15" s="388">
        <v>1806</v>
      </c>
      <c r="Y15" s="388">
        <v>1806</v>
      </c>
      <c r="Z15" s="388">
        <v>1806</v>
      </c>
      <c r="AA15" s="388">
        <v>1806</v>
      </c>
      <c r="AB15" s="183">
        <v>1806</v>
      </c>
      <c r="AC15" s="183">
        <v>1806</v>
      </c>
      <c r="AD15" s="183">
        <v>1806</v>
      </c>
      <c r="AE15" s="183">
        <v>1806</v>
      </c>
      <c r="AF15" s="183">
        <v>1806</v>
      </c>
      <c r="AG15" s="320"/>
      <c r="AH15" s="320"/>
      <c r="AI15" s="183">
        <v>1803</v>
      </c>
    </row>
    <row r="16" spans="1:40" ht="25.5">
      <c r="A16" s="282" t="s">
        <v>68</v>
      </c>
      <c r="B16" s="336">
        <v>6944</v>
      </c>
      <c r="C16" s="336">
        <v>6944</v>
      </c>
      <c r="D16" s="336">
        <v>6944</v>
      </c>
      <c r="E16" s="336">
        <v>6944</v>
      </c>
      <c r="F16" s="336">
        <v>6944</v>
      </c>
      <c r="G16" s="336">
        <v>6944</v>
      </c>
      <c r="H16" s="336">
        <v>6944</v>
      </c>
      <c r="I16" s="336">
        <v>7096</v>
      </c>
      <c r="J16" s="336">
        <v>7096</v>
      </c>
      <c r="K16" s="336">
        <v>7096</v>
      </c>
      <c r="L16" s="336">
        <v>7096</v>
      </c>
      <c r="M16" s="336">
        <v>7096</v>
      </c>
      <c r="N16" s="336">
        <v>7096</v>
      </c>
      <c r="O16" s="336">
        <v>7096</v>
      </c>
      <c r="P16" s="336">
        <v>7234</v>
      </c>
      <c r="Q16" s="336">
        <v>7234</v>
      </c>
      <c r="R16" s="389">
        <v>7234</v>
      </c>
      <c r="S16" s="336">
        <v>7234</v>
      </c>
      <c r="T16" s="389">
        <v>7234</v>
      </c>
      <c r="U16" s="389">
        <v>7234</v>
      </c>
      <c r="V16" s="389">
        <v>7234</v>
      </c>
      <c r="W16" s="336">
        <v>7359</v>
      </c>
      <c r="X16" s="389">
        <v>7351</v>
      </c>
      <c r="Y16" s="389">
        <v>7359</v>
      </c>
      <c r="Z16" s="389">
        <v>7359</v>
      </c>
      <c r="AA16" s="389">
        <v>7359</v>
      </c>
      <c r="AB16" s="336">
        <v>7359</v>
      </c>
      <c r="AC16" s="336">
        <v>7359</v>
      </c>
      <c r="AD16" s="336">
        <v>7567</v>
      </c>
      <c r="AE16" s="336">
        <v>7567</v>
      </c>
      <c r="AF16" s="336">
        <v>7567</v>
      </c>
      <c r="AG16" s="320"/>
      <c r="AH16" s="320"/>
      <c r="AI16" s="336">
        <v>6677</v>
      </c>
    </row>
    <row r="17" spans="1:36" ht="20.100000000000001" customHeight="1">
      <c r="A17" s="303"/>
      <c r="B17" s="162"/>
      <c r="C17" s="162"/>
      <c r="D17" s="162"/>
      <c r="E17" s="162"/>
      <c r="F17" s="162"/>
      <c r="G17" s="162"/>
      <c r="H17" s="162"/>
      <c r="I17" s="162"/>
      <c r="J17" s="162"/>
      <c r="K17" s="162"/>
      <c r="L17" s="162"/>
      <c r="M17" s="162"/>
      <c r="N17" s="162"/>
      <c r="O17" s="162"/>
      <c r="P17" s="162"/>
      <c r="Q17" s="162"/>
      <c r="R17" s="385"/>
      <c r="S17" s="162"/>
      <c r="T17" s="385"/>
      <c r="U17" s="385"/>
      <c r="V17" s="385"/>
      <c r="W17" s="162"/>
      <c r="X17" s="385"/>
      <c r="Y17" s="385"/>
      <c r="Z17" s="385"/>
      <c r="AA17" s="385"/>
      <c r="AB17" s="162"/>
      <c r="AC17" s="162"/>
      <c r="AD17" s="162"/>
      <c r="AE17" s="162"/>
      <c r="AF17" s="162"/>
      <c r="AG17" s="304"/>
      <c r="AH17" s="304"/>
      <c r="AI17" s="162"/>
    </row>
    <row r="18" spans="1:36">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386" t="s">
        <v>106</v>
      </c>
      <c r="S18" s="181" t="s">
        <v>106</v>
      </c>
      <c r="T18" s="386" t="s">
        <v>106</v>
      </c>
      <c r="U18" s="386" t="s">
        <v>106</v>
      </c>
      <c r="V18" s="386" t="s">
        <v>106</v>
      </c>
      <c r="W18" s="181" t="s">
        <v>106</v>
      </c>
      <c r="X18" s="386" t="s">
        <v>106</v>
      </c>
      <c r="Y18" s="386" t="s">
        <v>106</v>
      </c>
      <c r="Z18" s="386" t="s">
        <v>106</v>
      </c>
      <c r="AA18" s="386" t="s">
        <v>106</v>
      </c>
      <c r="AB18" s="181" t="s">
        <v>106</v>
      </c>
      <c r="AC18" s="181" t="s">
        <v>106</v>
      </c>
      <c r="AD18" s="181" t="s">
        <v>106</v>
      </c>
      <c r="AE18" s="181" t="s">
        <v>106</v>
      </c>
      <c r="AF18" s="181" t="s">
        <v>106</v>
      </c>
      <c r="AG18" s="296"/>
      <c r="AH18" s="296"/>
      <c r="AI18" s="181" t="s">
        <v>106</v>
      </c>
    </row>
    <row r="19" spans="1:36" ht="25.5">
      <c r="A19" s="282" t="s">
        <v>70</v>
      </c>
      <c r="B19" s="186">
        <v>68442.899999999994</v>
      </c>
      <c r="C19" s="186">
        <v>68471.399999999994</v>
      </c>
      <c r="D19" s="186">
        <v>68471.399999999994</v>
      </c>
      <c r="E19" s="186">
        <v>68552.100000000006</v>
      </c>
      <c r="F19" s="186">
        <v>68589.899999999994</v>
      </c>
      <c r="G19" s="186">
        <v>68632.2</v>
      </c>
      <c r="H19" s="186">
        <v>68677.100000000006</v>
      </c>
      <c r="I19" s="186">
        <v>68677.100000000006</v>
      </c>
      <c r="J19" s="186">
        <v>68699.100000000006</v>
      </c>
      <c r="K19" s="186">
        <v>68738.2</v>
      </c>
      <c r="L19" s="186">
        <v>68776.899999999994</v>
      </c>
      <c r="M19" s="186">
        <v>68816.100000000006</v>
      </c>
      <c r="N19" s="186">
        <v>68850.7</v>
      </c>
      <c r="O19" s="186">
        <v>68886.5</v>
      </c>
      <c r="P19" s="186">
        <v>68886.5</v>
      </c>
      <c r="Q19" s="186">
        <v>68909.2</v>
      </c>
      <c r="R19" s="390">
        <v>68949.899999999994</v>
      </c>
      <c r="S19" s="186">
        <v>68988.2</v>
      </c>
      <c r="T19" s="390">
        <v>69027.100000000006</v>
      </c>
      <c r="U19" s="390">
        <v>69058.8</v>
      </c>
      <c r="V19" s="390">
        <v>69100.7</v>
      </c>
      <c r="W19" s="186">
        <v>69100.7</v>
      </c>
      <c r="X19" s="390">
        <v>69119.3</v>
      </c>
      <c r="Y19" s="390">
        <v>69142.8</v>
      </c>
      <c r="Z19" s="390">
        <v>69175.899999999994</v>
      </c>
      <c r="AA19" s="390">
        <v>69203.100000000006</v>
      </c>
      <c r="AB19" s="186">
        <v>69239.199999999997</v>
      </c>
      <c r="AC19" s="186">
        <v>69272.899999999994</v>
      </c>
      <c r="AD19" s="186">
        <v>69272.899999999994</v>
      </c>
      <c r="AE19" s="186">
        <v>69286.899999999994</v>
      </c>
      <c r="AF19" s="186">
        <v>69335.199999999997</v>
      </c>
      <c r="AG19" s="119"/>
      <c r="AH19" s="119"/>
      <c r="AI19" s="186">
        <v>68400.899999999994</v>
      </c>
      <c r="AJ19" s="307"/>
    </row>
    <row r="20" spans="1:36" ht="25.5">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388" t="s">
        <v>1307</v>
      </c>
      <c r="S20" s="183" t="s">
        <v>1307</v>
      </c>
      <c r="T20" s="388" t="s">
        <v>1307</v>
      </c>
      <c r="U20" s="388" t="s">
        <v>1307</v>
      </c>
      <c r="V20" s="388" t="s">
        <v>1307</v>
      </c>
      <c r="W20" s="183" t="s">
        <v>1307</v>
      </c>
      <c r="X20" s="388" t="s">
        <v>1307</v>
      </c>
      <c r="Y20" s="388" t="s">
        <v>1307</v>
      </c>
      <c r="Z20" s="388" t="s">
        <v>1307</v>
      </c>
      <c r="AA20" s="388" t="s">
        <v>1307</v>
      </c>
      <c r="AB20" s="183" t="s">
        <v>1307</v>
      </c>
      <c r="AC20" s="183" t="s">
        <v>1307</v>
      </c>
      <c r="AD20" s="183" t="s">
        <v>1307</v>
      </c>
      <c r="AE20" s="183" t="s">
        <v>1307</v>
      </c>
      <c r="AF20" s="183" t="s">
        <v>1307</v>
      </c>
      <c r="AG20" s="209"/>
      <c r="AH20" s="209"/>
      <c r="AI20" s="183" t="s">
        <v>1307</v>
      </c>
      <c r="AJ20" s="307"/>
    </row>
    <row r="21" spans="1:36" ht="25.5">
      <c r="A21" s="282" t="s">
        <v>72</v>
      </c>
      <c r="B21" s="183">
        <v>114504</v>
      </c>
      <c r="C21" s="183">
        <v>114504</v>
      </c>
      <c r="D21" s="183">
        <v>114504</v>
      </c>
      <c r="E21" s="183">
        <v>114504</v>
      </c>
      <c r="F21" s="183">
        <v>114504</v>
      </c>
      <c r="G21" s="183">
        <v>114504</v>
      </c>
      <c r="H21" s="183">
        <v>114504</v>
      </c>
      <c r="I21" s="183">
        <v>115688</v>
      </c>
      <c r="J21" s="183">
        <v>115688</v>
      </c>
      <c r="K21" s="183">
        <v>115688</v>
      </c>
      <c r="L21" s="183">
        <v>115688</v>
      </c>
      <c r="M21" s="183">
        <v>115688</v>
      </c>
      <c r="N21" s="183">
        <v>115688</v>
      </c>
      <c r="O21" s="183">
        <v>115688</v>
      </c>
      <c r="P21" s="183">
        <v>116847</v>
      </c>
      <c r="Q21" s="183">
        <v>116847</v>
      </c>
      <c r="R21" s="388">
        <v>116847</v>
      </c>
      <c r="S21" s="183">
        <v>116847</v>
      </c>
      <c r="T21" s="388">
        <v>116847</v>
      </c>
      <c r="U21" s="388">
        <v>116847</v>
      </c>
      <c r="V21" s="388">
        <v>116847</v>
      </c>
      <c r="W21" s="183">
        <v>117935</v>
      </c>
      <c r="X21" s="388">
        <v>117935</v>
      </c>
      <c r="Y21" s="388">
        <v>117935</v>
      </c>
      <c r="Z21" s="388">
        <v>117935</v>
      </c>
      <c r="AA21" s="388">
        <v>117935</v>
      </c>
      <c r="AB21" s="183">
        <v>117935</v>
      </c>
      <c r="AC21" s="183">
        <v>117935</v>
      </c>
      <c r="AD21" s="183">
        <v>118879</v>
      </c>
      <c r="AE21" s="183">
        <v>118879</v>
      </c>
      <c r="AF21" s="183">
        <v>118879</v>
      </c>
      <c r="AG21" s="321"/>
      <c r="AH21" s="321"/>
      <c r="AI21" s="183">
        <v>113367</v>
      </c>
      <c r="AJ21" s="307"/>
    </row>
    <row r="22" spans="1:36" ht="25.5">
      <c r="A22" s="282" t="s">
        <v>73</v>
      </c>
      <c r="B22" s="322">
        <v>164560</v>
      </c>
      <c r="C22" s="322">
        <v>164681</v>
      </c>
      <c r="D22" s="322">
        <v>164681</v>
      </c>
      <c r="E22" s="322">
        <v>164940</v>
      </c>
      <c r="F22" s="322">
        <v>165076</v>
      </c>
      <c r="G22" s="322">
        <v>165211</v>
      </c>
      <c r="H22" s="322">
        <v>165327</v>
      </c>
      <c r="I22" s="322">
        <v>165451</v>
      </c>
      <c r="J22" s="322">
        <v>165578</v>
      </c>
      <c r="K22" s="322">
        <v>165717</v>
      </c>
      <c r="L22" s="322">
        <v>165858</v>
      </c>
      <c r="M22" s="322">
        <v>165957</v>
      </c>
      <c r="N22" s="322">
        <v>166083</v>
      </c>
      <c r="O22" s="322">
        <v>166203</v>
      </c>
      <c r="P22" s="322">
        <v>166322</v>
      </c>
      <c r="Q22" s="322">
        <v>166438</v>
      </c>
      <c r="R22" s="391">
        <v>166552</v>
      </c>
      <c r="S22" s="322">
        <v>166676</v>
      </c>
      <c r="T22" s="391">
        <v>166802</v>
      </c>
      <c r="U22" s="391">
        <v>166918</v>
      </c>
      <c r="V22" s="391">
        <v>167033</v>
      </c>
      <c r="W22" s="322">
        <v>167145</v>
      </c>
      <c r="X22" s="391">
        <v>167258</v>
      </c>
      <c r="Y22" s="391">
        <v>167390</v>
      </c>
      <c r="Z22" s="391">
        <v>167500</v>
      </c>
      <c r="AA22" s="391">
        <v>167615</v>
      </c>
      <c r="AB22" s="322">
        <v>167720</v>
      </c>
      <c r="AC22" s="322">
        <v>167829</v>
      </c>
      <c r="AD22" s="322">
        <v>167933</v>
      </c>
      <c r="AE22" s="322">
        <v>168043</v>
      </c>
      <c r="AF22" s="322">
        <v>168154</v>
      </c>
      <c r="AG22" s="321">
        <f>AF22-AI22</f>
        <v>3833</v>
      </c>
      <c r="AH22" s="321"/>
      <c r="AI22" s="322">
        <v>164321</v>
      </c>
      <c r="AJ22" s="307"/>
    </row>
    <row r="23" spans="1:36">
      <c r="A23" s="309" t="s">
        <v>136</v>
      </c>
      <c r="B23" s="183">
        <v>4347</v>
      </c>
      <c r="C23" s="183">
        <v>4347</v>
      </c>
      <c r="D23" s="183">
        <v>4347</v>
      </c>
      <c r="E23" s="183">
        <v>4347</v>
      </c>
      <c r="F23" s="183">
        <v>4347</v>
      </c>
      <c r="G23" s="183">
        <v>4347</v>
      </c>
      <c r="H23" s="183">
        <v>4347</v>
      </c>
      <c r="I23" s="183">
        <v>4403</v>
      </c>
      <c r="J23" s="183">
        <v>4403</v>
      </c>
      <c r="K23" s="183">
        <v>4403</v>
      </c>
      <c r="L23" s="183">
        <v>4403</v>
      </c>
      <c r="M23" s="183">
        <v>4403</v>
      </c>
      <c r="N23" s="183">
        <v>4403</v>
      </c>
      <c r="O23" s="183">
        <v>4403</v>
      </c>
      <c r="P23" s="183">
        <v>4454</v>
      </c>
      <c r="Q23" s="183">
        <v>4454</v>
      </c>
      <c r="R23" s="388">
        <v>4454</v>
      </c>
      <c r="S23" s="183">
        <v>4454</v>
      </c>
      <c r="T23" s="388">
        <v>4454</v>
      </c>
      <c r="U23" s="388">
        <v>4454</v>
      </c>
      <c r="V23" s="388">
        <v>4454</v>
      </c>
      <c r="W23" s="183">
        <v>4503</v>
      </c>
      <c r="X23" s="388">
        <v>4503</v>
      </c>
      <c r="Y23" s="388">
        <v>4503</v>
      </c>
      <c r="Z23" s="388">
        <v>4503</v>
      </c>
      <c r="AA23" s="388">
        <v>4503</v>
      </c>
      <c r="AB23" s="183">
        <v>4503</v>
      </c>
      <c r="AC23" s="183">
        <v>4503</v>
      </c>
      <c r="AD23" s="183">
        <v>4554</v>
      </c>
      <c r="AE23" s="183">
        <v>4554</v>
      </c>
      <c r="AF23" s="183">
        <v>4554</v>
      </c>
      <c r="AG23" s="208">
        <v>207</v>
      </c>
      <c r="AH23" s="323">
        <f>AF23-B23</f>
        <v>207</v>
      </c>
      <c r="AI23" s="183">
        <v>4266</v>
      </c>
      <c r="AJ23" s="307"/>
    </row>
    <row r="24" spans="1:36">
      <c r="A24" s="309" t="s">
        <v>139</v>
      </c>
      <c r="B24" s="183">
        <v>4165</v>
      </c>
      <c r="C24" s="183">
        <v>4165</v>
      </c>
      <c r="D24" s="183">
        <v>4165</v>
      </c>
      <c r="E24" s="183">
        <v>4165</v>
      </c>
      <c r="F24" s="183">
        <v>4165</v>
      </c>
      <c r="G24" s="183">
        <v>4165</v>
      </c>
      <c r="H24" s="183">
        <v>4165</v>
      </c>
      <c r="I24" s="183">
        <v>4193</v>
      </c>
      <c r="J24" s="183">
        <v>4193</v>
      </c>
      <c r="K24" s="183">
        <v>4193</v>
      </c>
      <c r="L24" s="183">
        <v>4193</v>
      </c>
      <c r="M24" s="183">
        <v>4193</v>
      </c>
      <c r="N24" s="183">
        <v>4193</v>
      </c>
      <c r="O24" s="183">
        <v>4193</v>
      </c>
      <c r="P24" s="183">
        <v>4220</v>
      </c>
      <c r="Q24" s="183">
        <v>4220</v>
      </c>
      <c r="R24" s="388">
        <v>4220</v>
      </c>
      <c r="S24" s="183">
        <v>4220</v>
      </c>
      <c r="T24" s="388">
        <v>4220</v>
      </c>
      <c r="U24" s="388">
        <v>4220</v>
      </c>
      <c r="V24" s="388">
        <v>4220</v>
      </c>
      <c r="W24" s="183">
        <v>4248</v>
      </c>
      <c r="X24" s="388">
        <v>4248</v>
      </c>
      <c r="Y24" s="388">
        <v>4248</v>
      </c>
      <c r="Z24" s="388">
        <v>4248</v>
      </c>
      <c r="AA24" s="388">
        <v>4248</v>
      </c>
      <c r="AB24" s="183">
        <v>4248</v>
      </c>
      <c r="AC24" s="183">
        <v>4248</v>
      </c>
      <c r="AD24" s="183">
        <v>4270</v>
      </c>
      <c r="AE24" s="183">
        <v>4270</v>
      </c>
      <c r="AF24" s="183">
        <v>4270</v>
      </c>
      <c r="AG24" s="208">
        <v>105</v>
      </c>
      <c r="AH24" s="323">
        <f t="shared" ref="AH24:AH29" si="0">AF24-B24</f>
        <v>105</v>
      </c>
      <c r="AI24" s="183">
        <v>4137</v>
      </c>
      <c r="AJ24" s="307"/>
    </row>
    <row r="25" spans="1:36">
      <c r="A25" s="309" t="s">
        <v>142</v>
      </c>
      <c r="B25" s="183">
        <v>1678</v>
      </c>
      <c r="C25" s="183">
        <v>1678</v>
      </c>
      <c r="D25" s="183">
        <v>1678</v>
      </c>
      <c r="E25" s="183">
        <v>1678</v>
      </c>
      <c r="F25" s="183">
        <v>1678</v>
      </c>
      <c r="G25" s="183">
        <v>1678</v>
      </c>
      <c r="H25" s="183">
        <v>1678</v>
      </c>
      <c r="I25" s="183">
        <v>1698</v>
      </c>
      <c r="J25" s="183">
        <v>1698</v>
      </c>
      <c r="K25" s="183">
        <v>1698</v>
      </c>
      <c r="L25" s="183">
        <v>1698</v>
      </c>
      <c r="M25" s="183">
        <v>1698</v>
      </c>
      <c r="N25" s="183">
        <v>1698</v>
      </c>
      <c r="O25" s="183">
        <v>1698</v>
      </c>
      <c r="P25" s="183">
        <v>1718</v>
      </c>
      <c r="Q25" s="183">
        <v>1718</v>
      </c>
      <c r="R25" s="388">
        <v>1718</v>
      </c>
      <c r="S25" s="183">
        <v>1718</v>
      </c>
      <c r="T25" s="388">
        <v>1718</v>
      </c>
      <c r="U25" s="388">
        <v>1718</v>
      </c>
      <c r="V25" s="388">
        <v>1718</v>
      </c>
      <c r="W25" s="183">
        <v>1738</v>
      </c>
      <c r="X25" s="388">
        <v>1738</v>
      </c>
      <c r="Y25" s="388">
        <v>1738</v>
      </c>
      <c r="Z25" s="388">
        <v>1738</v>
      </c>
      <c r="AA25" s="388">
        <v>1738</v>
      </c>
      <c r="AB25" s="183">
        <v>1738</v>
      </c>
      <c r="AC25" s="183">
        <v>1738</v>
      </c>
      <c r="AD25" s="183">
        <v>1760</v>
      </c>
      <c r="AE25" s="183">
        <v>1760</v>
      </c>
      <c r="AF25" s="183">
        <v>1760</v>
      </c>
      <c r="AG25" s="208">
        <v>82</v>
      </c>
      <c r="AH25" s="323">
        <f t="shared" si="0"/>
        <v>82</v>
      </c>
      <c r="AI25" s="183">
        <v>1658</v>
      </c>
      <c r="AJ25" s="307"/>
    </row>
    <row r="26" spans="1:36">
      <c r="A26" s="309" t="s">
        <v>145</v>
      </c>
      <c r="B26" s="183">
        <v>475</v>
      </c>
      <c r="C26" s="183">
        <v>475</v>
      </c>
      <c r="D26" s="183">
        <v>475</v>
      </c>
      <c r="E26" s="183">
        <v>475</v>
      </c>
      <c r="F26" s="183">
        <v>475</v>
      </c>
      <c r="G26" s="183">
        <v>475</v>
      </c>
      <c r="H26" s="183">
        <v>475</v>
      </c>
      <c r="I26" s="183">
        <v>490</v>
      </c>
      <c r="J26" s="183">
        <v>490</v>
      </c>
      <c r="K26" s="183">
        <v>490</v>
      </c>
      <c r="L26" s="183">
        <v>490</v>
      </c>
      <c r="M26" s="183">
        <v>490</v>
      </c>
      <c r="N26" s="183">
        <v>490</v>
      </c>
      <c r="O26" s="183">
        <v>490</v>
      </c>
      <c r="P26" s="183">
        <v>505</v>
      </c>
      <c r="Q26" s="183">
        <v>505</v>
      </c>
      <c r="R26" s="388">
        <v>505</v>
      </c>
      <c r="S26" s="183">
        <v>505</v>
      </c>
      <c r="T26" s="388">
        <v>505</v>
      </c>
      <c r="U26" s="388">
        <v>505</v>
      </c>
      <c r="V26" s="388">
        <v>505</v>
      </c>
      <c r="W26" s="183">
        <v>520</v>
      </c>
      <c r="X26" s="388">
        <v>520</v>
      </c>
      <c r="Y26" s="388">
        <v>520</v>
      </c>
      <c r="Z26" s="388">
        <v>520</v>
      </c>
      <c r="AA26" s="388">
        <v>520</v>
      </c>
      <c r="AB26" s="183">
        <v>520</v>
      </c>
      <c r="AC26" s="183">
        <v>520</v>
      </c>
      <c r="AD26" s="183">
        <v>537</v>
      </c>
      <c r="AE26" s="183">
        <v>537</v>
      </c>
      <c r="AF26" s="183">
        <v>537</v>
      </c>
      <c r="AG26" s="208">
        <v>62</v>
      </c>
      <c r="AH26" s="323">
        <f t="shared" si="0"/>
        <v>62</v>
      </c>
      <c r="AI26" s="183">
        <v>459</v>
      </c>
      <c r="AJ26" s="307"/>
    </row>
    <row r="27" spans="1:36">
      <c r="A27" s="309" t="s">
        <v>148</v>
      </c>
      <c r="B27" s="183">
        <v>5408</v>
      </c>
      <c r="C27" s="183">
        <v>5408</v>
      </c>
      <c r="D27" s="183">
        <v>5408</v>
      </c>
      <c r="E27" s="183">
        <v>5408</v>
      </c>
      <c r="F27" s="183">
        <v>5408</v>
      </c>
      <c r="G27" s="183">
        <v>5408</v>
      </c>
      <c r="H27" s="183">
        <v>5408</v>
      </c>
      <c r="I27" s="183">
        <v>5496</v>
      </c>
      <c r="J27" s="183">
        <v>5496</v>
      </c>
      <c r="K27" s="183">
        <v>5496</v>
      </c>
      <c r="L27" s="183">
        <v>5496</v>
      </c>
      <c r="M27" s="183">
        <v>5496</v>
      </c>
      <c r="N27" s="183">
        <v>5496</v>
      </c>
      <c r="O27" s="183">
        <v>5496</v>
      </c>
      <c r="P27" s="183">
        <v>5553</v>
      </c>
      <c r="Q27" s="183">
        <v>5553</v>
      </c>
      <c r="R27" s="388">
        <v>5553</v>
      </c>
      <c r="S27" s="183">
        <v>5553</v>
      </c>
      <c r="T27" s="388">
        <v>5553</v>
      </c>
      <c r="U27" s="388">
        <v>5553</v>
      </c>
      <c r="V27" s="388">
        <v>5553</v>
      </c>
      <c r="W27" s="183">
        <v>5606</v>
      </c>
      <c r="X27" s="388">
        <v>5606</v>
      </c>
      <c r="Y27" s="388">
        <v>5606</v>
      </c>
      <c r="Z27" s="388">
        <v>5606</v>
      </c>
      <c r="AA27" s="388">
        <v>5606</v>
      </c>
      <c r="AB27" s="183">
        <v>5606</v>
      </c>
      <c r="AC27" s="183">
        <v>5606</v>
      </c>
      <c r="AD27" s="183">
        <v>5663</v>
      </c>
      <c r="AE27" s="183">
        <v>5663</v>
      </c>
      <c r="AF27" s="183">
        <v>5663</v>
      </c>
      <c r="AG27" s="208">
        <v>255</v>
      </c>
      <c r="AH27" s="323">
        <f t="shared" si="0"/>
        <v>255</v>
      </c>
      <c r="AI27" s="183">
        <v>5286</v>
      </c>
      <c r="AJ27" s="307"/>
    </row>
    <row r="28" spans="1:36">
      <c r="A28" s="309" t="s">
        <v>151</v>
      </c>
      <c r="B28" s="183">
        <v>992</v>
      </c>
      <c r="C28" s="183">
        <v>992</v>
      </c>
      <c r="D28" s="183">
        <v>992</v>
      </c>
      <c r="E28" s="183">
        <v>992</v>
      </c>
      <c r="F28" s="183">
        <v>992</v>
      </c>
      <c r="G28" s="183">
        <v>992</v>
      </c>
      <c r="H28" s="183">
        <v>992</v>
      </c>
      <c r="I28" s="183">
        <v>1005</v>
      </c>
      <c r="J28" s="183">
        <v>1005</v>
      </c>
      <c r="K28" s="183">
        <v>1005</v>
      </c>
      <c r="L28" s="183">
        <v>1005</v>
      </c>
      <c r="M28" s="183">
        <v>1005</v>
      </c>
      <c r="N28" s="183">
        <v>1005</v>
      </c>
      <c r="O28" s="183">
        <v>1005</v>
      </c>
      <c r="P28" s="183">
        <v>1077</v>
      </c>
      <c r="Q28" s="183">
        <v>1077</v>
      </c>
      <c r="R28" s="388">
        <v>1077</v>
      </c>
      <c r="S28" s="183">
        <v>1077</v>
      </c>
      <c r="T28" s="388">
        <v>1077</v>
      </c>
      <c r="U28" s="388">
        <v>1077</v>
      </c>
      <c r="V28" s="388">
        <v>1077</v>
      </c>
      <c r="W28" s="183">
        <v>1028</v>
      </c>
      <c r="X28" s="388">
        <v>1028</v>
      </c>
      <c r="Y28" s="388">
        <v>1028</v>
      </c>
      <c r="Z28" s="388">
        <v>1028</v>
      </c>
      <c r="AA28" s="388">
        <v>1028</v>
      </c>
      <c r="AB28" s="183">
        <v>1028</v>
      </c>
      <c r="AC28" s="183">
        <v>1028</v>
      </c>
      <c r="AD28" s="183">
        <v>1039</v>
      </c>
      <c r="AE28" s="183">
        <v>1039</v>
      </c>
      <c r="AF28" s="183">
        <v>1039</v>
      </c>
      <c r="AG28" s="208">
        <v>47</v>
      </c>
      <c r="AH28" s="323">
        <f t="shared" si="0"/>
        <v>47</v>
      </c>
      <c r="AI28" s="183">
        <v>979</v>
      </c>
      <c r="AJ28" s="307"/>
    </row>
    <row r="29" spans="1:36">
      <c r="A29" s="309" t="s">
        <v>154</v>
      </c>
      <c r="B29" s="183">
        <v>461</v>
      </c>
      <c r="C29" s="183">
        <v>461</v>
      </c>
      <c r="D29" s="183">
        <v>461</v>
      </c>
      <c r="E29" s="183">
        <v>461</v>
      </c>
      <c r="F29" s="183">
        <v>461</v>
      </c>
      <c r="G29" s="183">
        <v>461</v>
      </c>
      <c r="H29" s="183">
        <v>461</v>
      </c>
      <c r="I29" s="183">
        <v>467</v>
      </c>
      <c r="J29" s="183">
        <v>467</v>
      </c>
      <c r="K29" s="183">
        <v>467</v>
      </c>
      <c r="L29" s="183">
        <v>467</v>
      </c>
      <c r="M29" s="183">
        <v>467</v>
      </c>
      <c r="N29" s="183">
        <v>467</v>
      </c>
      <c r="O29" s="183">
        <v>467</v>
      </c>
      <c r="P29" s="183">
        <v>473</v>
      </c>
      <c r="Q29" s="183">
        <v>473</v>
      </c>
      <c r="R29" s="388">
        <v>473</v>
      </c>
      <c r="S29" s="183">
        <v>473</v>
      </c>
      <c r="T29" s="388">
        <v>473</v>
      </c>
      <c r="U29" s="388">
        <v>473</v>
      </c>
      <c r="V29" s="388">
        <v>473</v>
      </c>
      <c r="W29" s="183">
        <v>480</v>
      </c>
      <c r="X29" s="388">
        <v>480</v>
      </c>
      <c r="Y29" s="388">
        <v>480</v>
      </c>
      <c r="Z29" s="388">
        <v>480</v>
      </c>
      <c r="AA29" s="388">
        <v>480</v>
      </c>
      <c r="AB29" s="183">
        <v>480</v>
      </c>
      <c r="AC29" s="183">
        <v>480</v>
      </c>
      <c r="AD29" s="183">
        <v>486</v>
      </c>
      <c r="AE29" s="183">
        <v>486</v>
      </c>
      <c r="AF29" s="183">
        <v>486</v>
      </c>
      <c r="AG29" s="208">
        <v>25</v>
      </c>
      <c r="AH29" s="323">
        <f t="shared" si="0"/>
        <v>25</v>
      </c>
      <c r="AI29" s="183">
        <v>455</v>
      </c>
      <c r="AJ29" s="307"/>
    </row>
    <row r="30" spans="1:36">
      <c r="A30" s="303"/>
      <c r="B30" s="162"/>
      <c r="C30" s="162"/>
      <c r="D30" s="162"/>
      <c r="E30" s="162"/>
      <c r="F30" s="162"/>
      <c r="G30" s="162"/>
      <c r="H30" s="162"/>
      <c r="I30" s="162"/>
      <c r="J30" s="162"/>
      <c r="K30" s="162"/>
      <c r="L30" s="162"/>
      <c r="M30" s="162"/>
      <c r="N30" s="162"/>
      <c r="O30" s="162"/>
      <c r="P30" s="162"/>
      <c r="Q30" s="162"/>
      <c r="R30" s="385"/>
      <c r="S30" s="162"/>
      <c r="T30" s="385"/>
      <c r="U30" s="385"/>
      <c r="V30" s="385"/>
      <c r="W30" s="162"/>
      <c r="X30" s="385"/>
      <c r="Y30" s="385"/>
      <c r="Z30" s="385"/>
      <c r="AA30" s="385"/>
      <c r="AB30" s="162"/>
      <c r="AC30" s="162"/>
      <c r="AD30" s="162"/>
      <c r="AE30" s="162"/>
      <c r="AF30" s="162"/>
      <c r="AG30" s="304"/>
      <c r="AH30" s="304"/>
      <c r="AI30" s="162"/>
      <c r="AJ30" s="307"/>
    </row>
    <row r="31" spans="1:36">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386" t="s">
        <v>157</v>
      </c>
      <c r="S31" s="181" t="s">
        <v>157</v>
      </c>
      <c r="T31" s="386" t="s">
        <v>157</v>
      </c>
      <c r="U31" s="386" t="s">
        <v>157</v>
      </c>
      <c r="V31" s="386" t="s">
        <v>157</v>
      </c>
      <c r="W31" s="181" t="s">
        <v>157</v>
      </c>
      <c r="X31" s="386" t="s">
        <v>157</v>
      </c>
      <c r="Y31" s="386" t="s">
        <v>157</v>
      </c>
      <c r="Z31" s="386" t="s">
        <v>157</v>
      </c>
      <c r="AA31" s="386" t="s">
        <v>157</v>
      </c>
      <c r="AB31" s="181" t="s">
        <v>157</v>
      </c>
      <c r="AC31" s="181" t="s">
        <v>157</v>
      </c>
      <c r="AD31" s="181" t="s">
        <v>157</v>
      </c>
      <c r="AE31" s="181" t="s">
        <v>157</v>
      </c>
      <c r="AF31" s="181" t="s">
        <v>157</v>
      </c>
      <c r="AG31" s="296"/>
      <c r="AH31" s="296"/>
      <c r="AI31" s="181" t="s">
        <v>157</v>
      </c>
      <c r="AJ31" s="307"/>
    </row>
    <row r="32" spans="1:36" ht="25.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392" t="s">
        <v>78</v>
      </c>
      <c r="S32" s="190" t="s">
        <v>78</v>
      </c>
      <c r="T32" s="392" t="s">
        <v>78</v>
      </c>
      <c r="U32" s="392" t="s">
        <v>78</v>
      </c>
      <c r="V32" s="392" t="s">
        <v>78</v>
      </c>
      <c r="W32" s="190" t="s">
        <v>78</v>
      </c>
      <c r="X32" s="392" t="s">
        <v>78</v>
      </c>
      <c r="Y32" s="392" t="s">
        <v>78</v>
      </c>
      <c r="Z32" s="392" t="s">
        <v>78</v>
      </c>
      <c r="AA32" s="392" t="s">
        <v>78</v>
      </c>
      <c r="AB32" s="190" t="s">
        <v>78</v>
      </c>
      <c r="AC32" s="190" t="s">
        <v>78</v>
      </c>
      <c r="AD32" s="190" t="s">
        <v>78</v>
      </c>
      <c r="AE32" s="190" t="s">
        <v>78</v>
      </c>
      <c r="AF32" s="190" t="s">
        <v>78</v>
      </c>
      <c r="AG32" s="209"/>
      <c r="AH32" s="209"/>
      <c r="AI32" s="190" t="s">
        <v>78</v>
      </c>
      <c r="AJ32" s="307"/>
    </row>
    <row r="33" spans="1:36" ht="25.5">
      <c r="A33" s="282" t="s">
        <v>80</v>
      </c>
      <c r="B33" s="187" t="s">
        <v>1539</v>
      </c>
      <c r="C33" s="187" t="s">
        <v>1537</v>
      </c>
      <c r="D33" s="187" t="s">
        <v>1537</v>
      </c>
      <c r="E33" s="187" t="s">
        <v>1537</v>
      </c>
      <c r="F33" s="187" t="s">
        <v>1540</v>
      </c>
      <c r="G33" s="187" t="s">
        <v>1536</v>
      </c>
      <c r="H33" s="187" t="s">
        <v>1536</v>
      </c>
      <c r="I33" s="187" t="s">
        <v>1536</v>
      </c>
      <c r="J33" s="187" t="s">
        <v>1535</v>
      </c>
      <c r="K33" s="187" t="s">
        <v>1535</v>
      </c>
      <c r="L33" s="187" t="s">
        <v>1534</v>
      </c>
      <c r="M33" s="187" t="s">
        <v>1533</v>
      </c>
      <c r="N33" s="187" t="s">
        <v>1541</v>
      </c>
      <c r="O33" s="187" t="s">
        <v>1532</v>
      </c>
      <c r="P33" s="187" t="s">
        <v>1533</v>
      </c>
      <c r="Q33" s="187" t="s">
        <v>1533</v>
      </c>
      <c r="R33" s="393" t="s">
        <v>1534</v>
      </c>
      <c r="S33" s="187" t="s">
        <v>1541</v>
      </c>
      <c r="T33" s="393" t="s">
        <v>1532</v>
      </c>
      <c r="U33" s="393" t="s">
        <v>1530</v>
      </c>
      <c r="V33" s="393" t="s">
        <v>1526</v>
      </c>
      <c r="W33" s="187" t="s">
        <v>1525</v>
      </c>
      <c r="X33" s="393" t="s">
        <v>1525</v>
      </c>
      <c r="Y33" s="393" t="s">
        <v>1527</v>
      </c>
      <c r="Z33" s="393" t="s">
        <v>1527</v>
      </c>
      <c r="AA33" s="393" t="s">
        <v>1525</v>
      </c>
      <c r="AB33" s="187" t="s">
        <v>1542</v>
      </c>
      <c r="AC33" s="187" t="s">
        <v>1519</v>
      </c>
      <c r="AD33" s="187" t="s">
        <v>1519</v>
      </c>
      <c r="AE33" s="187" t="s">
        <v>1520</v>
      </c>
      <c r="AF33" s="187" t="s">
        <v>1519</v>
      </c>
      <c r="AG33" s="209"/>
      <c r="AH33" s="209"/>
      <c r="AI33" s="187" t="s">
        <v>1537</v>
      </c>
      <c r="AJ33" s="307"/>
    </row>
    <row r="34" spans="1:36" ht="15.75" thickBot="1">
      <c r="A34" s="310" t="s">
        <v>81</v>
      </c>
      <c r="B34" s="187" t="s">
        <v>1523</v>
      </c>
      <c r="C34" s="187" t="s">
        <v>1523</v>
      </c>
      <c r="D34" s="187" t="s">
        <v>1523</v>
      </c>
      <c r="E34" s="187" t="s">
        <v>1543</v>
      </c>
      <c r="F34" s="187" t="s">
        <v>1543</v>
      </c>
      <c r="G34" s="187" t="s">
        <v>1543</v>
      </c>
      <c r="H34" s="187" t="s">
        <v>1543</v>
      </c>
      <c r="I34" s="187" t="s">
        <v>1543</v>
      </c>
      <c r="J34" s="187" t="s">
        <v>1544</v>
      </c>
      <c r="K34" s="187" t="s">
        <v>1544</v>
      </c>
      <c r="L34" s="187" t="s">
        <v>1544</v>
      </c>
      <c r="M34" s="187" t="s">
        <v>1544</v>
      </c>
      <c r="N34" s="187" t="s">
        <v>1544</v>
      </c>
      <c r="O34" s="187" t="s">
        <v>1544</v>
      </c>
      <c r="P34" s="187" t="s">
        <v>1544</v>
      </c>
      <c r="Q34" s="187" t="s">
        <v>1544</v>
      </c>
      <c r="R34" s="393" t="s">
        <v>1544</v>
      </c>
      <c r="S34" s="187" t="s">
        <v>1544</v>
      </c>
      <c r="T34" s="393" t="s">
        <v>1544</v>
      </c>
      <c r="U34" s="393" t="s">
        <v>1544</v>
      </c>
      <c r="V34" s="393" t="s">
        <v>1544</v>
      </c>
      <c r="W34" s="187" t="s">
        <v>1544</v>
      </c>
      <c r="X34" s="393" t="s">
        <v>1544</v>
      </c>
      <c r="Y34" s="393" t="s">
        <v>1544</v>
      </c>
      <c r="Z34" s="393" t="s">
        <v>1544</v>
      </c>
      <c r="AA34" s="393" t="s">
        <v>1544</v>
      </c>
      <c r="AB34" s="187" t="s">
        <v>1545</v>
      </c>
      <c r="AC34" s="187" t="s">
        <v>1545</v>
      </c>
      <c r="AD34" s="187" t="s">
        <v>1545</v>
      </c>
      <c r="AE34" s="187" t="s">
        <v>1545</v>
      </c>
      <c r="AF34" s="187" t="s">
        <v>1545</v>
      </c>
      <c r="AG34" s="209"/>
      <c r="AH34" s="209"/>
      <c r="AI34" s="187" t="s">
        <v>1523</v>
      </c>
      <c r="AJ34" s="307"/>
    </row>
    <row r="35" spans="1:36">
      <c r="AG35" s="211"/>
      <c r="AH35" s="211"/>
    </row>
    <row r="36" spans="1:36">
      <c r="AG36" s="211"/>
      <c r="AH36" s="211"/>
    </row>
  </sheetData>
  <mergeCells count="1">
    <mergeCell ref="A1:AI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A9CC-5C7E-44F8-9604-6647DE52E4AD}">
  <dimension ref="A1:AM36"/>
  <sheetViews>
    <sheetView topLeftCell="P1" workbookViewId="0">
      <selection activeCell="AF23" sqref="AF23"/>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1" width="12.85546875" style="144" customWidth="1"/>
    <col min="32" max="33" width="9.140625" style="144"/>
    <col min="34" max="34" width="12.85546875" style="144" customWidth="1"/>
    <col min="35" max="35" width="11" style="144" customWidth="1"/>
    <col min="36" max="36" width="11.42578125" style="144" customWidth="1"/>
    <col min="37" max="16384" width="9.140625" style="144"/>
  </cols>
  <sheetData>
    <row r="1" spans="1:39"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9" ht="15.75">
      <c r="A2" s="280"/>
      <c r="B2" s="281">
        <v>44866</v>
      </c>
      <c r="C2" s="281">
        <v>44867</v>
      </c>
      <c r="D2" s="281">
        <v>44868</v>
      </c>
      <c r="E2" s="281">
        <v>44869</v>
      </c>
      <c r="F2" s="281">
        <v>44870</v>
      </c>
      <c r="G2" s="281">
        <v>44871</v>
      </c>
      <c r="H2" s="281">
        <v>44872</v>
      </c>
      <c r="I2" s="281">
        <v>44873</v>
      </c>
      <c r="J2" s="281">
        <v>44874</v>
      </c>
      <c r="K2" s="281">
        <v>44875</v>
      </c>
      <c r="L2" s="281">
        <v>44876</v>
      </c>
      <c r="M2" s="281">
        <v>44877</v>
      </c>
      <c r="N2" s="281">
        <v>44878</v>
      </c>
      <c r="O2" s="281">
        <v>44879</v>
      </c>
      <c r="P2" s="281">
        <v>44880</v>
      </c>
      <c r="Q2" s="281">
        <v>44881</v>
      </c>
      <c r="R2" s="281">
        <v>44882</v>
      </c>
      <c r="S2" s="281">
        <v>44883</v>
      </c>
      <c r="T2" s="281">
        <v>44884</v>
      </c>
      <c r="U2" s="281">
        <v>44885</v>
      </c>
      <c r="V2" s="281">
        <v>44886</v>
      </c>
      <c r="W2" s="281">
        <v>44887</v>
      </c>
      <c r="X2" s="281">
        <v>44888</v>
      </c>
      <c r="Y2" s="281">
        <v>44889</v>
      </c>
      <c r="Z2" s="281">
        <v>44890</v>
      </c>
      <c r="AA2" s="281">
        <v>44891</v>
      </c>
      <c r="AB2" s="281">
        <v>44892</v>
      </c>
      <c r="AC2" s="281">
        <v>44893</v>
      </c>
      <c r="AD2" s="281">
        <v>44894</v>
      </c>
      <c r="AE2" s="281">
        <v>44895</v>
      </c>
      <c r="AF2" s="281"/>
      <c r="AG2" s="281"/>
      <c r="AH2" s="281">
        <v>44865</v>
      </c>
    </row>
    <row r="3" spans="1:39"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71"/>
      <c r="AG3" s="317"/>
      <c r="AH3" s="283" t="s">
        <v>52</v>
      </c>
    </row>
    <row r="4" spans="1:39" ht="20.100000000000001" customHeight="1">
      <c r="A4" s="285" t="s">
        <v>54</v>
      </c>
      <c r="B4" s="383">
        <v>265677</v>
      </c>
      <c r="C4" s="212">
        <v>265897</v>
      </c>
      <c r="D4" s="383">
        <v>266117</v>
      </c>
      <c r="E4" s="383">
        <v>266342</v>
      </c>
      <c r="F4" s="383">
        <v>266550</v>
      </c>
      <c r="G4" s="383">
        <v>266767</v>
      </c>
      <c r="H4" s="383">
        <v>266991</v>
      </c>
      <c r="I4" s="383">
        <v>267213</v>
      </c>
      <c r="J4" s="383">
        <v>267438</v>
      </c>
      <c r="K4" s="383">
        <v>267661</v>
      </c>
      <c r="L4" s="383">
        <v>267885</v>
      </c>
      <c r="M4" s="383">
        <v>268093</v>
      </c>
      <c r="N4" s="383">
        <v>268312</v>
      </c>
      <c r="O4" s="383">
        <v>268535</v>
      </c>
      <c r="P4" s="383">
        <v>268755</v>
      </c>
      <c r="Q4" s="383">
        <v>268978</v>
      </c>
      <c r="R4" s="383">
        <v>269199</v>
      </c>
      <c r="S4" s="383">
        <v>269416</v>
      </c>
      <c r="T4" s="383">
        <v>269626</v>
      </c>
      <c r="U4" s="383">
        <v>269838</v>
      </c>
      <c r="V4" s="383">
        <v>270055</v>
      </c>
      <c r="W4" s="383">
        <v>270273</v>
      </c>
      <c r="X4" s="383">
        <v>270488</v>
      </c>
      <c r="Y4" s="383">
        <v>270705</v>
      </c>
      <c r="Z4" s="383">
        <v>270918</v>
      </c>
      <c r="AA4" s="383">
        <v>271124</v>
      </c>
      <c r="AB4" s="383">
        <v>271329</v>
      </c>
      <c r="AC4" s="383">
        <v>271547</v>
      </c>
      <c r="AD4" s="383">
        <v>271764</v>
      </c>
      <c r="AE4" s="383">
        <v>271979</v>
      </c>
      <c r="AF4" s="287"/>
      <c r="AG4" s="287"/>
      <c r="AH4" s="212">
        <v>265455</v>
      </c>
      <c r="AI4" s="318"/>
      <c r="AJ4" s="318"/>
      <c r="AM4" s="288"/>
    </row>
    <row r="5" spans="1:39" ht="20.100000000000001" customHeight="1">
      <c r="A5" s="285" t="s">
        <v>55</v>
      </c>
      <c r="B5" s="383">
        <v>7148608</v>
      </c>
      <c r="C5" s="212">
        <v>7156124</v>
      </c>
      <c r="D5" s="383">
        <v>7163880</v>
      </c>
      <c r="E5" s="383">
        <v>7171543</v>
      </c>
      <c r="F5" s="383">
        <v>7178506</v>
      </c>
      <c r="G5" s="383">
        <v>7185996</v>
      </c>
      <c r="H5" s="383">
        <v>7193472</v>
      </c>
      <c r="I5" s="383">
        <v>7200826</v>
      </c>
      <c r="J5" s="383">
        <v>7208443</v>
      </c>
      <c r="K5" s="383">
        <v>7215846</v>
      </c>
      <c r="L5" s="383">
        <v>7223370</v>
      </c>
      <c r="M5" s="383">
        <v>7230285</v>
      </c>
      <c r="N5" s="383">
        <v>7237575</v>
      </c>
      <c r="O5" s="383">
        <v>7245059</v>
      </c>
      <c r="P5" s="383">
        <v>7252500</v>
      </c>
      <c r="Q5" s="383">
        <v>7259855</v>
      </c>
      <c r="R5" s="383">
        <v>7267582</v>
      </c>
      <c r="S5" s="383">
        <v>7275527</v>
      </c>
      <c r="T5" s="383">
        <v>7283296</v>
      </c>
      <c r="U5" s="383">
        <v>7290898</v>
      </c>
      <c r="V5" s="383">
        <v>7298453</v>
      </c>
      <c r="W5" s="383">
        <v>7305960</v>
      </c>
      <c r="X5" s="383">
        <v>7313342</v>
      </c>
      <c r="Y5" s="383">
        <v>7320555</v>
      </c>
      <c r="Z5" s="383">
        <v>7327993</v>
      </c>
      <c r="AA5" s="383">
        <v>7335337</v>
      </c>
      <c r="AB5" s="383">
        <v>7342610</v>
      </c>
      <c r="AC5" s="383">
        <v>7350191</v>
      </c>
      <c r="AD5" s="383">
        <v>7357633</v>
      </c>
      <c r="AE5" s="383">
        <v>7365116</v>
      </c>
      <c r="AF5" s="287"/>
      <c r="AG5" s="287"/>
      <c r="AH5" s="212">
        <v>7141082</v>
      </c>
      <c r="AI5" s="318"/>
      <c r="AJ5" s="318"/>
      <c r="AM5" s="288"/>
    </row>
    <row r="6" spans="1:39" ht="20.100000000000001" customHeight="1">
      <c r="A6" s="285" t="s">
        <v>56</v>
      </c>
      <c r="B6" s="383">
        <v>3441873</v>
      </c>
      <c r="C6" s="212">
        <v>3445385</v>
      </c>
      <c r="D6" s="383">
        <v>3448905</v>
      </c>
      <c r="E6" s="383">
        <v>3452353</v>
      </c>
      <c r="F6" s="383">
        <v>3455535</v>
      </c>
      <c r="G6" s="383">
        <v>3458822</v>
      </c>
      <c r="H6" s="383">
        <v>3462351</v>
      </c>
      <c r="I6" s="383">
        <v>3465789</v>
      </c>
      <c r="J6" s="383">
        <v>3469263</v>
      </c>
      <c r="K6" s="383">
        <v>3472657</v>
      </c>
      <c r="L6" s="383">
        <v>3475919</v>
      </c>
      <c r="M6" s="383">
        <v>3478961</v>
      </c>
      <c r="N6" s="383">
        <v>3482048</v>
      </c>
      <c r="O6" s="383">
        <v>3485459</v>
      </c>
      <c r="P6" s="383">
        <v>3488844</v>
      </c>
      <c r="Q6" s="383">
        <v>3492263</v>
      </c>
      <c r="R6" s="383">
        <v>3495627</v>
      </c>
      <c r="S6" s="383">
        <v>3498782</v>
      </c>
      <c r="T6" s="383">
        <v>3501719</v>
      </c>
      <c r="U6" s="383">
        <v>3504730</v>
      </c>
      <c r="V6" s="383">
        <v>3507866</v>
      </c>
      <c r="W6" s="383">
        <v>3511134</v>
      </c>
      <c r="X6" s="383">
        <v>3514420</v>
      </c>
      <c r="Y6" s="383">
        <v>3517714</v>
      </c>
      <c r="Z6" s="383">
        <v>3520832</v>
      </c>
      <c r="AA6" s="383">
        <v>3523831</v>
      </c>
      <c r="AB6" s="383">
        <v>3526859</v>
      </c>
      <c r="AC6" s="383">
        <v>3530151</v>
      </c>
      <c r="AD6" s="383">
        <v>3533489</v>
      </c>
      <c r="AE6" s="383">
        <v>3536802</v>
      </c>
      <c r="AF6" s="287"/>
      <c r="AG6" s="287"/>
      <c r="AH6" s="212">
        <v>3438313</v>
      </c>
      <c r="AI6" s="318"/>
      <c r="AJ6" s="318"/>
      <c r="AM6" s="288"/>
    </row>
    <row r="7" spans="1:39" ht="20.100000000000001" customHeight="1">
      <c r="A7" s="285" t="s">
        <v>57</v>
      </c>
      <c r="B7" s="383">
        <v>8446393</v>
      </c>
      <c r="C7" s="212">
        <v>8453412</v>
      </c>
      <c r="D7" s="383">
        <v>8460597</v>
      </c>
      <c r="E7" s="383">
        <v>8467168</v>
      </c>
      <c r="F7" s="383">
        <v>8472751</v>
      </c>
      <c r="G7" s="383">
        <v>8472827</v>
      </c>
      <c r="H7" s="383">
        <v>8472901</v>
      </c>
      <c r="I7" s="383">
        <v>8472973</v>
      </c>
      <c r="J7" s="383">
        <v>8473049</v>
      </c>
      <c r="K7" s="383">
        <v>8473122</v>
      </c>
      <c r="L7" s="383">
        <v>8473196</v>
      </c>
      <c r="M7" s="383">
        <v>8474119</v>
      </c>
      <c r="N7" s="383">
        <v>8480768</v>
      </c>
      <c r="O7" s="383">
        <v>8487557</v>
      </c>
      <c r="P7" s="383">
        <v>8494282</v>
      </c>
      <c r="Q7" s="383">
        <v>8500792</v>
      </c>
      <c r="R7" s="383">
        <v>8507212</v>
      </c>
      <c r="S7" s="383">
        <v>8513650</v>
      </c>
      <c r="T7" s="383">
        <v>8520870</v>
      </c>
      <c r="U7" s="383">
        <v>8532787</v>
      </c>
      <c r="V7" s="383">
        <v>8544622</v>
      </c>
      <c r="W7" s="383">
        <v>8556274</v>
      </c>
      <c r="X7" s="383">
        <v>8567796</v>
      </c>
      <c r="Y7" s="383">
        <v>8578018</v>
      </c>
      <c r="Z7" s="383">
        <v>8588962</v>
      </c>
      <c r="AA7" s="383">
        <v>8599151</v>
      </c>
      <c r="AB7" s="383">
        <v>8605808</v>
      </c>
      <c r="AC7" s="383">
        <v>8612370</v>
      </c>
      <c r="AD7" s="383">
        <v>8618638</v>
      </c>
      <c r="AE7" s="383">
        <v>8625248</v>
      </c>
      <c r="AF7" s="287"/>
      <c r="AG7" s="287"/>
      <c r="AH7" s="212">
        <v>8439477</v>
      </c>
      <c r="AI7" s="318"/>
      <c r="AJ7" s="318"/>
      <c r="AM7" s="288"/>
    </row>
    <row r="8" spans="1:39" ht="20.100000000000001" customHeight="1">
      <c r="A8" s="285" t="s">
        <v>58</v>
      </c>
      <c r="B8" s="383">
        <v>2702993</v>
      </c>
      <c r="C8" s="212">
        <v>2705191</v>
      </c>
      <c r="D8" s="383">
        <v>2707465</v>
      </c>
      <c r="E8" s="383">
        <v>2709537</v>
      </c>
      <c r="F8" s="383">
        <v>2711911</v>
      </c>
      <c r="G8" s="383">
        <v>2716171</v>
      </c>
      <c r="H8" s="383">
        <v>2720979</v>
      </c>
      <c r="I8" s="383">
        <v>2725526</v>
      </c>
      <c r="J8" s="383">
        <v>2729750</v>
      </c>
      <c r="K8" s="383">
        <v>2733917</v>
      </c>
      <c r="L8" s="383">
        <v>2738126</v>
      </c>
      <c r="M8" s="383">
        <v>2741928</v>
      </c>
      <c r="N8" s="383">
        <v>2743957</v>
      </c>
      <c r="O8" s="383">
        <v>2746001</v>
      </c>
      <c r="P8" s="383">
        <v>2748074</v>
      </c>
      <c r="Q8" s="383">
        <v>2750057</v>
      </c>
      <c r="R8" s="383">
        <v>2752042</v>
      </c>
      <c r="S8" s="383">
        <v>2754019</v>
      </c>
      <c r="T8" s="383">
        <v>2755716</v>
      </c>
      <c r="U8" s="383">
        <v>2755716</v>
      </c>
      <c r="V8" s="383">
        <v>2755716</v>
      </c>
      <c r="W8" s="383">
        <v>2755716</v>
      </c>
      <c r="X8" s="383">
        <v>2755716</v>
      </c>
      <c r="Y8" s="383">
        <v>2756006</v>
      </c>
      <c r="Z8" s="383">
        <v>2756006</v>
      </c>
      <c r="AA8" s="383">
        <v>2756290</v>
      </c>
      <c r="AB8" s="383">
        <v>2756839</v>
      </c>
      <c r="AC8" s="383">
        <v>2757874</v>
      </c>
      <c r="AD8" s="383">
        <v>2759271</v>
      </c>
      <c r="AE8" s="383">
        <v>2760298</v>
      </c>
      <c r="AF8" s="287"/>
      <c r="AG8" s="287"/>
      <c r="AH8" s="212">
        <v>2700843</v>
      </c>
      <c r="AI8" s="318"/>
      <c r="AJ8" s="318"/>
      <c r="AM8" s="288"/>
    </row>
    <row r="9" spans="1:39" ht="20.100000000000001" customHeight="1">
      <c r="A9" s="285" t="s">
        <v>59</v>
      </c>
      <c r="B9" s="384">
        <v>17381823</v>
      </c>
      <c r="C9" s="214">
        <v>17394974</v>
      </c>
      <c r="D9" s="384">
        <v>17407827</v>
      </c>
      <c r="E9" s="384">
        <v>17420415</v>
      </c>
      <c r="F9" s="384">
        <v>17432226</v>
      </c>
      <c r="G9" s="384">
        <v>17444455</v>
      </c>
      <c r="H9" s="384">
        <v>17457173</v>
      </c>
      <c r="I9" s="384">
        <v>17470089</v>
      </c>
      <c r="J9" s="384">
        <v>17482940</v>
      </c>
      <c r="K9" s="384">
        <v>17495790</v>
      </c>
      <c r="L9" s="384">
        <v>17508482</v>
      </c>
      <c r="M9" s="384">
        <v>17520560</v>
      </c>
      <c r="N9" s="384">
        <v>17533036</v>
      </c>
      <c r="O9" s="384">
        <v>17545700</v>
      </c>
      <c r="P9" s="384">
        <v>17558124</v>
      </c>
      <c r="Q9" s="384">
        <v>17570784</v>
      </c>
      <c r="R9" s="384">
        <v>17584006</v>
      </c>
      <c r="S9" s="384">
        <v>17597202</v>
      </c>
      <c r="T9" s="384">
        <v>17610137</v>
      </c>
      <c r="U9" s="384">
        <v>17623052</v>
      </c>
      <c r="V9" s="384">
        <v>17635860</v>
      </c>
      <c r="W9" s="384">
        <v>17648633</v>
      </c>
      <c r="X9" s="384">
        <v>17661327</v>
      </c>
      <c r="Y9" s="384">
        <v>17673812</v>
      </c>
      <c r="Z9" s="384">
        <v>17686216</v>
      </c>
      <c r="AA9" s="384">
        <v>17698470</v>
      </c>
      <c r="AB9" s="384">
        <v>17708592</v>
      </c>
      <c r="AC9" s="384">
        <v>17719927</v>
      </c>
      <c r="AD9" s="384">
        <v>17731860</v>
      </c>
      <c r="AE9" s="384">
        <v>17743149</v>
      </c>
      <c r="AF9" s="290"/>
      <c r="AG9" s="290"/>
      <c r="AH9" s="214">
        <v>17368408</v>
      </c>
      <c r="AI9" s="318"/>
      <c r="AJ9" s="318"/>
      <c r="AM9" s="288"/>
    </row>
    <row r="10" spans="1:39" ht="20.100000000000001" customHeight="1">
      <c r="A10" s="285" t="s">
        <v>60</v>
      </c>
      <c r="B10" s="383">
        <v>5435461</v>
      </c>
      <c r="C10" s="212">
        <v>5439778</v>
      </c>
      <c r="D10" s="383">
        <v>5443978</v>
      </c>
      <c r="E10" s="383">
        <v>5447816</v>
      </c>
      <c r="F10" s="383">
        <v>5450731</v>
      </c>
      <c r="G10" s="383">
        <v>5454145</v>
      </c>
      <c r="H10" s="383">
        <v>5458368</v>
      </c>
      <c r="I10" s="383">
        <v>5462473</v>
      </c>
      <c r="J10" s="383">
        <v>5466788</v>
      </c>
      <c r="K10" s="383">
        <v>5471003</v>
      </c>
      <c r="L10" s="383">
        <v>5474783</v>
      </c>
      <c r="M10" s="383">
        <v>5477915</v>
      </c>
      <c r="N10" s="383">
        <v>5481440</v>
      </c>
      <c r="O10" s="383">
        <v>5485709</v>
      </c>
      <c r="P10" s="383">
        <v>5489960</v>
      </c>
      <c r="Q10" s="383">
        <v>5494015</v>
      </c>
      <c r="R10" s="383">
        <v>5498120</v>
      </c>
      <c r="S10" s="383">
        <v>5501680</v>
      </c>
      <c r="T10" s="383">
        <v>5504574</v>
      </c>
      <c r="U10" s="383">
        <v>5507942</v>
      </c>
      <c r="V10" s="383">
        <v>5511704</v>
      </c>
      <c r="W10" s="383">
        <v>5515446</v>
      </c>
      <c r="X10" s="383">
        <v>5519187</v>
      </c>
      <c r="Y10" s="383">
        <v>5522940</v>
      </c>
      <c r="Z10" s="383">
        <v>5526267</v>
      </c>
      <c r="AA10" s="383">
        <v>5528949</v>
      </c>
      <c r="AB10" s="383">
        <v>5532526</v>
      </c>
      <c r="AC10" s="383">
        <v>5535984</v>
      </c>
      <c r="AD10" s="383">
        <v>5539829</v>
      </c>
      <c r="AE10" s="383">
        <v>5543592</v>
      </c>
      <c r="AF10" s="287"/>
      <c r="AG10" s="287"/>
      <c r="AH10" s="212">
        <v>5431311</v>
      </c>
      <c r="AI10" s="318"/>
      <c r="AJ10" s="318"/>
      <c r="AM10" s="288"/>
    </row>
    <row r="11" spans="1:39" ht="22.5" customHeight="1">
      <c r="A11" s="285" t="s">
        <v>61</v>
      </c>
      <c r="B11" s="383">
        <v>209134</v>
      </c>
      <c r="C11" s="212">
        <v>209314</v>
      </c>
      <c r="D11" s="383">
        <v>209494</v>
      </c>
      <c r="E11" s="383">
        <v>209683</v>
      </c>
      <c r="F11" s="383">
        <v>209846</v>
      </c>
      <c r="G11" s="383">
        <v>210024</v>
      </c>
      <c r="H11" s="383">
        <v>210202</v>
      </c>
      <c r="I11" s="383">
        <v>210378</v>
      </c>
      <c r="J11" s="383">
        <v>210560</v>
      </c>
      <c r="K11" s="383">
        <v>210733</v>
      </c>
      <c r="L11" s="383">
        <v>210917</v>
      </c>
      <c r="M11" s="383">
        <v>211084</v>
      </c>
      <c r="N11" s="383">
        <v>211264</v>
      </c>
      <c r="O11" s="383">
        <v>211443</v>
      </c>
      <c r="P11" s="383">
        <v>211616</v>
      </c>
      <c r="Q11" s="383">
        <v>211793</v>
      </c>
      <c r="R11" s="383">
        <v>211969</v>
      </c>
      <c r="S11" s="383">
        <v>212154</v>
      </c>
      <c r="T11" s="383">
        <v>212326</v>
      </c>
      <c r="U11" s="383">
        <v>212503</v>
      </c>
      <c r="V11" s="383">
        <v>212678</v>
      </c>
      <c r="W11" s="383">
        <v>212848</v>
      </c>
      <c r="X11" s="383">
        <v>213014</v>
      </c>
      <c r="Y11" s="383">
        <v>213181</v>
      </c>
      <c r="Z11" s="383">
        <v>213348</v>
      </c>
      <c r="AA11" s="383">
        <v>213511</v>
      </c>
      <c r="AB11" s="383">
        <v>213678</v>
      </c>
      <c r="AC11" s="383">
        <v>213859</v>
      </c>
      <c r="AD11" s="383">
        <v>214042</v>
      </c>
      <c r="AE11" s="383">
        <v>214222</v>
      </c>
      <c r="AF11" s="287"/>
      <c r="AG11" s="287"/>
      <c r="AH11" s="212">
        <v>208955</v>
      </c>
      <c r="AI11" s="318"/>
      <c r="AJ11" s="318"/>
      <c r="AM11" s="288"/>
    </row>
    <row r="12" spans="1:39" s="294" customFormat="1" ht="18" customHeight="1">
      <c r="A12" s="291" t="s">
        <v>62</v>
      </c>
      <c r="B12" s="385"/>
      <c r="C12" s="162"/>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293"/>
      <c r="AG12" s="293"/>
      <c r="AH12" s="162"/>
    </row>
    <row r="13" spans="1:39" ht="25.5">
      <c r="A13" s="282" t="s">
        <v>63</v>
      </c>
      <c r="B13" s="386" t="s">
        <v>106</v>
      </c>
      <c r="C13" s="181" t="s">
        <v>106</v>
      </c>
      <c r="D13" s="386" t="s">
        <v>106</v>
      </c>
      <c r="E13" s="386" t="s">
        <v>106</v>
      </c>
      <c r="F13" s="386" t="s">
        <v>106</v>
      </c>
      <c r="G13" s="386" t="s">
        <v>106</v>
      </c>
      <c r="H13" s="386" t="s">
        <v>106</v>
      </c>
      <c r="I13" s="386" t="s">
        <v>106</v>
      </c>
      <c r="J13" s="386" t="s">
        <v>106</v>
      </c>
      <c r="K13" s="386" t="s">
        <v>106</v>
      </c>
      <c r="L13" s="386" t="s">
        <v>106</v>
      </c>
      <c r="M13" s="386" t="s">
        <v>106</v>
      </c>
      <c r="N13" s="386" t="s">
        <v>106</v>
      </c>
      <c r="O13" s="386" t="s">
        <v>106</v>
      </c>
      <c r="P13" s="386" t="s">
        <v>106</v>
      </c>
      <c r="Q13" s="386" t="s">
        <v>106</v>
      </c>
      <c r="R13" s="386" t="s">
        <v>106</v>
      </c>
      <c r="S13" s="386" t="s">
        <v>106</v>
      </c>
      <c r="T13" s="386" t="s">
        <v>106</v>
      </c>
      <c r="U13" s="386" t="s">
        <v>106</v>
      </c>
      <c r="V13" s="386" t="s">
        <v>106</v>
      </c>
      <c r="W13" s="386" t="s">
        <v>106</v>
      </c>
      <c r="X13" s="386" t="s">
        <v>106</v>
      </c>
      <c r="Y13" s="386" t="s">
        <v>106</v>
      </c>
      <c r="Z13" s="386" t="s">
        <v>106</v>
      </c>
      <c r="AA13" s="386" t="s">
        <v>106</v>
      </c>
      <c r="AB13" s="386" t="s">
        <v>106</v>
      </c>
      <c r="AC13" s="386" t="s">
        <v>106</v>
      </c>
      <c r="AD13" s="386" t="s">
        <v>106</v>
      </c>
      <c r="AE13" s="386" t="s">
        <v>106</v>
      </c>
      <c r="AF13" s="296"/>
      <c r="AG13" s="296"/>
      <c r="AH13" s="181" t="s">
        <v>106</v>
      </c>
    </row>
    <row r="14" spans="1:39">
      <c r="A14" s="282" t="s">
        <v>995</v>
      </c>
      <c r="B14" s="387">
        <v>274859.09000000003</v>
      </c>
      <c r="C14" s="182">
        <v>274859.09000000003</v>
      </c>
      <c r="D14" s="387">
        <v>274859.09000000003</v>
      </c>
      <c r="E14" s="387">
        <v>274859.09000000003</v>
      </c>
      <c r="F14" s="387">
        <v>275835.27</v>
      </c>
      <c r="G14" s="387">
        <v>275835.27</v>
      </c>
      <c r="H14" s="387">
        <v>275835.27</v>
      </c>
      <c r="I14" s="387">
        <v>275835.27</v>
      </c>
      <c r="J14" s="387">
        <v>275835.27</v>
      </c>
      <c r="K14" s="387">
        <v>275835.27</v>
      </c>
      <c r="L14" s="387">
        <v>275835.27</v>
      </c>
      <c r="M14" s="387">
        <v>276656.96999999997</v>
      </c>
      <c r="N14" s="387">
        <v>276656.96999999997</v>
      </c>
      <c r="O14" s="387">
        <v>276656.96999999997</v>
      </c>
      <c r="P14" s="387">
        <v>276656.96999999997</v>
      </c>
      <c r="Q14" s="387">
        <v>276656.96999999997</v>
      </c>
      <c r="R14" s="387">
        <v>276656.96999999997</v>
      </c>
      <c r="S14" s="387">
        <v>276656.96999999997</v>
      </c>
      <c r="T14" s="387">
        <v>277578.58</v>
      </c>
      <c r="U14" s="387">
        <v>277578.58</v>
      </c>
      <c r="V14" s="387">
        <v>277578.58</v>
      </c>
      <c r="W14" s="387">
        <v>277578.58</v>
      </c>
      <c r="X14" s="387">
        <v>277578.58</v>
      </c>
      <c r="Y14" s="387">
        <v>277578.58</v>
      </c>
      <c r="Z14" s="387">
        <v>277578.58</v>
      </c>
      <c r="AA14" s="387">
        <v>278197.13</v>
      </c>
      <c r="AB14" s="387">
        <v>278197.13</v>
      </c>
      <c r="AC14" s="387">
        <v>278197.13</v>
      </c>
      <c r="AD14" s="387">
        <v>278197.13</v>
      </c>
      <c r="AE14" s="387">
        <v>278197.13</v>
      </c>
      <c r="AF14" s="319"/>
      <c r="AG14" s="319"/>
      <c r="AH14" s="182">
        <v>274859.09000000003</v>
      </c>
    </row>
    <row r="15" spans="1:39" ht="25.5">
      <c r="A15" s="282" t="s">
        <v>67</v>
      </c>
      <c r="B15" s="388">
        <v>1806</v>
      </c>
      <c r="C15" s="183">
        <v>1806</v>
      </c>
      <c r="D15" s="388">
        <v>1806</v>
      </c>
      <c r="E15" s="388">
        <v>1806</v>
      </c>
      <c r="F15" s="388">
        <v>1806</v>
      </c>
      <c r="G15" s="388">
        <v>1806</v>
      </c>
      <c r="H15" s="388">
        <v>1806</v>
      </c>
      <c r="I15" s="388">
        <v>1806</v>
      </c>
      <c r="J15" s="388">
        <v>1806</v>
      </c>
      <c r="K15" s="388">
        <v>1806</v>
      </c>
      <c r="L15" s="388">
        <v>1806</v>
      </c>
      <c r="M15" s="388">
        <v>1806</v>
      </c>
      <c r="N15" s="388">
        <v>1806</v>
      </c>
      <c r="O15" s="388">
        <v>1806</v>
      </c>
      <c r="P15" s="388">
        <v>1806</v>
      </c>
      <c r="Q15" s="388">
        <v>1806</v>
      </c>
      <c r="R15" s="388">
        <v>1806</v>
      </c>
      <c r="S15" s="388">
        <v>1806</v>
      </c>
      <c r="T15" s="388">
        <v>1806</v>
      </c>
      <c r="U15" s="388">
        <v>1806</v>
      </c>
      <c r="V15" s="388">
        <v>1806</v>
      </c>
      <c r="W15" s="388">
        <v>1806</v>
      </c>
      <c r="X15" s="388">
        <v>1806</v>
      </c>
      <c r="Y15" s="388">
        <v>1806</v>
      </c>
      <c r="Z15" s="388">
        <v>1806</v>
      </c>
      <c r="AA15" s="388">
        <v>1806</v>
      </c>
      <c r="AB15" s="388">
        <v>1806</v>
      </c>
      <c r="AC15" s="388">
        <v>1806</v>
      </c>
      <c r="AD15" s="388">
        <v>1806</v>
      </c>
      <c r="AE15" s="388">
        <v>1806</v>
      </c>
      <c r="AF15" s="320"/>
      <c r="AG15" s="320"/>
      <c r="AH15" s="183">
        <v>1806</v>
      </c>
    </row>
    <row r="16" spans="1:39" ht="25.5">
      <c r="A16" s="282" t="s">
        <v>68</v>
      </c>
      <c r="B16" s="389">
        <v>7567</v>
      </c>
      <c r="C16" s="336">
        <v>7567</v>
      </c>
      <c r="D16" s="389">
        <v>7567</v>
      </c>
      <c r="E16" s="389">
        <v>7567</v>
      </c>
      <c r="F16" s="389">
        <v>7672</v>
      </c>
      <c r="G16" s="389">
        <v>7672</v>
      </c>
      <c r="H16" s="389">
        <v>7672</v>
      </c>
      <c r="I16" s="389">
        <v>7672</v>
      </c>
      <c r="J16" s="389">
        <v>7672</v>
      </c>
      <c r="K16" s="389">
        <v>7672</v>
      </c>
      <c r="L16" s="389">
        <v>7672</v>
      </c>
      <c r="M16" s="389">
        <v>7672</v>
      </c>
      <c r="N16" s="389">
        <v>7672</v>
      </c>
      <c r="O16" s="389">
        <v>7672</v>
      </c>
      <c r="P16" s="389">
        <v>7672</v>
      </c>
      <c r="Q16" s="389">
        <v>7672</v>
      </c>
      <c r="R16" s="389">
        <v>7672</v>
      </c>
      <c r="S16" s="389">
        <v>7672</v>
      </c>
      <c r="T16" s="389">
        <v>7825</v>
      </c>
      <c r="U16" s="389">
        <v>7825</v>
      </c>
      <c r="V16" s="389">
        <v>7825</v>
      </c>
      <c r="W16" s="389">
        <v>7825</v>
      </c>
      <c r="X16" s="389">
        <v>7825</v>
      </c>
      <c r="Y16" s="389">
        <v>7825</v>
      </c>
      <c r="Z16" s="389">
        <v>7825</v>
      </c>
      <c r="AA16" s="389">
        <v>7825</v>
      </c>
      <c r="AB16" s="389">
        <v>7825</v>
      </c>
      <c r="AC16" s="389">
        <v>7825</v>
      </c>
      <c r="AD16" s="389">
        <v>7825</v>
      </c>
      <c r="AE16" s="389">
        <v>7825</v>
      </c>
      <c r="AF16" s="320"/>
      <c r="AG16" s="320"/>
      <c r="AH16" s="336">
        <v>7567</v>
      </c>
    </row>
    <row r="17" spans="1:35" ht="20.100000000000001" customHeight="1">
      <c r="A17" s="303"/>
      <c r="B17" s="385"/>
      <c r="C17" s="162"/>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85"/>
      <c r="AE17" s="385"/>
      <c r="AF17" s="304"/>
      <c r="AG17" s="304"/>
      <c r="AH17" s="162"/>
    </row>
    <row r="18" spans="1:35">
      <c r="A18" s="282" t="s">
        <v>69</v>
      </c>
      <c r="B18" s="386" t="s">
        <v>106</v>
      </c>
      <c r="C18" s="181" t="s">
        <v>106</v>
      </c>
      <c r="D18" s="386" t="s">
        <v>106</v>
      </c>
      <c r="E18" s="386" t="s">
        <v>106</v>
      </c>
      <c r="F18" s="386" t="s">
        <v>106</v>
      </c>
      <c r="G18" s="386" t="s">
        <v>106</v>
      </c>
      <c r="H18" s="386" t="s">
        <v>106</v>
      </c>
      <c r="I18" s="386" t="s">
        <v>106</v>
      </c>
      <c r="J18" s="386" t="s">
        <v>106</v>
      </c>
      <c r="K18" s="386" t="s">
        <v>106</v>
      </c>
      <c r="L18" s="386" t="s">
        <v>106</v>
      </c>
      <c r="M18" s="386" t="s">
        <v>106</v>
      </c>
      <c r="N18" s="386" t="s">
        <v>106</v>
      </c>
      <c r="O18" s="386" t="s">
        <v>106</v>
      </c>
      <c r="P18" s="386" t="s">
        <v>106</v>
      </c>
      <c r="Q18" s="386" t="s">
        <v>106</v>
      </c>
      <c r="R18" s="386" t="s">
        <v>106</v>
      </c>
      <c r="S18" s="386" t="s">
        <v>106</v>
      </c>
      <c r="T18" s="386" t="s">
        <v>106</v>
      </c>
      <c r="U18" s="386" t="s">
        <v>106</v>
      </c>
      <c r="V18" s="386" t="s">
        <v>106</v>
      </c>
      <c r="W18" s="386" t="s">
        <v>106</v>
      </c>
      <c r="X18" s="386" t="s">
        <v>106</v>
      </c>
      <c r="Y18" s="386" t="s">
        <v>106</v>
      </c>
      <c r="Z18" s="386" t="s">
        <v>106</v>
      </c>
      <c r="AA18" s="386" t="s">
        <v>106</v>
      </c>
      <c r="AB18" s="386" t="s">
        <v>106</v>
      </c>
      <c r="AC18" s="386" t="s">
        <v>106</v>
      </c>
      <c r="AD18" s="386" t="s">
        <v>106</v>
      </c>
      <c r="AE18" s="386" t="s">
        <v>106</v>
      </c>
      <c r="AF18" s="296"/>
      <c r="AG18" s="296"/>
      <c r="AH18" s="181" t="s">
        <v>106</v>
      </c>
    </row>
    <row r="19" spans="1:35" ht="25.5">
      <c r="A19" s="282" t="s">
        <v>70</v>
      </c>
      <c r="B19" s="390">
        <v>69371.8</v>
      </c>
      <c r="C19" s="186">
        <v>69412.3</v>
      </c>
      <c r="D19" s="390">
        <v>69455.600000000006</v>
      </c>
      <c r="E19" s="390">
        <v>69498.399999999994</v>
      </c>
      <c r="F19" s="390">
        <v>69498.399999999994</v>
      </c>
      <c r="G19" s="390">
        <v>69506.5</v>
      </c>
      <c r="H19" s="390">
        <v>69563.3</v>
      </c>
      <c r="I19" s="390">
        <v>69563.3</v>
      </c>
      <c r="J19" s="390">
        <v>69654.8</v>
      </c>
      <c r="K19" s="390">
        <v>69691.100000000006</v>
      </c>
      <c r="L19" s="390">
        <v>69734.100000000006</v>
      </c>
      <c r="M19" s="390">
        <v>69734.100000000006</v>
      </c>
      <c r="N19" s="390">
        <v>69734.100000000006</v>
      </c>
      <c r="O19" s="390">
        <v>69772.100000000006</v>
      </c>
      <c r="P19" s="390">
        <v>69808.7</v>
      </c>
      <c r="Q19" s="390">
        <v>69841.8</v>
      </c>
      <c r="R19" s="390">
        <v>69873.3</v>
      </c>
      <c r="S19" s="390">
        <v>69903.100000000006</v>
      </c>
      <c r="T19" s="390">
        <v>69903.100000000006</v>
      </c>
      <c r="U19" s="390">
        <v>69903.100000000006</v>
      </c>
      <c r="V19" s="390">
        <v>69959.7</v>
      </c>
      <c r="W19" s="390">
        <v>70001.8</v>
      </c>
      <c r="X19" s="390">
        <v>70030.399999999994</v>
      </c>
      <c r="Y19" s="390">
        <v>70059.3</v>
      </c>
      <c r="Z19" s="390">
        <v>70076.800000000003</v>
      </c>
      <c r="AA19" s="390">
        <v>70076.800000000003</v>
      </c>
      <c r="AB19" s="390">
        <v>70102.3</v>
      </c>
      <c r="AC19" s="390">
        <v>70135.199999999997</v>
      </c>
      <c r="AD19" s="390">
        <v>70160.7</v>
      </c>
      <c r="AE19" s="390">
        <v>70178.5</v>
      </c>
      <c r="AF19" s="321"/>
      <c r="AG19" s="321"/>
      <c r="AH19" s="186">
        <v>69335.199999999997</v>
      </c>
      <c r="AI19" s="307"/>
    </row>
    <row r="20" spans="1:35" ht="25.5">
      <c r="A20" s="282" t="s">
        <v>71</v>
      </c>
      <c r="B20" s="388" t="s">
        <v>1307</v>
      </c>
      <c r="C20" s="183" t="s">
        <v>1307</v>
      </c>
      <c r="D20" s="388" t="s">
        <v>1307</v>
      </c>
      <c r="E20" s="388" t="s">
        <v>1307</v>
      </c>
      <c r="F20" s="388" t="s">
        <v>1307</v>
      </c>
      <c r="G20" s="388" t="s">
        <v>1307</v>
      </c>
      <c r="H20" s="388" t="s">
        <v>1307</v>
      </c>
      <c r="I20" s="388" t="s">
        <v>1307</v>
      </c>
      <c r="J20" s="388" t="s">
        <v>1307</v>
      </c>
      <c r="K20" s="388" t="s">
        <v>1307</v>
      </c>
      <c r="L20" s="388" t="s">
        <v>1307</v>
      </c>
      <c r="M20" s="388" t="s">
        <v>1307</v>
      </c>
      <c r="N20" s="388" t="s">
        <v>1307</v>
      </c>
      <c r="O20" s="388" t="s">
        <v>1307</v>
      </c>
      <c r="P20" s="388" t="s">
        <v>1307</v>
      </c>
      <c r="Q20" s="388" t="s">
        <v>1307</v>
      </c>
      <c r="R20" s="388" t="s">
        <v>1307</v>
      </c>
      <c r="S20" s="388" t="s">
        <v>1307</v>
      </c>
      <c r="T20" s="388" t="s">
        <v>1307</v>
      </c>
      <c r="U20" s="388" t="s">
        <v>1307</v>
      </c>
      <c r="V20" s="388" t="s">
        <v>1307</v>
      </c>
      <c r="W20" s="388" t="s">
        <v>1307</v>
      </c>
      <c r="X20" s="388" t="s">
        <v>1307</v>
      </c>
      <c r="Y20" s="388" t="s">
        <v>1307</v>
      </c>
      <c r="Z20" s="388" t="s">
        <v>1307</v>
      </c>
      <c r="AA20" s="388" t="s">
        <v>1307</v>
      </c>
      <c r="AB20" s="388" t="s">
        <v>1307</v>
      </c>
      <c r="AC20" s="388" t="s">
        <v>1307</v>
      </c>
      <c r="AD20" s="388" t="s">
        <v>1307</v>
      </c>
      <c r="AE20" s="388" t="s">
        <v>1307</v>
      </c>
      <c r="AF20" s="209"/>
      <c r="AG20" s="209"/>
      <c r="AH20" s="183" t="s">
        <v>1307</v>
      </c>
      <c r="AI20" s="307"/>
    </row>
    <row r="21" spans="1:35" ht="25.5">
      <c r="A21" s="282" t="s">
        <v>72</v>
      </c>
      <c r="B21" s="388">
        <v>118879</v>
      </c>
      <c r="C21" s="183">
        <v>118879</v>
      </c>
      <c r="D21" s="388">
        <v>118879</v>
      </c>
      <c r="E21" s="388">
        <v>118879</v>
      </c>
      <c r="F21" s="388">
        <v>119912</v>
      </c>
      <c r="G21" s="388">
        <v>119912</v>
      </c>
      <c r="H21" s="388">
        <v>119912</v>
      </c>
      <c r="I21" s="388">
        <v>119912</v>
      </c>
      <c r="J21" s="388">
        <v>119912</v>
      </c>
      <c r="K21" s="388">
        <v>119912</v>
      </c>
      <c r="L21" s="388">
        <v>119912</v>
      </c>
      <c r="M21" s="388">
        <v>120906</v>
      </c>
      <c r="N21" s="388">
        <v>120906</v>
      </c>
      <c r="O21" s="388">
        <v>120906</v>
      </c>
      <c r="P21" s="388">
        <v>120906</v>
      </c>
      <c r="Q21" s="388">
        <v>120906</v>
      </c>
      <c r="R21" s="388">
        <v>120906</v>
      </c>
      <c r="S21" s="388">
        <v>120906</v>
      </c>
      <c r="T21" s="388">
        <v>121809</v>
      </c>
      <c r="U21" s="388">
        <v>121809</v>
      </c>
      <c r="V21" s="388">
        <v>121809</v>
      </c>
      <c r="W21" s="388">
        <v>121809</v>
      </c>
      <c r="X21" s="388">
        <v>121809</v>
      </c>
      <c r="Y21" s="388">
        <v>121809</v>
      </c>
      <c r="Z21" s="388">
        <v>121809</v>
      </c>
      <c r="AA21" s="388">
        <v>122774</v>
      </c>
      <c r="AB21" s="388">
        <v>122774</v>
      </c>
      <c r="AC21" s="388">
        <v>122774</v>
      </c>
      <c r="AD21" s="388">
        <v>122774</v>
      </c>
      <c r="AE21" s="388">
        <v>122774</v>
      </c>
      <c r="AF21" s="321"/>
      <c r="AG21" s="321"/>
      <c r="AH21" s="183">
        <v>118879</v>
      </c>
      <c r="AI21" s="307"/>
    </row>
    <row r="22" spans="1:35" ht="25.5">
      <c r="A22" s="282" t="s">
        <v>73</v>
      </c>
      <c r="B22" s="391">
        <v>168258</v>
      </c>
      <c r="C22" s="322">
        <v>168362</v>
      </c>
      <c r="D22" s="391">
        <v>168511</v>
      </c>
      <c r="E22" s="391">
        <v>168607</v>
      </c>
      <c r="F22" s="391">
        <v>168709</v>
      </c>
      <c r="G22" s="391">
        <v>168800</v>
      </c>
      <c r="H22" s="391">
        <v>168921</v>
      </c>
      <c r="I22" s="391">
        <v>168921</v>
      </c>
      <c r="J22" s="391">
        <v>169132</v>
      </c>
      <c r="K22" s="391">
        <v>169224</v>
      </c>
      <c r="L22" s="391">
        <v>169339</v>
      </c>
      <c r="M22" s="391">
        <v>169439</v>
      </c>
      <c r="N22" s="391">
        <v>169540</v>
      </c>
      <c r="O22" s="391">
        <v>169644</v>
      </c>
      <c r="P22" s="391">
        <v>169764</v>
      </c>
      <c r="Q22" s="391">
        <v>169850</v>
      </c>
      <c r="R22" s="391">
        <v>169949</v>
      </c>
      <c r="S22" s="391">
        <v>170050</v>
      </c>
      <c r="T22" s="391">
        <v>170147</v>
      </c>
      <c r="U22" s="391">
        <v>170147</v>
      </c>
      <c r="V22" s="391">
        <v>170340</v>
      </c>
      <c r="W22" s="391">
        <v>170425</v>
      </c>
      <c r="X22" s="391">
        <v>170497</v>
      </c>
      <c r="Y22" s="391">
        <v>170577</v>
      </c>
      <c r="Z22" s="391">
        <v>170659</v>
      </c>
      <c r="AA22" s="391">
        <v>170726</v>
      </c>
      <c r="AB22" s="391">
        <v>170802</v>
      </c>
      <c r="AC22" s="391">
        <v>170882</v>
      </c>
      <c r="AD22" s="391">
        <v>170968</v>
      </c>
      <c r="AE22" s="391">
        <v>171043</v>
      </c>
      <c r="AF22" s="321">
        <f>AE22-AH22</f>
        <v>2889</v>
      </c>
      <c r="AG22" s="321"/>
      <c r="AH22" s="322">
        <v>168154</v>
      </c>
      <c r="AI22" s="307"/>
    </row>
    <row r="23" spans="1:35">
      <c r="A23" s="309" t="s">
        <v>136</v>
      </c>
      <c r="B23" s="388">
        <v>4554</v>
      </c>
      <c r="C23" s="183">
        <v>4554</v>
      </c>
      <c r="D23" s="388">
        <v>4554</v>
      </c>
      <c r="E23" s="388">
        <v>4554</v>
      </c>
      <c r="F23" s="388">
        <v>4605</v>
      </c>
      <c r="G23" s="388">
        <v>4605</v>
      </c>
      <c r="H23" s="388">
        <v>4605</v>
      </c>
      <c r="I23" s="388">
        <v>4605</v>
      </c>
      <c r="J23" s="388">
        <v>4605</v>
      </c>
      <c r="K23" s="388">
        <v>4605</v>
      </c>
      <c r="L23" s="388">
        <v>4605</v>
      </c>
      <c r="M23" s="388">
        <v>4652</v>
      </c>
      <c r="N23" s="388">
        <v>4652</v>
      </c>
      <c r="O23" s="388">
        <v>4652</v>
      </c>
      <c r="P23" s="388">
        <v>4652</v>
      </c>
      <c r="Q23" s="388">
        <v>4652</v>
      </c>
      <c r="R23" s="388">
        <v>4652</v>
      </c>
      <c r="S23" s="388">
        <v>4652</v>
      </c>
      <c r="T23" s="388">
        <v>4698</v>
      </c>
      <c r="U23" s="388">
        <v>4698</v>
      </c>
      <c r="V23" s="388">
        <v>4698</v>
      </c>
      <c r="W23" s="388">
        <v>4698</v>
      </c>
      <c r="X23" s="388">
        <v>4698</v>
      </c>
      <c r="Y23" s="388">
        <v>4698</v>
      </c>
      <c r="Z23" s="388">
        <v>4698</v>
      </c>
      <c r="AA23" s="388">
        <v>4718</v>
      </c>
      <c r="AB23" s="388">
        <v>4718</v>
      </c>
      <c r="AC23" s="388">
        <v>4718</v>
      </c>
      <c r="AD23" s="388">
        <v>4718</v>
      </c>
      <c r="AE23" s="388">
        <v>4718</v>
      </c>
      <c r="AF23" s="323">
        <f>AE23-B23</f>
        <v>164</v>
      </c>
      <c r="AG23" s="208">
        <v>164</v>
      </c>
      <c r="AH23" s="183">
        <v>4554</v>
      </c>
      <c r="AI23" s="307"/>
    </row>
    <row r="24" spans="1:35">
      <c r="A24" s="309" t="s">
        <v>139</v>
      </c>
      <c r="B24" s="388">
        <v>4270</v>
      </c>
      <c r="C24" s="183">
        <v>4270</v>
      </c>
      <c r="D24" s="388">
        <v>4270</v>
      </c>
      <c r="E24" s="388">
        <v>4270</v>
      </c>
      <c r="F24" s="388">
        <v>4294</v>
      </c>
      <c r="G24" s="388">
        <v>4294</v>
      </c>
      <c r="H24" s="388">
        <v>4294</v>
      </c>
      <c r="I24" s="388">
        <v>4294</v>
      </c>
      <c r="J24" s="388">
        <v>4294</v>
      </c>
      <c r="K24" s="388">
        <v>4294</v>
      </c>
      <c r="L24" s="388">
        <v>4294</v>
      </c>
      <c r="M24" s="388">
        <v>4315</v>
      </c>
      <c r="N24" s="388">
        <v>4315</v>
      </c>
      <c r="O24" s="388">
        <v>4315</v>
      </c>
      <c r="P24" s="388">
        <v>4315</v>
      </c>
      <c r="Q24" s="388">
        <v>4315</v>
      </c>
      <c r="R24" s="388">
        <v>4315</v>
      </c>
      <c r="S24" s="388">
        <v>4315</v>
      </c>
      <c r="T24" s="388">
        <v>4343</v>
      </c>
      <c r="U24" s="388">
        <v>4343</v>
      </c>
      <c r="V24" s="388">
        <v>4343</v>
      </c>
      <c r="W24" s="388">
        <v>4343</v>
      </c>
      <c r="X24" s="388">
        <v>4343</v>
      </c>
      <c r="Y24" s="388">
        <v>4343</v>
      </c>
      <c r="Z24" s="388">
        <v>4343</v>
      </c>
      <c r="AA24" s="388">
        <v>4353</v>
      </c>
      <c r="AB24" s="388">
        <v>4353</v>
      </c>
      <c r="AC24" s="388">
        <v>4353</v>
      </c>
      <c r="AD24" s="388">
        <v>4353</v>
      </c>
      <c r="AE24" s="388">
        <v>4353</v>
      </c>
      <c r="AF24" s="323">
        <f t="shared" ref="AF24:AF29" si="0">AE24-B24</f>
        <v>83</v>
      </c>
      <c r="AG24" s="208">
        <v>83</v>
      </c>
      <c r="AH24" s="183">
        <v>4270</v>
      </c>
      <c r="AI24" s="307"/>
    </row>
    <row r="25" spans="1:35">
      <c r="A25" s="309" t="s">
        <v>142</v>
      </c>
      <c r="B25" s="388">
        <v>1760</v>
      </c>
      <c r="C25" s="183">
        <v>1760</v>
      </c>
      <c r="D25" s="388">
        <v>1760</v>
      </c>
      <c r="E25" s="388">
        <v>1760</v>
      </c>
      <c r="F25" s="388">
        <v>1780</v>
      </c>
      <c r="G25" s="388">
        <v>1780</v>
      </c>
      <c r="H25" s="388">
        <v>1780</v>
      </c>
      <c r="I25" s="388">
        <v>1780</v>
      </c>
      <c r="J25" s="388">
        <v>1780</v>
      </c>
      <c r="K25" s="388">
        <v>1780</v>
      </c>
      <c r="L25" s="388">
        <v>1780</v>
      </c>
      <c r="M25" s="388">
        <v>1798</v>
      </c>
      <c r="N25" s="388">
        <v>1798</v>
      </c>
      <c r="O25" s="388">
        <v>1798</v>
      </c>
      <c r="P25" s="388">
        <v>1798</v>
      </c>
      <c r="Q25" s="388">
        <v>1798</v>
      </c>
      <c r="R25" s="388">
        <v>1798</v>
      </c>
      <c r="S25" s="388">
        <v>1798</v>
      </c>
      <c r="T25" s="388">
        <v>1816</v>
      </c>
      <c r="U25" s="388">
        <v>1816</v>
      </c>
      <c r="V25" s="388">
        <v>1816</v>
      </c>
      <c r="W25" s="388">
        <v>1816</v>
      </c>
      <c r="X25" s="388">
        <v>1816</v>
      </c>
      <c r="Y25" s="388">
        <v>1816</v>
      </c>
      <c r="Z25" s="388">
        <v>1816</v>
      </c>
      <c r="AA25" s="388">
        <v>1818</v>
      </c>
      <c r="AB25" s="388">
        <v>1818</v>
      </c>
      <c r="AC25" s="388">
        <v>1818</v>
      </c>
      <c r="AD25" s="388">
        <v>1818</v>
      </c>
      <c r="AE25" s="388">
        <v>1818</v>
      </c>
      <c r="AF25" s="323">
        <f t="shared" si="0"/>
        <v>58</v>
      </c>
      <c r="AG25" s="208">
        <v>58</v>
      </c>
      <c r="AH25" s="183">
        <v>1760</v>
      </c>
      <c r="AI25" s="307"/>
    </row>
    <row r="26" spans="1:35">
      <c r="A26" s="309" t="s">
        <v>145</v>
      </c>
      <c r="B26" s="388">
        <v>537</v>
      </c>
      <c r="C26" s="183">
        <v>537</v>
      </c>
      <c r="D26" s="388">
        <v>537</v>
      </c>
      <c r="E26" s="388">
        <v>537</v>
      </c>
      <c r="F26" s="388">
        <v>552</v>
      </c>
      <c r="G26" s="388">
        <v>552</v>
      </c>
      <c r="H26" s="388">
        <v>552</v>
      </c>
      <c r="I26" s="388">
        <v>552</v>
      </c>
      <c r="J26" s="388">
        <v>552</v>
      </c>
      <c r="K26" s="388">
        <v>552</v>
      </c>
      <c r="L26" s="388">
        <v>552</v>
      </c>
      <c r="M26" s="388">
        <v>569</v>
      </c>
      <c r="N26" s="388">
        <v>569</v>
      </c>
      <c r="O26" s="388">
        <v>569</v>
      </c>
      <c r="P26" s="388">
        <v>569</v>
      </c>
      <c r="Q26" s="388">
        <v>569</v>
      </c>
      <c r="R26" s="388">
        <v>569</v>
      </c>
      <c r="S26" s="388">
        <v>569</v>
      </c>
      <c r="T26" s="388">
        <v>586</v>
      </c>
      <c r="U26" s="388">
        <v>586</v>
      </c>
      <c r="V26" s="388">
        <v>586</v>
      </c>
      <c r="W26" s="388">
        <v>586</v>
      </c>
      <c r="X26" s="388">
        <v>586</v>
      </c>
      <c r="Y26" s="388">
        <v>586</v>
      </c>
      <c r="Z26" s="388">
        <v>586</v>
      </c>
      <c r="AA26" s="388">
        <v>594</v>
      </c>
      <c r="AB26" s="388">
        <v>594</v>
      </c>
      <c r="AC26" s="388">
        <v>594</v>
      </c>
      <c r="AD26" s="388">
        <v>594</v>
      </c>
      <c r="AE26" s="388">
        <v>594</v>
      </c>
      <c r="AF26" s="323">
        <f t="shared" si="0"/>
        <v>57</v>
      </c>
      <c r="AG26" s="208">
        <v>57</v>
      </c>
      <c r="AH26" s="183">
        <v>537</v>
      </c>
      <c r="AI26" s="307"/>
    </row>
    <row r="27" spans="1:35">
      <c r="A27" s="309" t="s">
        <v>148</v>
      </c>
      <c r="B27" s="388">
        <v>5663</v>
      </c>
      <c r="C27" s="183">
        <v>5663</v>
      </c>
      <c r="D27" s="388">
        <v>5663</v>
      </c>
      <c r="E27" s="388">
        <v>5663</v>
      </c>
      <c r="F27" s="388">
        <v>5732</v>
      </c>
      <c r="G27" s="388">
        <v>5732</v>
      </c>
      <c r="H27" s="388">
        <v>5732</v>
      </c>
      <c r="I27" s="388">
        <v>5732</v>
      </c>
      <c r="J27" s="388">
        <v>5732</v>
      </c>
      <c r="K27" s="388">
        <v>5732</v>
      </c>
      <c r="L27" s="388">
        <v>5732</v>
      </c>
      <c r="M27" s="388">
        <v>5796</v>
      </c>
      <c r="N27" s="388">
        <v>5796</v>
      </c>
      <c r="O27" s="388">
        <v>5796</v>
      </c>
      <c r="P27" s="388">
        <v>5796</v>
      </c>
      <c r="Q27" s="388">
        <v>5796</v>
      </c>
      <c r="R27" s="388">
        <v>5796</v>
      </c>
      <c r="S27" s="388">
        <v>5796</v>
      </c>
      <c r="T27" s="388">
        <v>6036</v>
      </c>
      <c r="U27" s="388">
        <v>6036</v>
      </c>
      <c r="V27" s="388">
        <v>6036</v>
      </c>
      <c r="W27" s="388">
        <v>6036</v>
      </c>
      <c r="X27" s="388">
        <v>6036</v>
      </c>
      <c r="Y27" s="388">
        <v>6036</v>
      </c>
      <c r="Z27" s="388">
        <v>6036</v>
      </c>
      <c r="AA27" s="388">
        <v>6234</v>
      </c>
      <c r="AB27" s="388">
        <v>6234</v>
      </c>
      <c r="AC27" s="388">
        <v>6234</v>
      </c>
      <c r="AD27" s="388">
        <v>6234</v>
      </c>
      <c r="AE27" s="388">
        <v>6234</v>
      </c>
      <c r="AF27" s="323">
        <f t="shared" si="0"/>
        <v>571</v>
      </c>
      <c r="AG27" s="208">
        <v>571</v>
      </c>
      <c r="AH27" s="183">
        <v>5663</v>
      </c>
      <c r="AI27" s="307"/>
    </row>
    <row r="28" spans="1:35">
      <c r="A28" s="309" t="s">
        <v>151</v>
      </c>
      <c r="B28" s="388">
        <v>1039</v>
      </c>
      <c r="C28" s="183">
        <v>1039</v>
      </c>
      <c r="D28" s="388">
        <v>1039</v>
      </c>
      <c r="E28" s="388">
        <v>1039</v>
      </c>
      <c r="F28" s="388">
        <v>1050</v>
      </c>
      <c r="G28" s="388">
        <v>1050</v>
      </c>
      <c r="H28" s="388">
        <v>1050</v>
      </c>
      <c r="I28" s="388">
        <v>1050</v>
      </c>
      <c r="J28" s="388">
        <v>1050</v>
      </c>
      <c r="K28" s="388">
        <v>1050</v>
      </c>
      <c r="L28" s="388">
        <v>1050</v>
      </c>
      <c r="M28" s="388">
        <v>1062</v>
      </c>
      <c r="N28" s="388">
        <v>1062</v>
      </c>
      <c r="O28" s="388">
        <v>1062</v>
      </c>
      <c r="P28" s="388">
        <v>1062</v>
      </c>
      <c r="Q28" s="388">
        <v>1062</v>
      </c>
      <c r="R28" s="388">
        <v>1062</v>
      </c>
      <c r="S28" s="388">
        <v>1062</v>
      </c>
      <c r="T28" s="388">
        <v>1073</v>
      </c>
      <c r="U28" s="388">
        <v>1073</v>
      </c>
      <c r="V28" s="388">
        <v>1073</v>
      </c>
      <c r="W28" s="388">
        <v>1073</v>
      </c>
      <c r="X28" s="388">
        <v>1073</v>
      </c>
      <c r="Y28" s="388">
        <v>1073</v>
      </c>
      <c r="Z28" s="388">
        <v>1073</v>
      </c>
      <c r="AA28" s="388">
        <v>1085</v>
      </c>
      <c r="AB28" s="388">
        <v>1085</v>
      </c>
      <c r="AC28" s="388">
        <v>1085</v>
      </c>
      <c r="AD28" s="388">
        <v>1085</v>
      </c>
      <c r="AE28" s="388">
        <v>1085</v>
      </c>
      <c r="AF28" s="323">
        <f t="shared" si="0"/>
        <v>46</v>
      </c>
      <c r="AG28" s="208">
        <v>46</v>
      </c>
      <c r="AH28" s="183">
        <v>1039</v>
      </c>
      <c r="AI28" s="307"/>
    </row>
    <row r="29" spans="1:35">
      <c r="A29" s="309" t="s">
        <v>154</v>
      </c>
      <c r="B29" s="388">
        <v>486</v>
      </c>
      <c r="C29" s="183">
        <v>486</v>
      </c>
      <c r="D29" s="388">
        <v>486</v>
      </c>
      <c r="E29" s="388">
        <v>486</v>
      </c>
      <c r="F29" s="388">
        <v>492</v>
      </c>
      <c r="G29" s="388">
        <v>492</v>
      </c>
      <c r="H29" s="388">
        <v>492</v>
      </c>
      <c r="I29" s="388">
        <v>492</v>
      </c>
      <c r="J29" s="388">
        <v>492</v>
      </c>
      <c r="K29" s="388">
        <v>492</v>
      </c>
      <c r="L29" s="388">
        <v>492</v>
      </c>
      <c r="M29" s="388">
        <v>499</v>
      </c>
      <c r="N29" s="388">
        <v>499</v>
      </c>
      <c r="O29" s="388">
        <v>499</v>
      </c>
      <c r="P29" s="388">
        <v>499</v>
      </c>
      <c r="Q29" s="388">
        <v>499</v>
      </c>
      <c r="R29" s="388">
        <v>499</v>
      </c>
      <c r="S29" s="388">
        <v>499</v>
      </c>
      <c r="T29" s="388">
        <v>505</v>
      </c>
      <c r="U29" s="388">
        <v>505</v>
      </c>
      <c r="V29" s="388">
        <v>505</v>
      </c>
      <c r="W29" s="388">
        <v>505</v>
      </c>
      <c r="X29" s="388">
        <v>505</v>
      </c>
      <c r="Y29" s="388">
        <v>505</v>
      </c>
      <c r="Z29" s="388">
        <v>505</v>
      </c>
      <c r="AA29" s="388">
        <v>512</v>
      </c>
      <c r="AB29" s="388">
        <v>512</v>
      </c>
      <c r="AC29" s="388">
        <v>512</v>
      </c>
      <c r="AD29" s="388">
        <v>512</v>
      </c>
      <c r="AE29" s="388">
        <v>512</v>
      </c>
      <c r="AF29" s="323">
        <f t="shared" si="0"/>
        <v>26</v>
      </c>
      <c r="AG29" s="208">
        <v>26</v>
      </c>
      <c r="AH29" s="183">
        <v>486</v>
      </c>
      <c r="AI29" s="307"/>
    </row>
    <row r="30" spans="1:35">
      <c r="A30" s="303"/>
      <c r="B30" s="385"/>
      <c r="C30" s="162"/>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c r="AF30" s="304"/>
      <c r="AG30" s="304"/>
      <c r="AH30" s="162"/>
      <c r="AI30" s="307"/>
    </row>
    <row r="31" spans="1:35">
      <c r="A31" s="282" t="s">
        <v>74</v>
      </c>
      <c r="B31" s="386" t="s">
        <v>157</v>
      </c>
      <c r="C31" s="181" t="s">
        <v>157</v>
      </c>
      <c r="D31" s="386" t="s">
        <v>157</v>
      </c>
      <c r="E31" s="386" t="s">
        <v>157</v>
      </c>
      <c r="F31" s="386" t="s">
        <v>157</v>
      </c>
      <c r="G31" s="386" t="s">
        <v>157</v>
      </c>
      <c r="H31" s="386" t="s">
        <v>157</v>
      </c>
      <c r="I31" s="386" t="s">
        <v>157</v>
      </c>
      <c r="J31" s="386" t="s">
        <v>157</v>
      </c>
      <c r="K31" s="386" t="s">
        <v>157</v>
      </c>
      <c r="L31" s="386" t="s">
        <v>157</v>
      </c>
      <c r="M31" s="386" t="s">
        <v>157</v>
      </c>
      <c r="N31" s="386" t="s">
        <v>157</v>
      </c>
      <c r="O31" s="386" t="s">
        <v>157</v>
      </c>
      <c r="P31" s="386" t="s">
        <v>157</v>
      </c>
      <c r="Q31" s="386" t="s">
        <v>157</v>
      </c>
      <c r="R31" s="386" t="s">
        <v>157</v>
      </c>
      <c r="S31" s="386" t="s">
        <v>157</v>
      </c>
      <c r="T31" s="386" t="s">
        <v>157</v>
      </c>
      <c r="U31" s="386" t="s">
        <v>157</v>
      </c>
      <c r="V31" s="386" t="s">
        <v>157</v>
      </c>
      <c r="W31" s="386" t="s">
        <v>157</v>
      </c>
      <c r="X31" s="386" t="s">
        <v>157</v>
      </c>
      <c r="Y31" s="386" t="s">
        <v>157</v>
      </c>
      <c r="Z31" s="386" t="s">
        <v>157</v>
      </c>
      <c r="AA31" s="386" t="s">
        <v>157</v>
      </c>
      <c r="AB31" s="386" t="s">
        <v>157</v>
      </c>
      <c r="AC31" s="386" t="s">
        <v>157</v>
      </c>
      <c r="AD31" s="386" t="s">
        <v>157</v>
      </c>
      <c r="AE31" s="386" t="s">
        <v>157</v>
      </c>
      <c r="AF31" s="296"/>
      <c r="AG31" s="296"/>
      <c r="AH31" s="181" t="s">
        <v>157</v>
      </c>
      <c r="AI31" s="307"/>
    </row>
    <row r="32" spans="1:35" ht="25.5">
      <c r="A32" s="282" t="s">
        <v>77</v>
      </c>
      <c r="B32" s="392" t="s">
        <v>78</v>
      </c>
      <c r="C32" s="190" t="s">
        <v>78</v>
      </c>
      <c r="D32" s="392" t="s">
        <v>78</v>
      </c>
      <c r="E32" s="392" t="s">
        <v>78</v>
      </c>
      <c r="F32" s="392" t="s">
        <v>78</v>
      </c>
      <c r="G32" s="392" t="s">
        <v>78</v>
      </c>
      <c r="H32" s="392" t="s">
        <v>78</v>
      </c>
      <c r="I32" s="392" t="s">
        <v>78</v>
      </c>
      <c r="J32" s="392" t="s">
        <v>78</v>
      </c>
      <c r="K32" s="392" t="s">
        <v>78</v>
      </c>
      <c r="L32" s="392" t="s">
        <v>78</v>
      </c>
      <c r="M32" s="392" t="s">
        <v>78</v>
      </c>
      <c r="N32" s="392" t="s">
        <v>78</v>
      </c>
      <c r="O32" s="392" t="s">
        <v>78</v>
      </c>
      <c r="P32" s="392" t="s">
        <v>78</v>
      </c>
      <c r="Q32" s="392" t="s">
        <v>78</v>
      </c>
      <c r="R32" s="392" t="s">
        <v>78</v>
      </c>
      <c r="S32" s="392" t="s">
        <v>78</v>
      </c>
      <c r="T32" s="392" t="s">
        <v>78</v>
      </c>
      <c r="U32" s="392" t="s">
        <v>78</v>
      </c>
      <c r="V32" s="392" t="s">
        <v>78</v>
      </c>
      <c r="W32" s="392" t="s">
        <v>78</v>
      </c>
      <c r="X32" s="392" t="s">
        <v>78</v>
      </c>
      <c r="Y32" s="392" t="s">
        <v>78</v>
      </c>
      <c r="Z32" s="392" t="s">
        <v>78</v>
      </c>
      <c r="AA32" s="392" t="s">
        <v>78</v>
      </c>
      <c r="AB32" s="392" t="s">
        <v>78</v>
      </c>
      <c r="AC32" s="392" t="s">
        <v>78</v>
      </c>
      <c r="AD32" s="392" t="s">
        <v>78</v>
      </c>
      <c r="AE32" s="392" t="s">
        <v>78</v>
      </c>
      <c r="AF32" s="209"/>
      <c r="AG32" s="209"/>
      <c r="AH32" s="190" t="s">
        <v>78</v>
      </c>
      <c r="AI32" s="307"/>
    </row>
    <row r="33" spans="1:35" ht="25.5">
      <c r="A33" s="282" t="s">
        <v>80</v>
      </c>
      <c r="B33" s="393" t="s">
        <v>1520</v>
      </c>
      <c r="C33" s="187" t="s">
        <v>1517</v>
      </c>
      <c r="D33" s="393" t="s">
        <v>1516</v>
      </c>
      <c r="E33" s="393" t="s">
        <v>1516</v>
      </c>
      <c r="F33" s="393" t="s">
        <v>1516</v>
      </c>
      <c r="G33" s="393" t="s">
        <v>1516</v>
      </c>
      <c r="H33" s="393" t="s">
        <v>1546</v>
      </c>
      <c r="I33" s="393" t="s">
        <v>1547</v>
      </c>
      <c r="J33" s="393" t="s">
        <v>1513</v>
      </c>
      <c r="K33" s="393" t="s">
        <v>1548</v>
      </c>
      <c r="L33" s="393" t="s">
        <v>1548</v>
      </c>
      <c r="M33" s="393" t="s">
        <v>1549</v>
      </c>
      <c r="N33" s="393" t="s">
        <v>1550</v>
      </c>
      <c r="O33" s="393" t="s">
        <v>1551</v>
      </c>
      <c r="P33" s="393" t="s">
        <v>1551</v>
      </c>
      <c r="Q33" s="393" t="s">
        <v>1510</v>
      </c>
      <c r="R33" s="393" t="s">
        <v>1552</v>
      </c>
      <c r="S33" s="393" t="s">
        <v>1508</v>
      </c>
      <c r="T33" s="393" t="s">
        <v>1553</v>
      </c>
      <c r="U33" s="393" t="s">
        <v>1553</v>
      </c>
      <c r="V33" s="393" t="s">
        <v>1553</v>
      </c>
      <c r="W33" s="393" t="s">
        <v>1554</v>
      </c>
      <c r="X33" s="393" t="s">
        <v>1327</v>
      </c>
      <c r="Y33" s="393" t="s">
        <v>1504</v>
      </c>
      <c r="Z33" s="393" t="s">
        <v>1555</v>
      </c>
      <c r="AA33" s="393" t="s">
        <v>1372</v>
      </c>
      <c r="AB33" s="393" t="s">
        <v>1372</v>
      </c>
      <c r="AC33" s="393" t="s">
        <v>1556</v>
      </c>
      <c r="AD33" s="393" t="s">
        <v>1323</v>
      </c>
      <c r="AE33" s="393" t="s">
        <v>1323</v>
      </c>
      <c r="AF33" s="209"/>
      <c r="AG33" s="209"/>
      <c r="AH33" s="187" t="s">
        <v>1519</v>
      </c>
      <c r="AI33" s="307"/>
    </row>
    <row r="34" spans="1:35" ht="15.75" thickBot="1">
      <c r="A34" s="310" t="s">
        <v>81</v>
      </c>
      <c r="B34" s="393" t="s">
        <v>1545</v>
      </c>
      <c r="C34" s="187" t="s">
        <v>1545</v>
      </c>
      <c r="D34" s="393" t="s">
        <v>1545</v>
      </c>
      <c r="E34" s="393" t="s">
        <v>1545</v>
      </c>
      <c r="F34" s="393" t="s">
        <v>1545</v>
      </c>
      <c r="G34" s="393" t="s">
        <v>1545</v>
      </c>
      <c r="H34" s="393" t="s">
        <v>1545</v>
      </c>
      <c r="I34" s="393" t="s">
        <v>1545</v>
      </c>
      <c r="J34" s="393" t="s">
        <v>1545</v>
      </c>
      <c r="K34" s="393" t="s">
        <v>1545</v>
      </c>
      <c r="L34" s="393" t="s">
        <v>1545</v>
      </c>
      <c r="M34" s="393" t="s">
        <v>1545</v>
      </c>
      <c r="N34" s="393" t="s">
        <v>1545</v>
      </c>
      <c r="O34" s="393" t="s">
        <v>1545</v>
      </c>
      <c r="P34" s="393" t="s">
        <v>1545</v>
      </c>
      <c r="Q34" s="393" t="s">
        <v>1545</v>
      </c>
      <c r="R34" s="393" t="s">
        <v>1545</v>
      </c>
      <c r="S34" s="393" t="s">
        <v>1545</v>
      </c>
      <c r="T34" s="393" t="s">
        <v>1545</v>
      </c>
      <c r="U34" s="393" t="s">
        <v>1545</v>
      </c>
      <c r="V34" s="393" t="s">
        <v>1545</v>
      </c>
      <c r="W34" s="393" t="s">
        <v>1545</v>
      </c>
      <c r="X34" s="393" t="s">
        <v>1545</v>
      </c>
      <c r="Y34" s="393" t="s">
        <v>1545</v>
      </c>
      <c r="Z34" s="393" t="s">
        <v>1545</v>
      </c>
      <c r="AA34" s="393" t="s">
        <v>1545</v>
      </c>
      <c r="AB34" s="393" t="s">
        <v>1545</v>
      </c>
      <c r="AC34" s="393" t="s">
        <v>1545</v>
      </c>
      <c r="AD34" s="393" t="s">
        <v>1545</v>
      </c>
      <c r="AE34" s="393" t="s">
        <v>1545</v>
      </c>
      <c r="AF34" s="209"/>
      <c r="AG34" s="209"/>
      <c r="AH34" s="187" t="s">
        <v>1545</v>
      </c>
      <c r="AI34" s="307"/>
    </row>
    <row r="35" spans="1:35">
      <c r="AF35" s="211"/>
      <c r="AG35" s="211"/>
    </row>
    <row r="36" spans="1:35">
      <c r="AF36" s="211"/>
      <c r="AG36" s="211"/>
    </row>
  </sheetData>
  <mergeCells count="1">
    <mergeCell ref="A1:AH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35151-F1CA-4EEC-83A5-399647C4F39A}">
  <dimension ref="A1:AN36"/>
  <sheetViews>
    <sheetView topLeftCell="P1" workbookViewId="0">
      <selection activeCell="AG22" sqref="AG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4" width="9.140625" style="144"/>
    <col min="35" max="35" width="12.85546875" style="144" customWidth="1"/>
    <col min="36" max="36" width="11" style="144" customWidth="1"/>
    <col min="37" max="37" width="11.42578125" style="144" customWidth="1"/>
    <col min="38" max="16384" width="9.140625" style="144"/>
  </cols>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44896</v>
      </c>
      <c r="C2" s="281">
        <v>44897</v>
      </c>
      <c r="D2" s="281">
        <v>44898</v>
      </c>
      <c r="E2" s="281">
        <v>44899</v>
      </c>
      <c r="F2" s="281">
        <v>44900</v>
      </c>
      <c r="G2" s="281">
        <v>44901</v>
      </c>
      <c r="H2" s="281">
        <v>44902</v>
      </c>
      <c r="I2" s="281">
        <v>44903</v>
      </c>
      <c r="J2" s="281">
        <v>44904</v>
      </c>
      <c r="K2" s="281">
        <v>44905</v>
      </c>
      <c r="L2" s="281">
        <v>44906</v>
      </c>
      <c r="M2" s="281">
        <v>44907</v>
      </c>
      <c r="N2" s="281">
        <v>44908</v>
      </c>
      <c r="O2" s="281">
        <v>44909</v>
      </c>
      <c r="P2" s="281">
        <v>44910</v>
      </c>
      <c r="Q2" s="281">
        <v>44911</v>
      </c>
      <c r="R2" s="281">
        <v>44912</v>
      </c>
      <c r="S2" s="281">
        <v>44913</v>
      </c>
      <c r="T2" s="281">
        <v>44914</v>
      </c>
      <c r="U2" s="281">
        <v>44915</v>
      </c>
      <c r="V2" s="281">
        <v>44916</v>
      </c>
      <c r="W2" s="281">
        <v>44917</v>
      </c>
      <c r="X2" s="281">
        <v>44918</v>
      </c>
      <c r="Y2" s="281">
        <v>44919</v>
      </c>
      <c r="Z2" s="281">
        <v>44920</v>
      </c>
      <c r="AA2" s="281">
        <v>44921</v>
      </c>
      <c r="AB2" s="281">
        <v>44922</v>
      </c>
      <c r="AC2" s="281">
        <v>44923</v>
      </c>
      <c r="AD2" s="281">
        <v>44924</v>
      </c>
      <c r="AE2" s="281">
        <v>44925</v>
      </c>
      <c r="AF2" s="281">
        <v>44926</v>
      </c>
      <c r="AG2" s="281"/>
      <c r="AH2" s="281"/>
      <c r="AI2" s="281">
        <v>44895</v>
      </c>
    </row>
    <row r="3" spans="1:40"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52</v>
      </c>
      <c r="AG3" s="271"/>
      <c r="AH3" s="317"/>
      <c r="AI3" s="283" t="s">
        <v>52</v>
      </c>
    </row>
    <row r="4" spans="1:40" ht="20.100000000000001" customHeight="1">
      <c r="A4" s="285" t="s">
        <v>54</v>
      </c>
      <c r="B4" s="383">
        <v>272200</v>
      </c>
      <c r="C4" s="383">
        <v>272413</v>
      </c>
      <c r="D4" s="383">
        <v>272618</v>
      </c>
      <c r="E4" s="383">
        <v>272835</v>
      </c>
      <c r="F4" s="383">
        <v>273051</v>
      </c>
      <c r="G4" s="383">
        <v>273268</v>
      </c>
      <c r="H4" s="349">
        <v>273485</v>
      </c>
      <c r="I4" s="212">
        <v>273699</v>
      </c>
      <c r="J4" s="349">
        <v>273911</v>
      </c>
      <c r="K4" s="349">
        <v>274126</v>
      </c>
      <c r="L4" s="349">
        <v>274319</v>
      </c>
      <c r="M4" s="383">
        <v>274534</v>
      </c>
      <c r="N4" s="383">
        <v>274748</v>
      </c>
      <c r="O4" s="383">
        <v>274957</v>
      </c>
      <c r="P4" s="383">
        <v>275171</v>
      </c>
      <c r="Q4" s="383">
        <v>275384</v>
      </c>
      <c r="R4" s="383">
        <v>275583</v>
      </c>
      <c r="S4" s="383">
        <v>275796</v>
      </c>
      <c r="T4" s="383">
        <v>276010</v>
      </c>
      <c r="U4" s="383">
        <v>276224</v>
      </c>
      <c r="V4" s="383">
        <v>276439</v>
      </c>
      <c r="W4" s="212">
        <v>276657</v>
      </c>
      <c r="X4" s="212">
        <v>276867</v>
      </c>
      <c r="Y4" s="212">
        <v>277075</v>
      </c>
      <c r="Z4" s="383">
        <v>277280</v>
      </c>
      <c r="AA4" s="383">
        <v>277492</v>
      </c>
      <c r="AB4" s="383">
        <v>277708</v>
      </c>
      <c r="AC4" s="383">
        <v>277927</v>
      </c>
      <c r="AD4" s="383">
        <v>278136</v>
      </c>
      <c r="AE4" s="383">
        <v>278346</v>
      </c>
      <c r="AF4" s="383">
        <v>278547</v>
      </c>
      <c r="AG4" s="287"/>
      <c r="AH4" s="287"/>
      <c r="AI4" s="383">
        <v>271979</v>
      </c>
      <c r="AJ4" s="318"/>
      <c r="AK4" s="318"/>
      <c r="AN4" s="288"/>
    </row>
    <row r="5" spans="1:40" ht="20.100000000000001" customHeight="1">
      <c r="A5" s="285" t="s">
        <v>55</v>
      </c>
      <c r="B5" s="383">
        <v>7372800</v>
      </c>
      <c r="C5" s="383">
        <v>7380220</v>
      </c>
      <c r="D5" s="383">
        <v>7387453</v>
      </c>
      <c r="E5" s="383">
        <v>7394965</v>
      </c>
      <c r="F5" s="383">
        <v>7402489</v>
      </c>
      <c r="G5" s="383">
        <v>7410121</v>
      </c>
      <c r="H5" s="349">
        <v>7417865</v>
      </c>
      <c r="I5" s="212">
        <v>7425419</v>
      </c>
      <c r="J5" s="349">
        <v>7433027</v>
      </c>
      <c r="K5" s="349">
        <v>7440454</v>
      </c>
      <c r="L5" s="349">
        <v>7447440</v>
      </c>
      <c r="M5" s="383">
        <v>7454983</v>
      </c>
      <c r="N5" s="383">
        <v>7462480</v>
      </c>
      <c r="O5" s="383">
        <v>7469860</v>
      </c>
      <c r="P5" s="383">
        <v>7477287</v>
      </c>
      <c r="Q5" s="383">
        <v>7484707</v>
      </c>
      <c r="R5" s="383">
        <v>7491716</v>
      </c>
      <c r="S5" s="383">
        <v>7498544</v>
      </c>
      <c r="T5" s="383">
        <v>7505473</v>
      </c>
      <c r="U5" s="383">
        <v>7512622</v>
      </c>
      <c r="V5" s="383">
        <v>7519850</v>
      </c>
      <c r="W5" s="212">
        <v>7527069</v>
      </c>
      <c r="X5" s="212">
        <v>7534127</v>
      </c>
      <c r="Y5" s="212">
        <v>7541065</v>
      </c>
      <c r="Z5" s="383">
        <v>7547898</v>
      </c>
      <c r="AA5" s="383">
        <v>7554969</v>
      </c>
      <c r="AB5" s="383">
        <v>7562075</v>
      </c>
      <c r="AC5" s="383">
        <v>7569423</v>
      </c>
      <c r="AD5" s="383">
        <v>7576555</v>
      </c>
      <c r="AE5" s="383">
        <v>7583654</v>
      </c>
      <c r="AF5" s="383">
        <v>7590256</v>
      </c>
      <c r="AG5" s="287"/>
      <c r="AH5" s="287"/>
      <c r="AI5" s="383">
        <v>7365116</v>
      </c>
      <c r="AJ5" s="318"/>
      <c r="AK5" s="318"/>
      <c r="AN5" s="288"/>
    </row>
    <row r="6" spans="1:40" ht="20.100000000000001" customHeight="1">
      <c r="A6" s="285" t="s">
        <v>56</v>
      </c>
      <c r="B6" s="383">
        <v>3540078</v>
      </c>
      <c r="C6" s="383">
        <v>3543184</v>
      </c>
      <c r="D6" s="383">
        <v>3546168</v>
      </c>
      <c r="E6" s="383">
        <v>3549311</v>
      </c>
      <c r="F6" s="383">
        <v>3552527</v>
      </c>
      <c r="G6" s="383">
        <v>3555756</v>
      </c>
      <c r="H6" s="349">
        <v>3558852</v>
      </c>
      <c r="I6" s="212">
        <v>3561935</v>
      </c>
      <c r="J6" s="349">
        <v>3565010</v>
      </c>
      <c r="K6" s="349">
        <v>3567979</v>
      </c>
      <c r="L6" s="349">
        <v>3570851</v>
      </c>
      <c r="M6" s="383">
        <v>3574179</v>
      </c>
      <c r="N6" s="383">
        <v>3577399</v>
      </c>
      <c r="O6" s="383">
        <v>3580765</v>
      </c>
      <c r="P6" s="383">
        <v>3584062</v>
      </c>
      <c r="Q6" s="383">
        <v>3587336</v>
      </c>
      <c r="R6" s="383">
        <v>3590398</v>
      </c>
      <c r="S6" s="383">
        <v>3593663</v>
      </c>
      <c r="T6" s="383">
        <v>3596806</v>
      </c>
      <c r="U6" s="383">
        <v>3600001</v>
      </c>
      <c r="V6" s="383">
        <v>3603168</v>
      </c>
      <c r="W6" s="212">
        <v>3606261</v>
      </c>
      <c r="X6" s="212">
        <v>3609488</v>
      </c>
      <c r="Y6" s="212">
        <v>3612810</v>
      </c>
      <c r="Z6" s="383">
        <v>3616104</v>
      </c>
      <c r="AA6" s="383">
        <v>3619628</v>
      </c>
      <c r="AB6" s="383">
        <v>3623051</v>
      </c>
      <c r="AC6" s="383">
        <v>3626884</v>
      </c>
      <c r="AD6" s="383">
        <v>3630394</v>
      </c>
      <c r="AE6" s="383">
        <v>3633972</v>
      </c>
      <c r="AF6" s="383">
        <v>3637320</v>
      </c>
      <c r="AG6" s="287"/>
      <c r="AH6" s="287"/>
      <c r="AI6" s="383">
        <v>3536802</v>
      </c>
      <c r="AJ6" s="318"/>
      <c r="AK6" s="318"/>
      <c r="AN6" s="288"/>
    </row>
    <row r="7" spans="1:40" ht="20.100000000000001" customHeight="1">
      <c r="A7" s="285" t="s">
        <v>57</v>
      </c>
      <c r="B7" s="383">
        <v>8631668</v>
      </c>
      <c r="C7" s="383">
        <v>8638602</v>
      </c>
      <c r="D7" s="383">
        <v>8644590</v>
      </c>
      <c r="E7" s="383">
        <v>8644665</v>
      </c>
      <c r="F7" s="383">
        <v>8644738</v>
      </c>
      <c r="G7" s="383">
        <v>8644811</v>
      </c>
      <c r="H7" s="349">
        <v>8644884</v>
      </c>
      <c r="I7" s="212">
        <v>8644957</v>
      </c>
      <c r="J7" s="349">
        <v>8646020</v>
      </c>
      <c r="K7" s="349">
        <v>8647375</v>
      </c>
      <c r="L7" s="349">
        <v>8654067</v>
      </c>
      <c r="M7" s="383">
        <v>8659923</v>
      </c>
      <c r="N7" s="383">
        <v>8665507</v>
      </c>
      <c r="O7" s="383">
        <v>8671024</v>
      </c>
      <c r="P7" s="403">
        <v>8676673</v>
      </c>
      <c r="Q7" s="403">
        <v>8682170</v>
      </c>
      <c r="R7" s="403">
        <v>8687666</v>
      </c>
      <c r="S7" s="383">
        <v>8687740</v>
      </c>
      <c r="T7" s="383">
        <v>8688512</v>
      </c>
      <c r="U7" s="383">
        <v>8688586</v>
      </c>
      <c r="V7" s="383">
        <v>8689160</v>
      </c>
      <c r="W7" s="212">
        <v>8690012</v>
      </c>
      <c r="X7" s="212">
        <v>8690087</v>
      </c>
      <c r="Y7" s="212">
        <v>8691102</v>
      </c>
      <c r="Z7" s="383">
        <v>8696806</v>
      </c>
      <c r="AA7" s="383">
        <v>8702583</v>
      </c>
      <c r="AB7" s="383">
        <v>8708120</v>
      </c>
      <c r="AC7" s="383">
        <v>8713942</v>
      </c>
      <c r="AD7" s="383">
        <v>8719299</v>
      </c>
      <c r="AE7" s="383">
        <v>8724250</v>
      </c>
      <c r="AF7" s="383">
        <v>8729972</v>
      </c>
      <c r="AG7" s="287"/>
      <c r="AH7" s="287"/>
      <c r="AI7" s="383">
        <v>8625248</v>
      </c>
      <c r="AJ7" s="318"/>
      <c r="AK7" s="318"/>
      <c r="AN7" s="288"/>
    </row>
    <row r="8" spans="1:40" ht="20.100000000000001" customHeight="1">
      <c r="A8" s="285" t="s">
        <v>58</v>
      </c>
      <c r="B8" s="383">
        <v>2761767</v>
      </c>
      <c r="C8" s="383">
        <v>2762350</v>
      </c>
      <c r="D8" s="383">
        <v>2763406</v>
      </c>
      <c r="E8" s="383">
        <v>2767292</v>
      </c>
      <c r="F8" s="383">
        <v>2770961</v>
      </c>
      <c r="G8" s="383">
        <v>2774940</v>
      </c>
      <c r="H8" s="349">
        <v>2778938</v>
      </c>
      <c r="I8" s="212">
        <v>2782765</v>
      </c>
      <c r="J8" s="349">
        <v>2786426</v>
      </c>
      <c r="K8" s="349">
        <v>2789690</v>
      </c>
      <c r="L8" s="349">
        <v>2790037</v>
      </c>
      <c r="M8" s="383">
        <v>2791924</v>
      </c>
      <c r="N8" s="383">
        <v>2793744</v>
      </c>
      <c r="O8" s="383">
        <v>2795559</v>
      </c>
      <c r="P8" s="403">
        <v>2797414</v>
      </c>
      <c r="Q8" s="403">
        <v>2799254</v>
      </c>
      <c r="R8" s="403">
        <v>2801093</v>
      </c>
      <c r="S8" s="383">
        <v>2803423</v>
      </c>
      <c r="T8" s="383">
        <v>2805880</v>
      </c>
      <c r="U8" s="383">
        <v>2809643</v>
      </c>
      <c r="V8" s="383">
        <v>2813243</v>
      </c>
      <c r="W8" s="212">
        <v>2816852</v>
      </c>
      <c r="X8" s="212">
        <v>2820780</v>
      </c>
      <c r="Y8" s="212">
        <v>2824410</v>
      </c>
      <c r="Z8" s="383">
        <v>2826259</v>
      </c>
      <c r="AA8" s="383">
        <v>2828140</v>
      </c>
      <c r="AB8" s="383">
        <v>2829986</v>
      </c>
      <c r="AC8" s="383">
        <v>2831892</v>
      </c>
      <c r="AD8" s="383">
        <v>2833648</v>
      </c>
      <c r="AE8" s="383">
        <v>2835286</v>
      </c>
      <c r="AF8" s="383">
        <v>2836760</v>
      </c>
      <c r="AG8" s="287"/>
      <c r="AH8" s="287"/>
      <c r="AI8" s="383">
        <v>2760298</v>
      </c>
      <c r="AJ8" s="318"/>
      <c r="AK8" s="318"/>
      <c r="AN8" s="288"/>
    </row>
    <row r="9" spans="1:40" ht="20.100000000000001" customHeight="1">
      <c r="A9" s="285" t="s">
        <v>59</v>
      </c>
      <c r="B9" s="384">
        <v>17755476</v>
      </c>
      <c r="C9" s="384">
        <v>17765317</v>
      </c>
      <c r="D9" s="384">
        <v>17775162</v>
      </c>
      <c r="E9" s="384">
        <v>17787927</v>
      </c>
      <c r="F9" s="384">
        <v>17800693</v>
      </c>
      <c r="G9" s="384">
        <v>17813626</v>
      </c>
      <c r="H9" s="352">
        <v>17826674</v>
      </c>
      <c r="I9" s="214">
        <v>17839385</v>
      </c>
      <c r="J9" s="352">
        <v>17851959</v>
      </c>
      <c r="K9" s="352">
        <v>17864243</v>
      </c>
      <c r="L9" s="352">
        <v>17873292</v>
      </c>
      <c r="M9" s="384">
        <v>17885520</v>
      </c>
      <c r="N9" s="384">
        <v>17897607</v>
      </c>
      <c r="O9" s="384">
        <v>17909608</v>
      </c>
      <c r="P9" s="384">
        <v>17922024</v>
      </c>
      <c r="Q9" s="384">
        <v>17934590</v>
      </c>
      <c r="R9" s="384">
        <v>17946432</v>
      </c>
      <c r="S9" s="384">
        <v>17955259</v>
      </c>
      <c r="T9" s="384">
        <v>17964876</v>
      </c>
      <c r="U9" s="384">
        <v>17977324</v>
      </c>
      <c r="V9" s="384">
        <v>17989706</v>
      </c>
      <c r="W9" s="214">
        <v>18001947</v>
      </c>
      <c r="X9" s="214">
        <v>18014188</v>
      </c>
      <c r="Y9" s="214">
        <v>18026629</v>
      </c>
      <c r="Z9" s="384">
        <v>18038561</v>
      </c>
      <c r="AA9" s="384">
        <v>18050524</v>
      </c>
      <c r="AB9" s="384">
        <v>18062752</v>
      </c>
      <c r="AC9" s="384">
        <v>18075270</v>
      </c>
      <c r="AD9" s="384">
        <v>18087112</v>
      </c>
      <c r="AE9" s="384">
        <v>18099011</v>
      </c>
      <c r="AF9" s="384">
        <v>18110814</v>
      </c>
      <c r="AG9" s="290"/>
      <c r="AH9" s="290"/>
      <c r="AI9" s="384">
        <v>17743149</v>
      </c>
      <c r="AJ9" s="318"/>
      <c r="AK9" s="318"/>
      <c r="AN9" s="288"/>
    </row>
    <row r="10" spans="1:40" ht="20.100000000000001" customHeight="1">
      <c r="A10" s="285" t="s">
        <v>60</v>
      </c>
      <c r="B10" s="383">
        <v>5547526</v>
      </c>
      <c r="C10" s="383">
        <v>5550860</v>
      </c>
      <c r="D10" s="383">
        <v>5553612</v>
      </c>
      <c r="E10" s="383">
        <v>5557017</v>
      </c>
      <c r="F10" s="383">
        <v>5560854</v>
      </c>
      <c r="G10" s="383">
        <v>5564697</v>
      </c>
      <c r="H10" s="349">
        <v>5568539</v>
      </c>
      <c r="I10" s="212">
        <v>5572306</v>
      </c>
      <c r="J10" s="349">
        <v>5575716</v>
      </c>
      <c r="K10" s="349">
        <v>5578583</v>
      </c>
      <c r="L10" s="349">
        <v>5581683</v>
      </c>
      <c r="M10" s="383">
        <v>5585545</v>
      </c>
      <c r="N10" s="383">
        <v>5589293</v>
      </c>
      <c r="O10" s="383">
        <v>5593003</v>
      </c>
      <c r="P10" s="383">
        <v>5596765</v>
      </c>
      <c r="Q10" s="383">
        <v>5600131</v>
      </c>
      <c r="R10" s="383">
        <v>5602852</v>
      </c>
      <c r="S10" s="383">
        <v>5605794</v>
      </c>
      <c r="T10" s="383">
        <v>5609157</v>
      </c>
      <c r="U10" s="383">
        <v>5612925</v>
      </c>
      <c r="V10" s="383">
        <v>5616685</v>
      </c>
      <c r="W10" s="212">
        <v>5620477</v>
      </c>
      <c r="X10" s="212">
        <v>5623882</v>
      </c>
      <c r="Y10" s="212">
        <v>5626788</v>
      </c>
      <c r="Z10" s="383">
        <v>5629932</v>
      </c>
      <c r="AA10" s="383">
        <v>5633841</v>
      </c>
      <c r="AB10" s="383">
        <v>5637524</v>
      </c>
      <c r="AC10" s="383">
        <v>5641331</v>
      </c>
      <c r="AD10" s="383">
        <v>5644099</v>
      </c>
      <c r="AE10" s="383">
        <v>5648130</v>
      </c>
      <c r="AF10" s="383">
        <v>5650738</v>
      </c>
      <c r="AG10" s="287"/>
      <c r="AH10" s="287"/>
      <c r="AI10" s="383">
        <v>5543592</v>
      </c>
      <c r="AJ10" s="318"/>
      <c r="AK10" s="318"/>
      <c r="AN10" s="288"/>
    </row>
    <row r="11" spans="1:40" ht="22.5" customHeight="1">
      <c r="A11" s="285" t="s">
        <v>61</v>
      </c>
      <c r="B11" s="383">
        <v>214403</v>
      </c>
      <c r="C11" s="383">
        <v>214582</v>
      </c>
      <c r="D11" s="383">
        <v>214751</v>
      </c>
      <c r="E11" s="383">
        <v>214933</v>
      </c>
      <c r="F11" s="383">
        <v>215107</v>
      </c>
      <c r="G11" s="383">
        <v>215285</v>
      </c>
      <c r="H11" s="349">
        <v>215463</v>
      </c>
      <c r="I11" s="212">
        <v>215637</v>
      </c>
      <c r="J11" s="349">
        <v>215812</v>
      </c>
      <c r="K11" s="349">
        <v>215977</v>
      </c>
      <c r="L11" s="349">
        <v>216138</v>
      </c>
      <c r="M11" s="383">
        <v>216299</v>
      </c>
      <c r="N11" s="383">
        <v>216477</v>
      </c>
      <c r="O11" s="383">
        <v>216650</v>
      </c>
      <c r="P11" s="383">
        <v>216823</v>
      </c>
      <c r="Q11" s="383">
        <v>216991</v>
      </c>
      <c r="R11" s="383">
        <v>217146</v>
      </c>
      <c r="S11" s="383">
        <v>217307</v>
      </c>
      <c r="T11" s="383">
        <v>217486</v>
      </c>
      <c r="U11" s="383">
        <v>217659</v>
      </c>
      <c r="V11" s="383">
        <v>217837</v>
      </c>
      <c r="W11" s="212">
        <v>218012</v>
      </c>
      <c r="X11" s="212">
        <v>218179</v>
      </c>
      <c r="Y11" s="212">
        <v>218345</v>
      </c>
      <c r="Z11" s="383">
        <v>218504</v>
      </c>
      <c r="AA11" s="383">
        <v>218687</v>
      </c>
      <c r="AB11" s="383">
        <v>218858</v>
      </c>
      <c r="AC11" s="383">
        <v>219036</v>
      </c>
      <c r="AD11" s="383">
        <v>219201</v>
      </c>
      <c r="AE11" s="383">
        <v>219364</v>
      </c>
      <c r="AF11" s="383">
        <v>219514</v>
      </c>
      <c r="AG11" s="287"/>
      <c r="AH11" s="287"/>
      <c r="AI11" s="383">
        <v>214222</v>
      </c>
      <c r="AJ11" s="318"/>
      <c r="AK11" s="318"/>
      <c r="AN11" s="288"/>
    </row>
    <row r="12" spans="1:40" s="294" customFormat="1" ht="18" customHeight="1">
      <c r="A12" s="291" t="s">
        <v>62</v>
      </c>
      <c r="B12" s="385"/>
      <c r="C12" s="385"/>
      <c r="D12" s="385"/>
      <c r="E12" s="385"/>
      <c r="F12" s="385"/>
      <c r="G12" s="385"/>
      <c r="H12" s="353"/>
      <c r="I12" s="162"/>
      <c r="J12" s="353"/>
      <c r="K12" s="353"/>
      <c r="L12" s="353"/>
      <c r="M12" s="385"/>
      <c r="N12" s="385"/>
      <c r="O12" s="385"/>
      <c r="P12" s="385"/>
      <c r="Q12" s="385"/>
      <c r="R12" s="385"/>
      <c r="S12" s="385"/>
      <c r="T12" s="385"/>
      <c r="U12" s="385"/>
      <c r="V12" s="385"/>
      <c r="W12" s="162"/>
      <c r="X12" s="162"/>
      <c r="Y12" s="162"/>
      <c r="Z12" s="385"/>
      <c r="AA12" s="385"/>
      <c r="AB12" s="385"/>
      <c r="AC12" s="385"/>
      <c r="AD12" s="385"/>
      <c r="AE12" s="385"/>
      <c r="AF12" s="385"/>
      <c r="AG12" s="293"/>
      <c r="AH12" s="293"/>
      <c r="AI12" s="385"/>
    </row>
    <row r="13" spans="1:40">
      <c r="A13" s="282" t="s">
        <v>63</v>
      </c>
      <c r="B13" s="386" t="s">
        <v>106</v>
      </c>
      <c r="C13" s="386" t="s">
        <v>106</v>
      </c>
      <c r="D13" s="386" t="s">
        <v>106</v>
      </c>
      <c r="E13" s="386" t="s">
        <v>106</v>
      </c>
      <c r="F13" s="386" t="s">
        <v>106</v>
      </c>
      <c r="G13" s="386" t="s">
        <v>106</v>
      </c>
      <c r="H13" s="354" t="s">
        <v>106</v>
      </c>
      <c r="I13" s="181" t="s">
        <v>106</v>
      </c>
      <c r="J13" s="354" t="s">
        <v>106</v>
      </c>
      <c r="K13" s="354" t="s">
        <v>106</v>
      </c>
      <c r="L13" s="354" t="s">
        <v>106</v>
      </c>
      <c r="M13" s="386" t="s">
        <v>106</v>
      </c>
      <c r="N13" s="386" t="s">
        <v>106</v>
      </c>
      <c r="O13" s="386" t="s">
        <v>106</v>
      </c>
      <c r="P13" s="386" t="s">
        <v>106</v>
      </c>
      <c r="Q13" s="386" t="s">
        <v>106</v>
      </c>
      <c r="R13" s="386" t="s">
        <v>106</v>
      </c>
      <c r="S13" s="386" t="s">
        <v>106</v>
      </c>
      <c r="T13" s="386" t="s">
        <v>106</v>
      </c>
      <c r="U13" s="386" t="s">
        <v>106</v>
      </c>
      <c r="V13" s="386" t="s">
        <v>106</v>
      </c>
      <c r="W13" s="181" t="s">
        <v>106</v>
      </c>
      <c r="X13" s="181" t="s">
        <v>106</v>
      </c>
      <c r="Y13" s="181" t="s">
        <v>64</v>
      </c>
      <c r="Z13" s="386" t="s">
        <v>64</v>
      </c>
      <c r="AA13" s="386" t="s">
        <v>64</v>
      </c>
      <c r="AB13" s="386" t="s">
        <v>64</v>
      </c>
      <c r="AC13" s="386" t="s">
        <v>64</v>
      </c>
      <c r="AD13" s="386" t="s">
        <v>64</v>
      </c>
      <c r="AE13" s="386" t="s">
        <v>64</v>
      </c>
      <c r="AF13" s="386" t="s">
        <v>64</v>
      </c>
      <c r="AG13" s="296"/>
      <c r="AH13" s="296"/>
      <c r="AI13" s="386" t="s">
        <v>106</v>
      </c>
    </row>
    <row r="14" spans="1:40">
      <c r="A14" s="282" t="s">
        <v>995</v>
      </c>
      <c r="B14" s="387">
        <v>278197.13</v>
      </c>
      <c r="C14" s="387">
        <v>278197.13</v>
      </c>
      <c r="D14" s="387">
        <v>278859.40999999997</v>
      </c>
      <c r="E14" s="387">
        <v>278859.40999999997</v>
      </c>
      <c r="F14" s="387">
        <v>278859.40999999997</v>
      </c>
      <c r="G14" s="387">
        <v>278859.40999999997</v>
      </c>
      <c r="H14" s="356">
        <v>278859.40999999997</v>
      </c>
      <c r="I14" s="182">
        <v>278859.40999999997</v>
      </c>
      <c r="J14" s="356">
        <v>278859.40999999997</v>
      </c>
      <c r="K14" s="356">
        <v>280857.38</v>
      </c>
      <c r="L14" s="356">
        <v>280857.38</v>
      </c>
      <c r="M14" s="387">
        <v>280857.38</v>
      </c>
      <c r="N14" s="387">
        <v>280857.38</v>
      </c>
      <c r="O14" s="387">
        <v>280857.38</v>
      </c>
      <c r="P14" s="387">
        <v>280857.38</v>
      </c>
      <c r="Q14" s="387">
        <v>280857.38</v>
      </c>
      <c r="R14" s="387">
        <v>281783.84000000003</v>
      </c>
      <c r="S14" s="387">
        <v>281783.84000000003</v>
      </c>
      <c r="T14" s="387">
        <v>281783.84000000003</v>
      </c>
      <c r="U14" s="387">
        <v>281783.84000000003</v>
      </c>
      <c r="V14" s="387">
        <v>281783.84000000003</v>
      </c>
      <c r="W14" s="182">
        <v>281783.84000000003</v>
      </c>
      <c r="X14" s="182">
        <v>281783.84000000003</v>
      </c>
      <c r="Y14" s="182">
        <v>282520.05</v>
      </c>
      <c r="Z14" s="387">
        <v>282520.05</v>
      </c>
      <c r="AA14" s="387">
        <v>282520.05</v>
      </c>
      <c r="AB14" s="387">
        <v>282520.05</v>
      </c>
      <c r="AC14" s="387">
        <v>282520.05</v>
      </c>
      <c r="AD14" s="387">
        <v>282520.05</v>
      </c>
      <c r="AE14" s="387">
        <v>282520.05</v>
      </c>
      <c r="AF14" s="387">
        <v>283578.61</v>
      </c>
      <c r="AG14" s="319"/>
      <c r="AH14" s="319"/>
      <c r="AI14" s="387">
        <v>278197.13</v>
      </c>
    </row>
    <row r="15" spans="1:40" ht="25.5">
      <c r="A15" s="282" t="s">
        <v>67</v>
      </c>
      <c r="B15" s="388">
        <v>1806</v>
      </c>
      <c r="C15" s="388">
        <v>1806</v>
      </c>
      <c r="D15" s="388">
        <v>1806</v>
      </c>
      <c r="E15" s="388">
        <v>1806</v>
      </c>
      <c r="F15" s="388">
        <v>1806</v>
      </c>
      <c r="G15" s="388">
        <v>1806</v>
      </c>
      <c r="H15" s="358">
        <v>1806</v>
      </c>
      <c r="I15" s="183">
        <v>1806</v>
      </c>
      <c r="J15" s="358">
        <v>1806</v>
      </c>
      <c r="K15" s="358">
        <v>1806</v>
      </c>
      <c r="L15" s="358">
        <v>1806</v>
      </c>
      <c r="M15" s="388">
        <v>1806</v>
      </c>
      <c r="N15" s="388">
        <v>1806</v>
      </c>
      <c r="O15" s="388">
        <v>1806</v>
      </c>
      <c r="P15" s="388">
        <v>1806</v>
      </c>
      <c r="Q15" s="388">
        <v>1806</v>
      </c>
      <c r="R15" s="388">
        <v>1806</v>
      </c>
      <c r="S15" s="388">
        <v>1806</v>
      </c>
      <c r="T15" s="388">
        <v>1806</v>
      </c>
      <c r="U15" s="388">
        <v>1806</v>
      </c>
      <c r="V15" s="388">
        <v>1806</v>
      </c>
      <c r="W15" s="183">
        <v>1806</v>
      </c>
      <c r="X15" s="183">
        <v>1806</v>
      </c>
      <c r="Y15" s="183">
        <v>1806</v>
      </c>
      <c r="Z15" s="388">
        <v>1806</v>
      </c>
      <c r="AA15" s="388">
        <v>1806</v>
      </c>
      <c r="AB15" s="388">
        <v>1806</v>
      </c>
      <c r="AC15" s="388">
        <v>1806</v>
      </c>
      <c r="AD15" s="388">
        <v>1806</v>
      </c>
      <c r="AE15" s="388">
        <v>1806</v>
      </c>
      <c r="AF15" s="388">
        <v>1806</v>
      </c>
      <c r="AG15" s="320"/>
      <c r="AH15" s="320"/>
      <c r="AI15" s="388">
        <v>1806</v>
      </c>
    </row>
    <row r="16" spans="1:40" ht="25.5">
      <c r="A16" s="282" t="s">
        <v>68</v>
      </c>
      <c r="B16" s="389">
        <v>7825</v>
      </c>
      <c r="C16" s="389">
        <v>7825</v>
      </c>
      <c r="D16" s="389">
        <v>7825</v>
      </c>
      <c r="E16" s="389">
        <v>7825</v>
      </c>
      <c r="F16" s="389">
        <v>7825</v>
      </c>
      <c r="G16" s="389">
        <v>7825</v>
      </c>
      <c r="H16" s="360">
        <v>7825</v>
      </c>
      <c r="I16" s="336">
        <v>7825</v>
      </c>
      <c r="J16" s="360">
        <v>7825</v>
      </c>
      <c r="K16" s="360">
        <v>7825</v>
      </c>
      <c r="L16" s="360">
        <v>7825</v>
      </c>
      <c r="M16" s="389">
        <v>7825</v>
      </c>
      <c r="N16" s="389">
        <v>7825</v>
      </c>
      <c r="O16" s="389">
        <v>7825</v>
      </c>
      <c r="P16" s="389">
        <v>7825</v>
      </c>
      <c r="Q16" s="389">
        <v>7825</v>
      </c>
      <c r="R16" s="389">
        <v>7825</v>
      </c>
      <c r="S16" s="389">
        <v>7825</v>
      </c>
      <c r="T16" s="389">
        <v>7825</v>
      </c>
      <c r="U16" s="389">
        <v>7825</v>
      </c>
      <c r="V16" s="389">
        <v>7825</v>
      </c>
      <c r="W16" s="336">
        <v>7825</v>
      </c>
      <c r="X16" s="336">
        <v>7825</v>
      </c>
      <c r="Y16" s="336">
        <v>7825</v>
      </c>
      <c r="Z16" s="389">
        <v>7825</v>
      </c>
      <c r="AA16" s="389">
        <v>7825</v>
      </c>
      <c r="AB16" s="389">
        <v>7825</v>
      </c>
      <c r="AC16" s="389">
        <v>7825</v>
      </c>
      <c r="AD16" s="389">
        <v>7825</v>
      </c>
      <c r="AE16" s="389">
        <v>7825</v>
      </c>
      <c r="AF16" s="389">
        <v>7825</v>
      </c>
      <c r="AG16" s="320"/>
      <c r="AH16" s="320"/>
      <c r="AI16" s="389">
        <v>7825</v>
      </c>
    </row>
    <row r="17" spans="1:36" ht="20.100000000000001" customHeight="1">
      <c r="A17" s="303"/>
      <c r="B17" s="385"/>
      <c r="C17" s="385"/>
      <c r="D17" s="385"/>
      <c r="E17" s="385"/>
      <c r="F17" s="385"/>
      <c r="G17" s="385"/>
      <c r="H17" s="353"/>
      <c r="I17" s="162"/>
      <c r="J17" s="353"/>
      <c r="K17" s="353"/>
      <c r="L17" s="353"/>
      <c r="M17" s="385"/>
      <c r="N17" s="385"/>
      <c r="O17" s="385"/>
      <c r="P17" s="385"/>
      <c r="Q17" s="385"/>
      <c r="R17" s="385"/>
      <c r="S17" s="385"/>
      <c r="T17" s="385"/>
      <c r="U17" s="385"/>
      <c r="V17" s="385"/>
      <c r="W17" s="162"/>
      <c r="X17" s="162"/>
      <c r="Y17" s="162"/>
      <c r="Z17" s="385"/>
      <c r="AA17" s="385"/>
      <c r="AB17" s="385"/>
      <c r="AC17" s="385"/>
      <c r="AD17" s="385"/>
      <c r="AE17" s="385"/>
      <c r="AF17" s="385"/>
      <c r="AG17" s="304"/>
      <c r="AH17" s="304"/>
      <c r="AI17" s="385"/>
    </row>
    <row r="18" spans="1:36">
      <c r="A18" s="282" t="s">
        <v>69</v>
      </c>
      <c r="B18" s="386" t="s">
        <v>106</v>
      </c>
      <c r="C18" s="386" t="s">
        <v>106</v>
      </c>
      <c r="D18" s="386" t="s">
        <v>106</v>
      </c>
      <c r="E18" s="386" t="s">
        <v>106</v>
      </c>
      <c r="F18" s="386" t="s">
        <v>106</v>
      </c>
      <c r="G18" s="386" t="s">
        <v>106</v>
      </c>
      <c r="H18" s="354" t="s">
        <v>106</v>
      </c>
      <c r="I18" s="181" t="s">
        <v>106</v>
      </c>
      <c r="J18" s="354" t="s">
        <v>106</v>
      </c>
      <c r="K18" s="354" t="s">
        <v>106</v>
      </c>
      <c r="L18" s="354" t="s">
        <v>106</v>
      </c>
      <c r="M18" s="386" t="s">
        <v>106</v>
      </c>
      <c r="N18" s="386" t="s">
        <v>106</v>
      </c>
      <c r="O18" s="386" t="s">
        <v>106</v>
      </c>
      <c r="P18" s="386" t="s">
        <v>106</v>
      </c>
      <c r="Q18" s="386" t="s">
        <v>106</v>
      </c>
      <c r="R18" s="386" t="s">
        <v>106</v>
      </c>
      <c r="S18" s="386" t="s">
        <v>106</v>
      </c>
      <c r="T18" s="386" t="s">
        <v>106</v>
      </c>
      <c r="U18" s="386" t="s">
        <v>106</v>
      </c>
      <c r="V18" s="386" t="s">
        <v>106</v>
      </c>
      <c r="W18" s="181" t="s">
        <v>106</v>
      </c>
      <c r="X18" s="181" t="s">
        <v>106</v>
      </c>
      <c r="Y18" s="181" t="s">
        <v>106</v>
      </c>
      <c r="Z18" s="386" t="s">
        <v>106</v>
      </c>
      <c r="AA18" s="386" t="s">
        <v>106</v>
      </c>
      <c r="AB18" s="386" t="s">
        <v>106</v>
      </c>
      <c r="AC18" s="386" t="s">
        <v>106</v>
      </c>
      <c r="AD18" s="386" t="s">
        <v>106</v>
      </c>
      <c r="AE18" s="386" t="s">
        <v>106</v>
      </c>
      <c r="AF18" s="386" t="s">
        <v>106</v>
      </c>
      <c r="AG18" s="296"/>
      <c r="AH18" s="296"/>
      <c r="AI18" s="386" t="s">
        <v>106</v>
      </c>
    </row>
    <row r="19" spans="1:36" ht="25.5">
      <c r="A19" s="282" t="s">
        <v>70</v>
      </c>
      <c r="B19" s="390">
        <v>70202.7</v>
      </c>
      <c r="C19" s="390">
        <v>70245.8</v>
      </c>
      <c r="D19" s="390">
        <v>70245.8</v>
      </c>
      <c r="E19" s="390">
        <v>70261.399999999994</v>
      </c>
      <c r="F19" s="390">
        <v>70292.7</v>
      </c>
      <c r="G19" s="390">
        <v>70325.600000000006</v>
      </c>
      <c r="H19" s="362">
        <v>70357.8</v>
      </c>
      <c r="I19" s="186">
        <v>70387.600000000006</v>
      </c>
      <c r="J19" s="362">
        <v>70416.100000000006</v>
      </c>
      <c r="K19" s="362">
        <v>70416.100000000006</v>
      </c>
      <c r="L19" s="362">
        <v>70428.399999999994</v>
      </c>
      <c r="M19" s="390">
        <v>70463.100000000006</v>
      </c>
      <c r="N19" s="390">
        <v>70499.100000000006</v>
      </c>
      <c r="O19" s="390">
        <v>70528.100000000006</v>
      </c>
      <c r="P19" s="390">
        <v>70556.3</v>
      </c>
      <c r="Q19" s="390">
        <v>70580.5</v>
      </c>
      <c r="R19" s="390">
        <v>70580.5</v>
      </c>
      <c r="S19" s="390">
        <v>70593.8</v>
      </c>
      <c r="T19" s="390">
        <v>70593.8</v>
      </c>
      <c r="U19" s="390">
        <v>70628.2</v>
      </c>
      <c r="V19" s="390">
        <v>70660.899999999994</v>
      </c>
      <c r="W19" s="186">
        <v>70684.3</v>
      </c>
      <c r="X19" s="186">
        <v>70711.100000000006</v>
      </c>
      <c r="Y19" s="186">
        <v>70711.100000000006</v>
      </c>
      <c r="Z19" s="390">
        <v>70711.100000000006</v>
      </c>
      <c r="AA19" s="390">
        <v>70731.600000000006</v>
      </c>
      <c r="AB19" s="390">
        <v>70731.600000000006</v>
      </c>
      <c r="AC19" s="390">
        <v>70780.899999999994</v>
      </c>
      <c r="AD19" s="390">
        <v>70800.600000000006</v>
      </c>
      <c r="AE19" s="390">
        <v>70822</v>
      </c>
      <c r="AF19" s="390">
        <v>70822</v>
      </c>
      <c r="AG19" s="321"/>
      <c r="AH19" s="321"/>
      <c r="AI19" s="390">
        <v>70178.5</v>
      </c>
      <c r="AJ19" s="307"/>
    </row>
    <row r="20" spans="1:36" ht="25.5">
      <c r="A20" s="282" t="s">
        <v>71</v>
      </c>
      <c r="B20" s="388" t="s">
        <v>1307</v>
      </c>
      <c r="C20" s="388" t="s">
        <v>1307</v>
      </c>
      <c r="D20" s="388" t="s">
        <v>1307</v>
      </c>
      <c r="E20" s="388" t="s">
        <v>1307</v>
      </c>
      <c r="F20" s="388" t="s">
        <v>1307</v>
      </c>
      <c r="G20" s="388" t="s">
        <v>1307</v>
      </c>
      <c r="H20" s="358" t="s">
        <v>1307</v>
      </c>
      <c r="I20" s="183" t="s">
        <v>1307</v>
      </c>
      <c r="J20" s="358" t="s">
        <v>1307</v>
      </c>
      <c r="K20" s="358" t="s">
        <v>1307</v>
      </c>
      <c r="L20" s="358" t="s">
        <v>1307</v>
      </c>
      <c r="M20" s="388" t="s">
        <v>1307</v>
      </c>
      <c r="N20" s="388" t="s">
        <v>1307</v>
      </c>
      <c r="O20" s="388" t="s">
        <v>1307</v>
      </c>
      <c r="P20" s="388" t="s">
        <v>1307</v>
      </c>
      <c r="Q20" s="388" t="s">
        <v>1307</v>
      </c>
      <c r="R20" s="388" t="s">
        <v>1307</v>
      </c>
      <c r="S20" s="388" t="s">
        <v>1307</v>
      </c>
      <c r="T20" s="388" t="s">
        <v>1307</v>
      </c>
      <c r="U20" s="388" t="s">
        <v>1307</v>
      </c>
      <c r="V20" s="388" t="s">
        <v>1307</v>
      </c>
      <c r="W20" s="183" t="s">
        <v>1307</v>
      </c>
      <c r="X20" s="183" t="s">
        <v>1307</v>
      </c>
      <c r="Y20" s="183" t="s">
        <v>1307</v>
      </c>
      <c r="Z20" s="388" t="s">
        <v>1307</v>
      </c>
      <c r="AA20" s="388" t="s">
        <v>1307</v>
      </c>
      <c r="AB20" s="388" t="s">
        <v>1307</v>
      </c>
      <c r="AC20" s="388" t="s">
        <v>1307</v>
      </c>
      <c r="AD20" s="388" t="s">
        <v>1307</v>
      </c>
      <c r="AE20" s="388" t="s">
        <v>1307</v>
      </c>
      <c r="AF20" s="388" t="s">
        <v>1307</v>
      </c>
      <c r="AG20" s="209"/>
      <c r="AH20" s="209"/>
      <c r="AI20" s="388" t="s">
        <v>1307</v>
      </c>
      <c r="AJ20" s="307"/>
    </row>
    <row r="21" spans="1:36">
      <c r="A21" s="282" t="s">
        <v>72</v>
      </c>
      <c r="B21" s="388">
        <v>122774</v>
      </c>
      <c r="C21" s="388">
        <v>122774</v>
      </c>
      <c r="D21" s="388">
        <v>123632</v>
      </c>
      <c r="E21" s="388">
        <v>123632</v>
      </c>
      <c r="F21" s="388">
        <v>123632</v>
      </c>
      <c r="G21" s="388">
        <v>123632</v>
      </c>
      <c r="H21" s="358">
        <v>123632</v>
      </c>
      <c r="I21" s="183">
        <v>123632</v>
      </c>
      <c r="J21" s="358">
        <v>123632</v>
      </c>
      <c r="K21" s="358">
        <v>124499</v>
      </c>
      <c r="L21" s="358">
        <v>124499</v>
      </c>
      <c r="M21" s="388">
        <v>124499</v>
      </c>
      <c r="N21" s="388">
        <v>124499</v>
      </c>
      <c r="O21" s="388">
        <v>124499</v>
      </c>
      <c r="P21" s="388">
        <v>124499</v>
      </c>
      <c r="Q21" s="388">
        <v>124499</v>
      </c>
      <c r="R21" s="388">
        <v>125288</v>
      </c>
      <c r="S21" s="388">
        <v>125288</v>
      </c>
      <c r="T21" s="388">
        <v>125288</v>
      </c>
      <c r="U21" s="388">
        <v>125288</v>
      </c>
      <c r="V21" s="388">
        <v>125288</v>
      </c>
      <c r="W21" s="183">
        <v>125288</v>
      </c>
      <c r="X21" s="183">
        <v>125288</v>
      </c>
      <c r="Y21" s="183">
        <v>126044</v>
      </c>
      <c r="Z21" s="388">
        <v>126044</v>
      </c>
      <c r="AA21" s="388">
        <v>126044</v>
      </c>
      <c r="AB21" s="388">
        <v>126044</v>
      </c>
      <c r="AC21" s="388">
        <v>126044</v>
      </c>
      <c r="AD21" s="388">
        <v>126044</v>
      </c>
      <c r="AE21" s="388">
        <v>126044</v>
      </c>
      <c r="AF21" s="388">
        <v>126728</v>
      </c>
      <c r="AG21" s="321"/>
      <c r="AH21" s="321"/>
      <c r="AI21" s="388">
        <v>122774</v>
      </c>
      <c r="AJ21" s="307"/>
    </row>
    <row r="22" spans="1:36">
      <c r="A22" s="282" t="s">
        <v>73</v>
      </c>
      <c r="B22" s="391">
        <v>171123</v>
      </c>
      <c r="C22" s="391">
        <v>171200</v>
      </c>
      <c r="D22" s="391">
        <v>171277</v>
      </c>
      <c r="E22" s="391">
        <v>171350</v>
      </c>
      <c r="F22" s="391">
        <v>171434</v>
      </c>
      <c r="G22" s="391">
        <v>171516</v>
      </c>
      <c r="H22" s="364">
        <v>171604</v>
      </c>
      <c r="I22" s="322">
        <v>171684</v>
      </c>
      <c r="J22" s="364">
        <v>171763</v>
      </c>
      <c r="K22" s="364">
        <v>171839</v>
      </c>
      <c r="L22" s="364">
        <v>171892</v>
      </c>
      <c r="M22" s="391">
        <v>171956</v>
      </c>
      <c r="N22" s="391">
        <v>172033</v>
      </c>
      <c r="O22" s="391">
        <v>172093</v>
      </c>
      <c r="P22" s="391">
        <v>172167</v>
      </c>
      <c r="Q22" s="391">
        <v>172235</v>
      </c>
      <c r="R22" s="391">
        <v>172306</v>
      </c>
      <c r="S22" s="391">
        <v>172365</v>
      </c>
      <c r="T22" s="391">
        <v>172426</v>
      </c>
      <c r="U22" s="391">
        <v>172496</v>
      </c>
      <c r="V22" s="391">
        <v>172568</v>
      </c>
      <c r="W22" s="322">
        <v>172634</v>
      </c>
      <c r="X22" s="322">
        <v>172707</v>
      </c>
      <c r="Y22" s="322">
        <v>172779</v>
      </c>
      <c r="Z22" s="391">
        <v>172846</v>
      </c>
      <c r="AA22" s="391">
        <v>172916</v>
      </c>
      <c r="AB22" s="391">
        <v>172916</v>
      </c>
      <c r="AC22" s="391">
        <v>173039</v>
      </c>
      <c r="AD22" s="391">
        <v>173095</v>
      </c>
      <c r="AE22" s="391">
        <v>173151</v>
      </c>
      <c r="AF22" s="391">
        <v>173217</v>
      </c>
      <c r="AG22" s="321">
        <f>AF22-AI22</f>
        <v>2174</v>
      </c>
      <c r="AH22" s="321"/>
      <c r="AI22" s="391">
        <v>171043</v>
      </c>
      <c r="AJ22" s="307"/>
    </row>
    <row r="23" spans="1:36">
      <c r="A23" s="309" t="s">
        <v>136</v>
      </c>
      <c r="B23" s="388">
        <v>4718</v>
      </c>
      <c r="C23" s="388">
        <v>4718</v>
      </c>
      <c r="D23" s="388">
        <v>4733</v>
      </c>
      <c r="E23" s="388">
        <v>4733</v>
      </c>
      <c r="F23" s="388">
        <v>4733</v>
      </c>
      <c r="G23" s="388">
        <v>4733</v>
      </c>
      <c r="H23" s="358">
        <v>4733</v>
      </c>
      <c r="I23" s="183">
        <v>4733</v>
      </c>
      <c r="J23" s="358">
        <v>4733</v>
      </c>
      <c r="K23" s="358">
        <v>4768</v>
      </c>
      <c r="L23" s="358">
        <v>4768</v>
      </c>
      <c r="M23" s="388">
        <v>4768</v>
      </c>
      <c r="N23" s="388">
        <v>4768</v>
      </c>
      <c r="O23" s="388">
        <v>4768</v>
      </c>
      <c r="P23" s="388">
        <v>4768</v>
      </c>
      <c r="Q23" s="388">
        <v>4768</v>
      </c>
      <c r="R23" s="388">
        <v>4839</v>
      </c>
      <c r="S23" s="388">
        <v>4839</v>
      </c>
      <c r="T23" s="388">
        <v>4839</v>
      </c>
      <c r="U23" s="388">
        <v>4839</v>
      </c>
      <c r="V23" s="388">
        <v>4839</v>
      </c>
      <c r="W23" s="183">
        <v>4839</v>
      </c>
      <c r="X23" s="183">
        <v>4839</v>
      </c>
      <c r="Y23" s="183">
        <v>4951</v>
      </c>
      <c r="Z23" s="388">
        <v>4951</v>
      </c>
      <c r="AA23" s="388">
        <v>4951</v>
      </c>
      <c r="AB23" s="388">
        <v>4951</v>
      </c>
      <c r="AC23" s="388">
        <v>4951</v>
      </c>
      <c r="AD23" s="388">
        <v>4951</v>
      </c>
      <c r="AE23" s="388">
        <v>4951</v>
      </c>
      <c r="AF23" s="388">
        <v>5169</v>
      </c>
      <c r="AG23" s="323">
        <f>AF23-B23</f>
        <v>451</v>
      </c>
      <c r="AH23" s="208">
        <v>451</v>
      </c>
      <c r="AI23" s="388">
        <v>4718</v>
      </c>
      <c r="AJ23" s="307"/>
    </row>
    <row r="24" spans="1:36">
      <c r="A24" s="309" t="s">
        <v>139</v>
      </c>
      <c r="B24" s="388">
        <v>4353</v>
      </c>
      <c r="C24" s="388">
        <v>4353</v>
      </c>
      <c r="D24" s="388">
        <v>4364</v>
      </c>
      <c r="E24" s="388">
        <v>4364</v>
      </c>
      <c r="F24" s="388">
        <v>4364</v>
      </c>
      <c r="G24" s="388">
        <v>4364</v>
      </c>
      <c r="H24" s="358">
        <v>4364</v>
      </c>
      <c r="I24" s="183">
        <v>4364</v>
      </c>
      <c r="J24" s="358">
        <v>4364</v>
      </c>
      <c r="K24" s="358">
        <v>4382</v>
      </c>
      <c r="L24" s="358">
        <v>4382</v>
      </c>
      <c r="M24" s="388">
        <v>4382</v>
      </c>
      <c r="N24" s="388">
        <v>4382</v>
      </c>
      <c r="O24" s="388">
        <v>4382</v>
      </c>
      <c r="P24" s="388">
        <v>4382</v>
      </c>
      <c r="Q24" s="388">
        <v>4382</v>
      </c>
      <c r="R24" s="388">
        <v>4395</v>
      </c>
      <c r="S24" s="388">
        <v>4395</v>
      </c>
      <c r="T24" s="388">
        <v>4395</v>
      </c>
      <c r="U24" s="388">
        <v>4395</v>
      </c>
      <c r="V24" s="388">
        <v>4395</v>
      </c>
      <c r="W24" s="183">
        <v>4395</v>
      </c>
      <c r="X24" s="183">
        <v>4395</v>
      </c>
      <c r="Y24" s="183">
        <v>4435</v>
      </c>
      <c r="Z24" s="388">
        <v>4435</v>
      </c>
      <c r="AA24" s="388">
        <v>4435</v>
      </c>
      <c r="AB24" s="388">
        <v>4435</v>
      </c>
      <c r="AC24" s="388">
        <v>4435</v>
      </c>
      <c r="AD24" s="388">
        <v>4435</v>
      </c>
      <c r="AE24" s="388">
        <v>4435</v>
      </c>
      <c r="AF24" s="388">
        <v>4499</v>
      </c>
      <c r="AG24" s="323">
        <f t="shared" ref="AG24:AG29" si="0">AF24-B24</f>
        <v>146</v>
      </c>
      <c r="AH24" s="208">
        <v>146</v>
      </c>
      <c r="AI24" s="388">
        <v>4353</v>
      </c>
      <c r="AJ24" s="307"/>
    </row>
    <row r="25" spans="1:36">
      <c r="A25" s="309" t="s">
        <v>142</v>
      </c>
      <c r="B25" s="388">
        <v>1818</v>
      </c>
      <c r="C25" s="388">
        <v>1818</v>
      </c>
      <c r="D25" s="388">
        <v>1821</v>
      </c>
      <c r="E25" s="388">
        <v>1821</v>
      </c>
      <c r="F25" s="388">
        <v>1821</v>
      </c>
      <c r="G25" s="388">
        <v>1821</v>
      </c>
      <c r="H25" s="358">
        <v>1821</v>
      </c>
      <c r="I25" s="183">
        <v>1821</v>
      </c>
      <c r="J25" s="358">
        <v>1821</v>
      </c>
      <c r="K25" s="358">
        <v>1827</v>
      </c>
      <c r="L25" s="358">
        <v>1827</v>
      </c>
      <c r="M25" s="388">
        <v>1827</v>
      </c>
      <c r="N25" s="388">
        <v>1827</v>
      </c>
      <c r="O25" s="388">
        <v>1827</v>
      </c>
      <c r="P25" s="388">
        <v>1827</v>
      </c>
      <c r="Q25" s="388">
        <v>1827</v>
      </c>
      <c r="R25" s="388">
        <v>1831</v>
      </c>
      <c r="S25" s="388">
        <v>1831</v>
      </c>
      <c r="T25" s="388">
        <v>1831</v>
      </c>
      <c r="U25" s="388">
        <v>1831</v>
      </c>
      <c r="V25" s="388">
        <v>1831</v>
      </c>
      <c r="W25" s="183">
        <v>1831</v>
      </c>
      <c r="X25" s="183">
        <v>1831</v>
      </c>
      <c r="Y25" s="183">
        <v>1850</v>
      </c>
      <c r="Z25" s="388">
        <v>1850</v>
      </c>
      <c r="AA25" s="388">
        <v>1850</v>
      </c>
      <c r="AB25" s="388">
        <v>1850</v>
      </c>
      <c r="AC25" s="388">
        <v>1850</v>
      </c>
      <c r="AD25" s="388">
        <v>1850</v>
      </c>
      <c r="AE25" s="388">
        <v>1850</v>
      </c>
      <c r="AF25" s="388">
        <v>1866</v>
      </c>
      <c r="AG25" s="323">
        <f t="shared" si="0"/>
        <v>48</v>
      </c>
      <c r="AH25" s="208">
        <v>48</v>
      </c>
      <c r="AI25" s="388">
        <v>1818</v>
      </c>
      <c r="AJ25" s="307"/>
    </row>
    <row r="26" spans="1:36">
      <c r="A26" s="309" t="s">
        <v>145</v>
      </c>
      <c r="B26" s="388">
        <v>594</v>
      </c>
      <c r="C26" s="388">
        <v>594</v>
      </c>
      <c r="D26" s="388">
        <v>602</v>
      </c>
      <c r="E26" s="388">
        <v>602</v>
      </c>
      <c r="F26" s="388">
        <v>602</v>
      </c>
      <c r="G26" s="388">
        <v>602</v>
      </c>
      <c r="H26" s="358">
        <v>602</v>
      </c>
      <c r="I26" s="183">
        <v>602</v>
      </c>
      <c r="J26" s="358">
        <v>602</v>
      </c>
      <c r="K26" s="358">
        <v>610</v>
      </c>
      <c r="L26" s="358">
        <v>610</v>
      </c>
      <c r="M26" s="388">
        <v>610</v>
      </c>
      <c r="N26" s="388">
        <v>610</v>
      </c>
      <c r="O26" s="388">
        <v>610</v>
      </c>
      <c r="P26" s="388">
        <v>610</v>
      </c>
      <c r="Q26" s="388">
        <v>610</v>
      </c>
      <c r="R26" s="388">
        <v>619</v>
      </c>
      <c r="S26" s="388">
        <v>619</v>
      </c>
      <c r="T26" s="388">
        <v>619</v>
      </c>
      <c r="U26" s="388">
        <v>619</v>
      </c>
      <c r="V26" s="388">
        <v>619</v>
      </c>
      <c r="W26" s="183">
        <v>619</v>
      </c>
      <c r="X26" s="183">
        <v>619</v>
      </c>
      <c r="Y26" s="183">
        <v>632</v>
      </c>
      <c r="Z26" s="388">
        <v>632</v>
      </c>
      <c r="AA26" s="388">
        <v>632</v>
      </c>
      <c r="AB26" s="388">
        <v>632</v>
      </c>
      <c r="AC26" s="388">
        <v>632</v>
      </c>
      <c r="AD26" s="388">
        <v>632</v>
      </c>
      <c r="AE26" s="388">
        <v>632</v>
      </c>
      <c r="AF26" s="388">
        <v>644</v>
      </c>
      <c r="AG26" s="323">
        <f t="shared" si="0"/>
        <v>50</v>
      </c>
      <c r="AH26" s="208">
        <v>50</v>
      </c>
      <c r="AI26" s="388">
        <v>594</v>
      </c>
      <c r="AJ26" s="307"/>
    </row>
    <row r="27" spans="1:36">
      <c r="A27" s="309" t="s">
        <v>148</v>
      </c>
      <c r="B27" s="388">
        <v>6234</v>
      </c>
      <c r="C27" s="388">
        <v>6234</v>
      </c>
      <c r="D27" s="388">
        <v>6272</v>
      </c>
      <c r="E27" s="388">
        <v>6272</v>
      </c>
      <c r="F27" s="388">
        <v>6272</v>
      </c>
      <c r="G27" s="388">
        <v>6272</v>
      </c>
      <c r="H27" s="358">
        <v>6272</v>
      </c>
      <c r="I27" s="183">
        <v>6272</v>
      </c>
      <c r="J27" s="358">
        <v>6272</v>
      </c>
      <c r="K27" s="358">
        <v>6336</v>
      </c>
      <c r="L27" s="358">
        <v>6336</v>
      </c>
      <c r="M27" s="388">
        <v>6336</v>
      </c>
      <c r="N27" s="388">
        <v>6336</v>
      </c>
      <c r="O27" s="388">
        <v>6336</v>
      </c>
      <c r="P27" s="388">
        <v>6336</v>
      </c>
      <c r="Q27" s="388">
        <v>6336</v>
      </c>
      <c r="R27" s="388">
        <v>6408</v>
      </c>
      <c r="S27" s="388">
        <v>6408</v>
      </c>
      <c r="T27" s="388">
        <v>6408</v>
      </c>
      <c r="U27" s="388">
        <v>6408</v>
      </c>
      <c r="V27" s="388">
        <v>6408</v>
      </c>
      <c r="W27" s="183">
        <v>6408</v>
      </c>
      <c r="X27" s="183">
        <v>6408</v>
      </c>
      <c r="Y27" s="183">
        <v>6457</v>
      </c>
      <c r="Z27" s="388">
        <v>6457</v>
      </c>
      <c r="AA27" s="388">
        <v>6457</v>
      </c>
      <c r="AB27" s="388">
        <v>6457</v>
      </c>
      <c r="AC27" s="388">
        <v>6457</v>
      </c>
      <c r="AD27" s="388">
        <v>6457</v>
      </c>
      <c r="AE27" s="388">
        <v>6457</v>
      </c>
      <c r="AF27" s="388">
        <v>6546</v>
      </c>
      <c r="AG27" s="323">
        <f t="shared" si="0"/>
        <v>312</v>
      </c>
      <c r="AH27" s="208">
        <v>312</v>
      </c>
      <c r="AI27" s="388">
        <v>6234</v>
      </c>
      <c r="AJ27" s="307"/>
    </row>
    <row r="28" spans="1:36">
      <c r="A28" s="309" t="s">
        <v>151</v>
      </c>
      <c r="B28" s="388">
        <v>1085</v>
      </c>
      <c r="C28" s="388">
        <v>1085</v>
      </c>
      <c r="D28" s="388">
        <v>1097</v>
      </c>
      <c r="E28" s="388">
        <v>1097</v>
      </c>
      <c r="F28" s="388">
        <v>1097</v>
      </c>
      <c r="G28" s="388">
        <v>1097</v>
      </c>
      <c r="H28" s="358">
        <v>1097</v>
      </c>
      <c r="I28" s="183">
        <v>1097</v>
      </c>
      <c r="J28" s="358">
        <v>1097</v>
      </c>
      <c r="K28" s="358">
        <v>1108</v>
      </c>
      <c r="L28" s="358">
        <v>1108</v>
      </c>
      <c r="M28" s="388">
        <v>1108</v>
      </c>
      <c r="N28" s="388">
        <v>1108</v>
      </c>
      <c r="O28" s="388">
        <v>1108</v>
      </c>
      <c r="P28" s="388">
        <v>1108</v>
      </c>
      <c r="Q28" s="388">
        <v>1108</v>
      </c>
      <c r="R28" s="388">
        <v>1120</v>
      </c>
      <c r="S28" s="388">
        <v>1120</v>
      </c>
      <c r="T28" s="388">
        <v>1120</v>
      </c>
      <c r="U28" s="388">
        <v>1120</v>
      </c>
      <c r="V28" s="388">
        <v>1120</v>
      </c>
      <c r="W28" s="183">
        <v>1120</v>
      </c>
      <c r="X28" s="183">
        <v>1120</v>
      </c>
      <c r="Y28" s="183">
        <v>1129</v>
      </c>
      <c r="Z28" s="388">
        <v>1129</v>
      </c>
      <c r="AA28" s="388">
        <v>1129</v>
      </c>
      <c r="AB28" s="388">
        <v>1129</v>
      </c>
      <c r="AC28" s="388">
        <v>1129</v>
      </c>
      <c r="AD28" s="388">
        <v>1129</v>
      </c>
      <c r="AE28" s="388">
        <v>1129</v>
      </c>
      <c r="AF28" s="388">
        <v>1140</v>
      </c>
      <c r="AG28" s="323">
        <f t="shared" si="0"/>
        <v>55</v>
      </c>
      <c r="AH28" s="208">
        <v>55</v>
      </c>
      <c r="AI28" s="388">
        <v>1085</v>
      </c>
      <c r="AJ28" s="307"/>
    </row>
    <row r="29" spans="1:36">
      <c r="A29" s="309" t="s">
        <v>154</v>
      </c>
      <c r="B29" s="388">
        <v>512</v>
      </c>
      <c r="C29" s="388">
        <v>512</v>
      </c>
      <c r="D29" s="388">
        <v>518</v>
      </c>
      <c r="E29" s="388">
        <v>518</v>
      </c>
      <c r="F29" s="388">
        <v>518</v>
      </c>
      <c r="G29" s="388">
        <v>518</v>
      </c>
      <c r="H29" s="358">
        <v>518</v>
      </c>
      <c r="I29" s="183">
        <v>518</v>
      </c>
      <c r="J29" s="358">
        <v>518</v>
      </c>
      <c r="K29" s="358">
        <v>525</v>
      </c>
      <c r="L29" s="358">
        <v>525</v>
      </c>
      <c r="M29" s="388">
        <v>525</v>
      </c>
      <c r="N29" s="388">
        <v>525</v>
      </c>
      <c r="O29" s="388">
        <v>525</v>
      </c>
      <c r="P29" s="388">
        <v>525</v>
      </c>
      <c r="Q29" s="388">
        <v>525</v>
      </c>
      <c r="R29" s="388">
        <v>532</v>
      </c>
      <c r="S29" s="388">
        <v>532</v>
      </c>
      <c r="T29" s="388">
        <v>532</v>
      </c>
      <c r="U29" s="388">
        <v>532</v>
      </c>
      <c r="V29" s="388">
        <v>532</v>
      </c>
      <c r="W29" s="183">
        <v>532</v>
      </c>
      <c r="X29" s="183">
        <v>532</v>
      </c>
      <c r="Y29" s="183">
        <v>539</v>
      </c>
      <c r="Z29" s="388">
        <v>539</v>
      </c>
      <c r="AA29" s="388">
        <v>539</v>
      </c>
      <c r="AB29" s="388">
        <v>539</v>
      </c>
      <c r="AC29" s="388">
        <v>539</v>
      </c>
      <c r="AD29" s="388">
        <v>539</v>
      </c>
      <c r="AE29" s="388">
        <v>539</v>
      </c>
      <c r="AF29" s="388">
        <v>548</v>
      </c>
      <c r="AG29" s="323">
        <f t="shared" si="0"/>
        <v>36</v>
      </c>
      <c r="AH29" s="208">
        <v>36</v>
      </c>
      <c r="AI29" s="388">
        <v>512</v>
      </c>
      <c r="AJ29" s="307"/>
    </row>
    <row r="30" spans="1:36">
      <c r="A30" s="303"/>
      <c r="B30" s="385"/>
      <c r="C30" s="385"/>
      <c r="D30" s="385"/>
      <c r="E30" s="385"/>
      <c r="F30" s="385"/>
      <c r="G30" s="385"/>
      <c r="H30" s="353"/>
      <c r="I30" s="162"/>
      <c r="J30" s="353"/>
      <c r="K30" s="353"/>
      <c r="L30" s="353"/>
      <c r="M30" s="385"/>
      <c r="N30" s="385"/>
      <c r="O30" s="385"/>
      <c r="P30" s="385"/>
      <c r="Q30" s="385"/>
      <c r="R30" s="385"/>
      <c r="S30" s="385"/>
      <c r="T30" s="385"/>
      <c r="U30" s="385"/>
      <c r="V30" s="385"/>
      <c r="W30" s="162"/>
      <c r="X30" s="162"/>
      <c r="Y30" s="162"/>
      <c r="Z30" s="385"/>
      <c r="AA30" s="385"/>
      <c r="AB30" s="385"/>
      <c r="AC30" s="385"/>
      <c r="AD30" s="385"/>
      <c r="AE30" s="385"/>
      <c r="AF30" s="385"/>
      <c r="AG30" s="304"/>
      <c r="AH30" s="304"/>
      <c r="AI30" s="385"/>
      <c r="AJ30" s="307"/>
    </row>
    <row r="31" spans="1:36">
      <c r="A31" s="282" t="s">
        <v>74</v>
      </c>
      <c r="B31" s="386" t="s">
        <v>157</v>
      </c>
      <c r="C31" s="386" t="s">
        <v>157</v>
      </c>
      <c r="D31" s="386" t="s">
        <v>157</v>
      </c>
      <c r="E31" s="386" t="s">
        <v>157</v>
      </c>
      <c r="F31" s="386" t="s">
        <v>157</v>
      </c>
      <c r="G31" s="386" t="s">
        <v>157</v>
      </c>
      <c r="H31" s="354" t="s">
        <v>157</v>
      </c>
      <c r="I31" s="181" t="s">
        <v>157</v>
      </c>
      <c r="J31" s="354" t="s">
        <v>157</v>
      </c>
      <c r="K31" s="354" t="s">
        <v>157</v>
      </c>
      <c r="L31" s="354" t="s">
        <v>157</v>
      </c>
      <c r="M31" s="386" t="s">
        <v>157</v>
      </c>
      <c r="N31" s="386" t="s">
        <v>157</v>
      </c>
      <c r="O31" s="386" t="s">
        <v>157</v>
      </c>
      <c r="P31" s="386" t="s">
        <v>157</v>
      </c>
      <c r="Q31" s="386" t="s">
        <v>157</v>
      </c>
      <c r="R31" s="386" t="s">
        <v>157</v>
      </c>
      <c r="S31" s="386" t="s">
        <v>157</v>
      </c>
      <c r="T31" s="386" t="s">
        <v>157</v>
      </c>
      <c r="U31" s="386" t="s">
        <v>157</v>
      </c>
      <c r="V31" s="386" t="s">
        <v>157</v>
      </c>
      <c r="W31" s="181" t="s">
        <v>157</v>
      </c>
      <c r="X31" s="181" t="s">
        <v>157</v>
      </c>
      <c r="Y31" s="181" t="s">
        <v>157</v>
      </c>
      <c r="Z31" s="386" t="s">
        <v>157</v>
      </c>
      <c r="AA31" s="386" t="s">
        <v>157</v>
      </c>
      <c r="AB31" s="386" t="s">
        <v>157</v>
      </c>
      <c r="AC31" s="386" t="s">
        <v>157</v>
      </c>
      <c r="AD31" s="386" t="s">
        <v>157</v>
      </c>
      <c r="AE31" s="386" t="s">
        <v>157</v>
      </c>
      <c r="AF31" s="386" t="s">
        <v>157</v>
      </c>
      <c r="AG31" s="296"/>
      <c r="AH31" s="296"/>
      <c r="AI31" s="386" t="s">
        <v>157</v>
      </c>
      <c r="AJ31" s="307"/>
    </row>
    <row r="32" spans="1:36" ht="25.5">
      <c r="A32" s="282" t="s">
        <v>77</v>
      </c>
      <c r="B32" s="392" t="s">
        <v>78</v>
      </c>
      <c r="C32" s="392" t="s">
        <v>78</v>
      </c>
      <c r="D32" s="392" t="s">
        <v>78</v>
      </c>
      <c r="E32" s="392" t="s">
        <v>78</v>
      </c>
      <c r="F32" s="392" t="s">
        <v>78</v>
      </c>
      <c r="G32" s="392" t="s">
        <v>78</v>
      </c>
      <c r="H32" s="365" t="s">
        <v>78</v>
      </c>
      <c r="I32" s="190" t="s">
        <v>78</v>
      </c>
      <c r="J32" s="365" t="s">
        <v>78</v>
      </c>
      <c r="K32" s="365" t="s">
        <v>78</v>
      </c>
      <c r="L32" s="365" t="s">
        <v>78</v>
      </c>
      <c r="M32" s="392" t="s">
        <v>78</v>
      </c>
      <c r="N32" s="392" t="s">
        <v>78</v>
      </c>
      <c r="O32" s="392" t="s">
        <v>78</v>
      </c>
      <c r="P32" s="392" t="s">
        <v>78</v>
      </c>
      <c r="Q32" s="392" t="s">
        <v>78</v>
      </c>
      <c r="R32" s="392" t="s">
        <v>78</v>
      </c>
      <c r="S32" s="392" t="s">
        <v>78</v>
      </c>
      <c r="T32" s="392" t="s">
        <v>78</v>
      </c>
      <c r="U32" s="392" t="s">
        <v>78</v>
      </c>
      <c r="V32" s="392" t="s">
        <v>78</v>
      </c>
      <c r="W32" s="190" t="s">
        <v>78</v>
      </c>
      <c r="X32" s="190" t="s">
        <v>78</v>
      </c>
      <c r="Y32" s="190" t="s">
        <v>78</v>
      </c>
      <c r="Z32" s="392" t="s">
        <v>78</v>
      </c>
      <c r="AA32" s="392" t="s">
        <v>78</v>
      </c>
      <c r="AB32" s="392" t="s">
        <v>78</v>
      </c>
      <c r="AC32" s="392" t="s">
        <v>78</v>
      </c>
      <c r="AD32" s="392" t="s">
        <v>78</v>
      </c>
      <c r="AE32" s="392" t="s">
        <v>78</v>
      </c>
      <c r="AF32" s="392" t="s">
        <v>78</v>
      </c>
      <c r="AG32" s="209"/>
      <c r="AH32" s="209"/>
      <c r="AI32" s="392" t="s">
        <v>78</v>
      </c>
      <c r="AJ32" s="307"/>
    </row>
    <row r="33" spans="1:36" ht="25.5">
      <c r="A33" s="282" t="s">
        <v>80</v>
      </c>
      <c r="B33" s="393" t="s">
        <v>1323</v>
      </c>
      <c r="C33" s="393" t="s">
        <v>1557</v>
      </c>
      <c r="D33" s="393" t="s">
        <v>1320</v>
      </c>
      <c r="E33" s="393" t="s">
        <v>1320</v>
      </c>
      <c r="F33" s="393" t="s">
        <v>1367</v>
      </c>
      <c r="G33" s="393" t="s">
        <v>1317</v>
      </c>
      <c r="H33" s="366" t="s">
        <v>1558</v>
      </c>
      <c r="I33" s="187" t="s">
        <v>1317</v>
      </c>
      <c r="J33" s="366" t="s">
        <v>1559</v>
      </c>
      <c r="K33" s="366" t="s">
        <v>1315</v>
      </c>
      <c r="L33" s="366" t="s">
        <v>1314</v>
      </c>
      <c r="M33" s="393" t="s">
        <v>1560</v>
      </c>
      <c r="N33" s="393" t="s">
        <v>1312</v>
      </c>
      <c r="O33" s="393" t="s">
        <v>1311</v>
      </c>
      <c r="P33" s="393" t="s">
        <v>1561</v>
      </c>
      <c r="Q33" s="393" t="s">
        <v>1562</v>
      </c>
      <c r="R33" s="393" t="s">
        <v>1309</v>
      </c>
      <c r="S33" s="393" t="s">
        <v>1328</v>
      </c>
      <c r="T33" s="393" t="s">
        <v>1356</v>
      </c>
      <c r="U33" s="393" t="s">
        <v>1348</v>
      </c>
      <c r="V33" s="393" t="s">
        <v>1346</v>
      </c>
      <c r="W33" s="187" t="s">
        <v>1373</v>
      </c>
      <c r="X33" s="187" t="s">
        <v>1347</v>
      </c>
      <c r="Y33" s="187" t="s">
        <v>1345</v>
      </c>
      <c r="Z33" s="393" t="s">
        <v>1343</v>
      </c>
      <c r="AA33" s="393" t="s">
        <v>1343</v>
      </c>
      <c r="AB33" s="393" t="s">
        <v>1342</v>
      </c>
      <c r="AC33" s="393" t="s">
        <v>1341</v>
      </c>
      <c r="AD33" s="393" t="s">
        <v>1379</v>
      </c>
      <c r="AE33" s="393" t="s">
        <v>1563</v>
      </c>
      <c r="AF33" s="393" t="s">
        <v>1339</v>
      </c>
      <c r="AG33" s="209"/>
      <c r="AH33" s="209"/>
      <c r="AI33" s="393" t="s">
        <v>1323</v>
      </c>
      <c r="AJ33" s="307"/>
    </row>
    <row r="34" spans="1:36" ht="15.75" thickBot="1">
      <c r="A34" s="310" t="s">
        <v>81</v>
      </c>
      <c r="B34" s="393" t="s">
        <v>1545</v>
      </c>
      <c r="C34" s="393" t="s">
        <v>1545</v>
      </c>
      <c r="D34" s="393" t="s">
        <v>1545</v>
      </c>
      <c r="E34" s="393" t="s">
        <v>1545</v>
      </c>
      <c r="F34" s="393" t="s">
        <v>1545</v>
      </c>
      <c r="G34" s="393" t="s">
        <v>1545</v>
      </c>
      <c r="H34" s="366" t="s">
        <v>1545</v>
      </c>
      <c r="I34" s="187" t="s">
        <v>1545</v>
      </c>
      <c r="J34" s="366" t="s">
        <v>1545</v>
      </c>
      <c r="K34" s="366" t="s">
        <v>1545</v>
      </c>
      <c r="L34" s="366" t="s">
        <v>1545</v>
      </c>
      <c r="M34" s="393" t="s">
        <v>1545</v>
      </c>
      <c r="N34" s="393" t="s">
        <v>1545</v>
      </c>
      <c r="O34" s="393" t="s">
        <v>1545</v>
      </c>
      <c r="P34" s="393" t="s">
        <v>1545</v>
      </c>
      <c r="Q34" s="393" t="s">
        <v>1545</v>
      </c>
      <c r="R34" s="393" t="s">
        <v>1545</v>
      </c>
      <c r="S34" s="393" t="s">
        <v>1564</v>
      </c>
      <c r="T34" s="393" t="s">
        <v>1564</v>
      </c>
      <c r="U34" s="393" t="s">
        <v>1564</v>
      </c>
      <c r="V34" s="393" t="s">
        <v>1564</v>
      </c>
      <c r="W34" s="187" t="s">
        <v>1564</v>
      </c>
      <c r="X34" s="187" t="s">
        <v>1564</v>
      </c>
      <c r="Y34" s="187" t="s">
        <v>1564</v>
      </c>
      <c r="Z34" s="393" t="s">
        <v>1565</v>
      </c>
      <c r="AA34" s="393" t="s">
        <v>1565</v>
      </c>
      <c r="AB34" s="393" t="s">
        <v>1417</v>
      </c>
      <c r="AC34" s="393" t="s">
        <v>1417</v>
      </c>
      <c r="AD34" s="393" t="s">
        <v>1417</v>
      </c>
      <c r="AE34" s="393" t="s">
        <v>1564</v>
      </c>
      <c r="AF34" s="393" t="s">
        <v>1417</v>
      </c>
      <c r="AG34" s="209"/>
      <c r="AH34" s="209"/>
      <c r="AI34" s="393" t="s">
        <v>1545</v>
      </c>
      <c r="AJ34" s="307"/>
    </row>
    <row r="35" spans="1:36">
      <c r="AG35" s="211"/>
      <c r="AH35" s="211"/>
    </row>
    <row r="36" spans="1:36">
      <c r="AG36" s="211"/>
      <c r="AH36" s="211"/>
    </row>
  </sheetData>
  <mergeCells count="1">
    <mergeCell ref="A1:AI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4C94-8351-474B-8A73-D6BDDF2876E7}">
  <dimension ref="A1:AN36"/>
  <sheetViews>
    <sheetView topLeftCell="R1" workbookViewId="0">
      <selection activeCell="AJ22" sqref="AJ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4" width="9.140625" style="144"/>
    <col min="35" max="35" width="12.85546875" style="144" customWidth="1"/>
    <col min="36" max="36" width="11" style="144" customWidth="1"/>
    <col min="37" max="37" width="11.42578125" style="144" customWidth="1"/>
    <col min="38" max="16384" width="9.140625" style="144"/>
  </cols>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44927</v>
      </c>
      <c r="C2" s="281">
        <v>44928</v>
      </c>
      <c r="D2" s="281">
        <v>44929</v>
      </c>
      <c r="E2" s="281">
        <v>44930</v>
      </c>
      <c r="F2" s="281">
        <v>44931</v>
      </c>
      <c r="G2" s="281">
        <v>44932</v>
      </c>
      <c r="H2" s="281">
        <v>44933</v>
      </c>
      <c r="I2" s="281">
        <v>44934</v>
      </c>
      <c r="J2" s="281">
        <v>44935</v>
      </c>
      <c r="K2" s="281">
        <v>44936</v>
      </c>
      <c r="L2" s="281">
        <v>44937</v>
      </c>
      <c r="M2" s="281">
        <v>44938</v>
      </c>
      <c r="N2" s="281">
        <v>44939</v>
      </c>
      <c r="O2" s="281">
        <v>44940</v>
      </c>
      <c r="P2" s="281">
        <v>44941</v>
      </c>
      <c r="Q2" s="281">
        <v>44942</v>
      </c>
      <c r="R2" s="281">
        <v>44943</v>
      </c>
      <c r="S2" s="281">
        <v>44944</v>
      </c>
      <c r="T2" s="281">
        <v>44945</v>
      </c>
      <c r="U2" s="281">
        <v>44946</v>
      </c>
      <c r="V2" s="281">
        <v>44947</v>
      </c>
      <c r="W2" s="281">
        <v>44948</v>
      </c>
      <c r="X2" s="281">
        <v>44949</v>
      </c>
      <c r="Y2" s="281">
        <v>44950</v>
      </c>
      <c r="Z2" s="281">
        <v>44951</v>
      </c>
      <c r="AA2" s="281">
        <v>44952</v>
      </c>
      <c r="AB2" s="281">
        <v>44953</v>
      </c>
      <c r="AC2" s="281">
        <v>44954</v>
      </c>
      <c r="AD2" s="281">
        <v>44955</v>
      </c>
      <c r="AE2" s="281">
        <v>44956</v>
      </c>
      <c r="AF2" s="281">
        <v>44957</v>
      </c>
      <c r="AG2" s="281"/>
      <c r="AH2" s="281"/>
      <c r="AI2" s="281">
        <v>44926</v>
      </c>
    </row>
    <row r="3" spans="1:40"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52</v>
      </c>
      <c r="AG3" s="271"/>
      <c r="AH3" s="317"/>
      <c r="AI3" s="283" t="s">
        <v>52</v>
      </c>
    </row>
    <row r="4" spans="1:40" ht="20.100000000000001" customHeight="1">
      <c r="A4" s="285" t="s">
        <v>54</v>
      </c>
      <c r="B4" s="383">
        <v>278752</v>
      </c>
      <c r="C4" s="383">
        <v>278965</v>
      </c>
      <c r="D4" s="383">
        <v>279181</v>
      </c>
      <c r="E4" s="383">
        <v>279394</v>
      </c>
      <c r="F4" s="383">
        <v>279605</v>
      </c>
      <c r="G4" s="383">
        <v>279815</v>
      </c>
      <c r="H4" s="383">
        <v>280012</v>
      </c>
      <c r="I4" s="383">
        <v>280220</v>
      </c>
      <c r="J4" s="383">
        <v>280437</v>
      </c>
      <c r="K4" s="383">
        <v>280645</v>
      </c>
      <c r="L4" s="383">
        <v>280859</v>
      </c>
      <c r="M4" s="383">
        <v>281072</v>
      </c>
      <c r="N4" s="383">
        <v>281281</v>
      </c>
      <c r="O4" s="383">
        <v>281485</v>
      </c>
      <c r="P4" s="383">
        <v>281689</v>
      </c>
      <c r="Q4" s="383">
        <v>281913</v>
      </c>
      <c r="R4" s="383">
        <v>282124</v>
      </c>
      <c r="S4" s="383">
        <v>282341</v>
      </c>
      <c r="T4" s="383">
        <v>282555</v>
      </c>
      <c r="U4" s="383">
        <v>282770</v>
      </c>
      <c r="V4" s="383">
        <v>282971</v>
      </c>
      <c r="W4" s="383">
        <v>283180</v>
      </c>
      <c r="X4" s="383">
        <v>283396</v>
      </c>
      <c r="Y4" s="383">
        <v>283613</v>
      </c>
      <c r="Z4" s="383">
        <v>283828</v>
      </c>
      <c r="AA4" s="383">
        <v>284048</v>
      </c>
      <c r="AB4" s="383">
        <v>284257</v>
      </c>
      <c r="AC4" s="383">
        <v>284458</v>
      </c>
      <c r="AD4" s="349">
        <v>284663</v>
      </c>
      <c r="AE4" s="349">
        <v>284879</v>
      </c>
      <c r="AF4" s="349">
        <v>285093</v>
      </c>
      <c r="AG4" s="287"/>
      <c r="AH4" s="287"/>
      <c r="AI4" s="383">
        <v>278547</v>
      </c>
      <c r="AJ4" s="318"/>
      <c r="AK4" s="318"/>
      <c r="AN4" s="288"/>
    </row>
    <row r="5" spans="1:40" ht="20.100000000000001" customHeight="1">
      <c r="A5" s="285" t="s">
        <v>55</v>
      </c>
      <c r="B5" s="383">
        <v>7597141</v>
      </c>
      <c r="C5" s="383">
        <v>7604431</v>
      </c>
      <c r="D5" s="383">
        <v>7611650</v>
      </c>
      <c r="E5" s="383">
        <v>7618837</v>
      </c>
      <c r="F5" s="383">
        <v>7626058</v>
      </c>
      <c r="G5" s="383">
        <v>7634322</v>
      </c>
      <c r="H5" s="383">
        <v>7639487</v>
      </c>
      <c r="I5" s="383">
        <v>7646427</v>
      </c>
      <c r="J5" s="383">
        <v>7653803</v>
      </c>
      <c r="K5" s="383">
        <v>7660821</v>
      </c>
      <c r="L5" s="383">
        <v>7667956</v>
      </c>
      <c r="M5" s="383">
        <v>7675090</v>
      </c>
      <c r="N5" s="383">
        <v>7681861</v>
      </c>
      <c r="O5" s="383">
        <v>7688425</v>
      </c>
      <c r="P5" s="383">
        <v>7694980</v>
      </c>
      <c r="Q5" s="383">
        <v>7702499</v>
      </c>
      <c r="R5" s="383">
        <v>7709614</v>
      </c>
      <c r="S5" s="383">
        <v>7717213</v>
      </c>
      <c r="T5" s="383">
        <v>7724399</v>
      </c>
      <c r="U5" s="383">
        <v>7731365</v>
      </c>
      <c r="V5" s="383">
        <v>7737666</v>
      </c>
      <c r="W5" s="383">
        <v>7744409</v>
      </c>
      <c r="X5" s="383">
        <v>7751587</v>
      </c>
      <c r="Y5" s="383">
        <v>7758912</v>
      </c>
      <c r="Z5" s="383">
        <v>7766084</v>
      </c>
      <c r="AA5" s="383">
        <v>7773440</v>
      </c>
      <c r="AB5" s="383">
        <v>7780304</v>
      </c>
      <c r="AC5" s="383">
        <v>7786710</v>
      </c>
      <c r="AD5" s="349">
        <v>7793139</v>
      </c>
      <c r="AE5" s="349">
        <v>7799959</v>
      </c>
      <c r="AF5" s="349">
        <v>7806827</v>
      </c>
      <c r="AG5" s="287"/>
      <c r="AH5" s="287"/>
      <c r="AI5" s="383">
        <v>7590256</v>
      </c>
      <c r="AJ5" s="318"/>
      <c r="AK5" s="318"/>
      <c r="AN5" s="288"/>
    </row>
    <row r="6" spans="1:40" ht="20.100000000000001" customHeight="1">
      <c r="A6" s="285" t="s">
        <v>56</v>
      </c>
      <c r="B6" s="383">
        <v>3640686</v>
      </c>
      <c r="C6" s="383">
        <v>3644211</v>
      </c>
      <c r="D6" s="383">
        <v>3647587</v>
      </c>
      <c r="E6" s="383">
        <v>3650873</v>
      </c>
      <c r="F6" s="383">
        <v>3654154</v>
      </c>
      <c r="G6" s="383">
        <v>3657394</v>
      </c>
      <c r="H6" s="383">
        <v>3660444</v>
      </c>
      <c r="I6" s="383">
        <v>3663750</v>
      </c>
      <c r="J6" s="383">
        <v>3667350</v>
      </c>
      <c r="K6" s="383">
        <v>3670689</v>
      </c>
      <c r="L6" s="383">
        <v>3674254</v>
      </c>
      <c r="M6" s="383">
        <v>3677921</v>
      </c>
      <c r="N6" s="383">
        <v>3681370</v>
      </c>
      <c r="O6" s="383">
        <v>3684789</v>
      </c>
      <c r="P6" s="383">
        <v>3688292</v>
      </c>
      <c r="Q6" s="383">
        <v>3691966</v>
      </c>
      <c r="R6" s="383">
        <v>3695297</v>
      </c>
      <c r="S6" s="383">
        <v>3698749</v>
      </c>
      <c r="T6" s="383">
        <v>3702372</v>
      </c>
      <c r="U6" s="383">
        <v>3705801</v>
      </c>
      <c r="V6" s="383">
        <v>3708954</v>
      </c>
      <c r="W6" s="383">
        <v>3712249</v>
      </c>
      <c r="X6" s="383">
        <v>3715800</v>
      </c>
      <c r="Y6" s="383">
        <v>3719357</v>
      </c>
      <c r="Z6" s="383">
        <v>3722883</v>
      </c>
      <c r="AA6" s="383">
        <v>3726505</v>
      </c>
      <c r="AB6" s="383">
        <v>3729737</v>
      </c>
      <c r="AC6" s="383">
        <v>3732734</v>
      </c>
      <c r="AD6" s="349">
        <v>3735872</v>
      </c>
      <c r="AE6" s="349">
        <v>3739383</v>
      </c>
      <c r="AF6" s="349">
        <v>3742900</v>
      </c>
      <c r="AG6" s="287"/>
      <c r="AH6" s="287"/>
      <c r="AI6" s="383">
        <v>3637320</v>
      </c>
      <c r="AJ6" s="318"/>
      <c r="AK6" s="318"/>
      <c r="AN6" s="288"/>
    </row>
    <row r="7" spans="1:40" ht="20.100000000000001" customHeight="1">
      <c r="A7" s="285" t="s">
        <v>57</v>
      </c>
      <c r="B7" s="383">
        <v>8740024</v>
      </c>
      <c r="C7" s="383">
        <v>8750857</v>
      </c>
      <c r="D7" s="383">
        <v>8761683</v>
      </c>
      <c r="E7" s="383">
        <v>8772125</v>
      </c>
      <c r="F7" s="383">
        <v>8782616</v>
      </c>
      <c r="G7" s="383">
        <v>8793068</v>
      </c>
      <c r="H7" s="383">
        <v>8802679</v>
      </c>
      <c r="I7" s="383">
        <v>8808011</v>
      </c>
      <c r="J7" s="383">
        <v>8814540</v>
      </c>
      <c r="K7" s="383">
        <v>8814609</v>
      </c>
      <c r="L7" s="383">
        <v>8814682</v>
      </c>
      <c r="M7" s="383">
        <v>8821427</v>
      </c>
      <c r="N7" s="383">
        <v>8822117</v>
      </c>
      <c r="O7" s="383">
        <v>8822197</v>
      </c>
      <c r="P7" s="383">
        <v>8823758</v>
      </c>
      <c r="Q7" s="383">
        <v>8823839</v>
      </c>
      <c r="R7" s="383">
        <v>8823914</v>
      </c>
      <c r="S7" s="383">
        <v>8823991</v>
      </c>
      <c r="T7" s="383">
        <v>8824067</v>
      </c>
      <c r="U7" s="383">
        <v>8824143</v>
      </c>
      <c r="V7" s="383">
        <v>8824785</v>
      </c>
      <c r="W7" s="383">
        <v>8828391</v>
      </c>
      <c r="X7" s="383">
        <v>8832450</v>
      </c>
      <c r="Y7" s="383">
        <v>8833973</v>
      </c>
      <c r="Z7" s="383">
        <v>8834050</v>
      </c>
      <c r="AA7" s="383">
        <v>8838237</v>
      </c>
      <c r="AB7" s="383">
        <v>8843733</v>
      </c>
      <c r="AC7" s="383">
        <v>8848012</v>
      </c>
      <c r="AD7" s="349">
        <v>8852025</v>
      </c>
      <c r="AE7" s="349">
        <v>8856088</v>
      </c>
      <c r="AF7" s="349">
        <v>8860720</v>
      </c>
      <c r="AG7" s="287"/>
      <c r="AH7" s="287"/>
      <c r="AI7" s="383">
        <v>8729972</v>
      </c>
      <c r="AJ7" s="318"/>
      <c r="AK7" s="318"/>
      <c r="AN7" s="288"/>
    </row>
    <row r="8" spans="1:40" ht="20.100000000000001" customHeight="1">
      <c r="A8" s="285" t="s">
        <v>58</v>
      </c>
      <c r="B8" s="383">
        <v>2836760</v>
      </c>
      <c r="C8" s="383">
        <v>2836760</v>
      </c>
      <c r="D8" s="383">
        <v>2836760</v>
      </c>
      <c r="E8" s="383">
        <v>2836760</v>
      </c>
      <c r="F8" s="383">
        <v>2836760</v>
      </c>
      <c r="G8" s="383">
        <v>2836760</v>
      </c>
      <c r="H8" s="383">
        <v>2836899</v>
      </c>
      <c r="I8" s="383">
        <v>2837098</v>
      </c>
      <c r="J8" s="383">
        <v>2837156</v>
      </c>
      <c r="K8" s="383">
        <v>2839288</v>
      </c>
      <c r="L8" s="383">
        <v>2841435</v>
      </c>
      <c r="M8" s="383">
        <v>2841452</v>
      </c>
      <c r="N8" s="383">
        <v>2843362</v>
      </c>
      <c r="O8" s="383">
        <v>2845498</v>
      </c>
      <c r="P8" s="383">
        <v>2847539</v>
      </c>
      <c r="Q8" s="383">
        <v>2850704</v>
      </c>
      <c r="R8" s="383">
        <v>2853997</v>
      </c>
      <c r="S8" s="383">
        <v>2857164</v>
      </c>
      <c r="T8" s="383">
        <v>2859615</v>
      </c>
      <c r="U8" s="383">
        <v>2862110</v>
      </c>
      <c r="V8" s="383">
        <v>2864335</v>
      </c>
      <c r="W8" s="383">
        <v>2865512</v>
      </c>
      <c r="X8" s="383">
        <v>2866841</v>
      </c>
      <c r="Y8" s="383">
        <v>2868358</v>
      </c>
      <c r="Z8" s="383">
        <v>2870152</v>
      </c>
      <c r="AA8" s="383">
        <v>2870775</v>
      </c>
      <c r="AB8" s="383">
        <v>2870775</v>
      </c>
      <c r="AC8" s="383">
        <v>2870801</v>
      </c>
      <c r="AD8" s="349">
        <v>2870801</v>
      </c>
      <c r="AE8" s="349">
        <v>2870801</v>
      </c>
      <c r="AF8" s="349">
        <v>2870801</v>
      </c>
      <c r="AG8" s="287"/>
      <c r="AH8" s="287"/>
      <c r="AI8" s="383">
        <v>2836760</v>
      </c>
      <c r="AJ8" s="318"/>
      <c r="AK8" s="318"/>
      <c r="AN8" s="288"/>
    </row>
    <row r="9" spans="1:40" ht="20.100000000000001" customHeight="1">
      <c r="A9" s="285" t="s">
        <v>59</v>
      </c>
      <c r="B9" s="384">
        <v>18122981</v>
      </c>
      <c r="C9" s="384">
        <v>18135196</v>
      </c>
      <c r="D9" s="384">
        <v>18147589</v>
      </c>
      <c r="E9" s="384">
        <v>18160074</v>
      </c>
      <c r="F9" s="384">
        <v>18172566</v>
      </c>
      <c r="G9" s="384">
        <v>18185188</v>
      </c>
      <c r="H9" s="384">
        <v>18197441</v>
      </c>
      <c r="I9" s="384">
        <v>18207562</v>
      </c>
      <c r="J9" s="384">
        <v>18217409</v>
      </c>
      <c r="K9" s="384">
        <v>18226471</v>
      </c>
      <c r="L9" s="384">
        <v>18235621</v>
      </c>
      <c r="M9" s="384">
        <v>18244942</v>
      </c>
      <c r="N9" s="384">
        <v>18254241</v>
      </c>
      <c r="O9" s="384">
        <v>18263636</v>
      </c>
      <c r="P9" s="384">
        <v>18275198</v>
      </c>
      <c r="Q9" s="384">
        <v>18288583</v>
      </c>
      <c r="R9" s="384">
        <v>18301172</v>
      </c>
      <c r="S9" s="384">
        <v>18313954</v>
      </c>
      <c r="T9" s="384">
        <v>18326850</v>
      </c>
      <c r="U9" s="384">
        <v>18339694</v>
      </c>
      <c r="V9" s="384">
        <v>18351873</v>
      </c>
      <c r="W9" s="384">
        <v>18364337</v>
      </c>
      <c r="X9" s="384">
        <v>18376999</v>
      </c>
      <c r="Y9" s="384">
        <v>18386265</v>
      </c>
      <c r="Z9" s="384">
        <v>18395307</v>
      </c>
      <c r="AA9" s="384">
        <v>18405176</v>
      </c>
      <c r="AB9" s="384">
        <v>18414988</v>
      </c>
      <c r="AC9" s="384">
        <v>18424827</v>
      </c>
      <c r="AD9" s="352">
        <v>18433901</v>
      </c>
      <c r="AE9" s="352">
        <v>18443361</v>
      </c>
      <c r="AF9" s="352">
        <v>18452640</v>
      </c>
      <c r="AG9" s="290"/>
      <c r="AH9" s="290"/>
      <c r="AI9" s="384">
        <v>18110814</v>
      </c>
      <c r="AJ9" s="318"/>
      <c r="AK9" s="318"/>
      <c r="AN9" s="288"/>
    </row>
    <row r="10" spans="1:40" ht="20.100000000000001" customHeight="1">
      <c r="A10" s="285" t="s">
        <v>60</v>
      </c>
      <c r="B10" s="383">
        <v>5653837</v>
      </c>
      <c r="C10" s="383">
        <v>5657522</v>
      </c>
      <c r="D10" s="383">
        <v>5661167</v>
      </c>
      <c r="E10" s="383">
        <v>5664795</v>
      </c>
      <c r="F10" s="383">
        <v>5668331</v>
      </c>
      <c r="G10" s="383">
        <v>5672007</v>
      </c>
      <c r="H10" s="383">
        <v>5674110</v>
      </c>
      <c r="I10" s="383">
        <v>5677317</v>
      </c>
      <c r="J10" s="383">
        <v>5681025</v>
      </c>
      <c r="K10" s="383">
        <v>5684813</v>
      </c>
      <c r="L10" s="383">
        <v>5688334</v>
      </c>
      <c r="M10" s="383">
        <v>5691917</v>
      </c>
      <c r="N10" s="383">
        <v>5695079</v>
      </c>
      <c r="O10" s="383">
        <v>5697653</v>
      </c>
      <c r="P10" s="383">
        <v>5700420</v>
      </c>
      <c r="Q10" s="383">
        <v>5704144</v>
      </c>
      <c r="R10" s="383">
        <v>5707619</v>
      </c>
      <c r="S10" s="383">
        <v>5711346</v>
      </c>
      <c r="T10" s="383">
        <v>5714891</v>
      </c>
      <c r="U10" s="383">
        <v>5717949</v>
      </c>
      <c r="V10" s="383">
        <v>5720206</v>
      </c>
      <c r="W10" s="383">
        <v>5723163</v>
      </c>
      <c r="X10" s="383">
        <v>5726785</v>
      </c>
      <c r="Y10" s="383">
        <v>5730411</v>
      </c>
      <c r="Z10" s="383">
        <v>5733936</v>
      </c>
      <c r="AA10" s="383">
        <v>5737558</v>
      </c>
      <c r="AB10" s="383">
        <v>5740565</v>
      </c>
      <c r="AC10" s="383">
        <v>5742897</v>
      </c>
      <c r="AD10" s="349">
        <v>5745764</v>
      </c>
      <c r="AE10" s="349">
        <v>5749519</v>
      </c>
      <c r="AF10" s="349">
        <v>5753119</v>
      </c>
      <c r="AG10" s="287"/>
      <c r="AH10" s="287"/>
      <c r="AI10" s="383">
        <v>5650738</v>
      </c>
      <c r="AJ10" s="318"/>
      <c r="AK10" s="318"/>
      <c r="AN10" s="288"/>
    </row>
    <row r="11" spans="1:40" ht="22.5" customHeight="1">
      <c r="A11" s="285" t="s">
        <v>61</v>
      </c>
      <c r="B11" s="383">
        <v>219674</v>
      </c>
      <c r="C11" s="383">
        <v>219845</v>
      </c>
      <c r="D11" s="383">
        <v>220022</v>
      </c>
      <c r="E11" s="383">
        <v>220201</v>
      </c>
      <c r="F11" s="383">
        <v>220363</v>
      </c>
      <c r="G11" s="383">
        <v>220524</v>
      </c>
      <c r="H11" s="383">
        <v>220530</v>
      </c>
      <c r="I11" s="383">
        <v>220664</v>
      </c>
      <c r="J11" s="383">
        <v>220831</v>
      </c>
      <c r="K11" s="383">
        <v>220993</v>
      </c>
      <c r="L11" s="383">
        <v>221161</v>
      </c>
      <c r="M11" s="383">
        <v>221324</v>
      </c>
      <c r="N11" s="383">
        <v>221486</v>
      </c>
      <c r="O11" s="383">
        <v>221637</v>
      </c>
      <c r="P11" s="383">
        <v>221793</v>
      </c>
      <c r="Q11" s="383">
        <v>221974</v>
      </c>
      <c r="R11" s="383">
        <v>222146</v>
      </c>
      <c r="S11" s="383">
        <v>222311</v>
      </c>
      <c r="T11" s="383">
        <v>222479</v>
      </c>
      <c r="U11" s="383">
        <v>222638</v>
      </c>
      <c r="V11" s="383">
        <v>222775</v>
      </c>
      <c r="W11" s="383">
        <v>222926</v>
      </c>
      <c r="X11" s="383">
        <v>223092</v>
      </c>
      <c r="Y11" s="383">
        <v>223261</v>
      </c>
      <c r="Z11" s="383">
        <v>223429</v>
      </c>
      <c r="AA11" s="383">
        <v>223604</v>
      </c>
      <c r="AB11" s="383">
        <v>223760</v>
      </c>
      <c r="AC11" s="383">
        <v>223898</v>
      </c>
      <c r="AD11" s="349">
        <v>224050</v>
      </c>
      <c r="AE11" s="349">
        <v>224220</v>
      </c>
      <c r="AF11" s="349">
        <v>224385</v>
      </c>
      <c r="AG11" s="287"/>
      <c r="AH11" s="287"/>
      <c r="AI11" s="383">
        <v>219514</v>
      </c>
      <c r="AJ11" s="318"/>
      <c r="AK11" s="318"/>
      <c r="AN11" s="288"/>
    </row>
    <row r="12" spans="1:40" s="294" customFormat="1" ht="18" customHeight="1">
      <c r="A12" s="291" t="s">
        <v>62</v>
      </c>
      <c r="B12" s="385"/>
      <c r="C12" s="385"/>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53"/>
      <c r="AE12" s="353"/>
      <c r="AF12" s="353"/>
      <c r="AG12" s="293"/>
      <c r="AH12" s="293"/>
      <c r="AI12" s="385"/>
    </row>
    <row r="13" spans="1:40">
      <c r="A13" s="282" t="s">
        <v>63</v>
      </c>
      <c r="B13" s="386" t="s">
        <v>64</v>
      </c>
      <c r="C13" s="386" t="s">
        <v>64</v>
      </c>
      <c r="D13" s="386" t="s">
        <v>64</v>
      </c>
      <c r="E13" s="386" t="s">
        <v>64</v>
      </c>
      <c r="F13" s="386" t="s">
        <v>64</v>
      </c>
      <c r="G13" s="386" t="s">
        <v>64</v>
      </c>
      <c r="H13" s="386" t="s">
        <v>64</v>
      </c>
      <c r="I13" s="386" t="s">
        <v>64</v>
      </c>
      <c r="J13" s="386" t="s">
        <v>64</v>
      </c>
      <c r="K13" s="386" t="s">
        <v>64</v>
      </c>
      <c r="L13" s="386" t="s">
        <v>64</v>
      </c>
      <c r="M13" s="386" t="s">
        <v>64</v>
      </c>
      <c r="N13" s="386" t="s">
        <v>64</v>
      </c>
      <c r="O13" s="386" t="s">
        <v>64</v>
      </c>
      <c r="P13" s="386" t="s">
        <v>64</v>
      </c>
      <c r="Q13" s="386" t="s">
        <v>64</v>
      </c>
      <c r="R13" s="386" t="s">
        <v>64</v>
      </c>
      <c r="S13" s="386" t="s">
        <v>64</v>
      </c>
      <c r="T13" s="386" t="s">
        <v>64</v>
      </c>
      <c r="U13" s="386" t="s">
        <v>64</v>
      </c>
      <c r="V13" s="386" t="s">
        <v>64</v>
      </c>
      <c r="W13" s="386" t="s">
        <v>64</v>
      </c>
      <c r="X13" s="386" t="s">
        <v>64</v>
      </c>
      <c r="Y13" s="386" t="s">
        <v>64</v>
      </c>
      <c r="Z13" s="386" t="s">
        <v>64</v>
      </c>
      <c r="AA13" s="386" t="s">
        <v>64</v>
      </c>
      <c r="AB13" s="386" t="s">
        <v>64</v>
      </c>
      <c r="AC13" s="386" t="s">
        <v>64</v>
      </c>
      <c r="AD13" s="354" t="s">
        <v>64</v>
      </c>
      <c r="AE13" s="354" t="s">
        <v>64</v>
      </c>
      <c r="AF13" s="354" t="s">
        <v>64</v>
      </c>
      <c r="AG13" s="296"/>
      <c r="AH13" s="296"/>
      <c r="AI13" s="386" t="s">
        <v>64</v>
      </c>
    </row>
    <row r="14" spans="1:40">
      <c r="A14" s="282" t="s">
        <v>995</v>
      </c>
      <c r="B14" s="387">
        <v>283578.61</v>
      </c>
      <c r="C14" s="387">
        <v>283578.61</v>
      </c>
      <c r="D14" s="387">
        <v>283578.61</v>
      </c>
      <c r="E14" s="387">
        <v>283578.61</v>
      </c>
      <c r="F14" s="387">
        <v>283578.61</v>
      </c>
      <c r="G14" s="387">
        <v>283578.61</v>
      </c>
      <c r="H14" s="387">
        <v>284848.76</v>
      </c>
      <c r="I14" s="387">
        <v>284848.76</v>
      </c>
      <c r="J14" s="387">
        <v>284848.76</v>
      </c>
      <c r="K14" s="387">
        <v>284848.76</v>
      </c>
      <c r="L14" s="387">
        <v>284848.76</v>
      </c>
      <c r="M14" s="387">
        <v>284848.76</v>
      </c>
      <c r="N14" s="387">
        <v>284848.76</v>
      </c>
      <c r="O14" s="387">
        <v>286135.05</v>
      </c>
      <c r="P14" s="387">
        <v>286135.05</v>
      </c>
      <c r="Q14" s="387">
        <v>286135.05</v>
      </c>
      <c r="R14" s="387">
        <v>286135.05</v>
      </c>
      <c r="S14" s="387">
        <v>286135.05</v>
      </c>
      <c r="T14" s="387">
        <v>286135.05</v>
      </c>
      <c r="U14" s="387">
        <v>286135.05</v>
      </c>
      <c r="V14" s="387">
        <v>287891.74</v>
      </c>
      <c r="W14" s="387">
        <v>287891.74</v>
      </c>
      <c r="X14" s="387">
        <v>287891.74</v>
      </c>
      <c r="Y14" s="387">
        <v>287891.74</v>
      </c>
      <c r="Z14" s="387">
        <v>287891.74</v>
      </c>
      <c r="AA14" s="387">
        <v>287891.74</v>
      </c>
      <c r="AB14" s="387">
        <v>287891.74</v>
      </c>
      <c r="AC14" s="387">
        <v>288903.71000000002</v>
      </c>
      <c r="AD14" s="356">
        <v>288903.71000000002</v>
      </c>
      <c r="AE14" s="356">
        <v>288903.71000000002</v>
      </c>
      <c r="AF14" s="356">
        <v>288903.71000000002</v>
      </c>
      <c r="AG14" s="319"/>
      <c r="AH14" s="319"/>
      <c r="AI14" s="387">
        <v>283578.61</v>
      </c>
    </row>
    <row r="15" spans="1:40" ht="25.5">
      <c r="A15" s="282" t="s">
        <v>67</v>
      </c>
      <c r="B15" s="388">
        <v>1806</v>
      </c>
      <c r="C15" s="388">
        <v>1806</v>
      </c>
      <c r="D15" s="388">
        <v>1806</v>
      </c>
      <c r="E15" s="388">
        <v>1806</v>
      </c>
      <c r="F15" s="388">
        <v>1806</v>
      </c>
      <c r="G15" s="388">
        <v>1806</v>
      </c>
      <c r="H15" s="388">
        <v>1806</v>
      </c>
      <c r="I15" s="388">
        <v>1806</v>
      </c>
      <c r="J15" s="388">
        <v>1806</v>
      </c>
      <c r="K15" s="388">
        <v>1806</v>
      </c>
      <c r="L15" s="388">
        <v>1806</v>
      </c>
      <c r="M15" s="388">
        <v>1806</v>
      </c>
      <c r="N15" s="388">
        <v>1806</v>
      </c>
      <c r="O15" s="388">
        <v>1807</v>
      </c>
      <c r="P15" s="388">
        <v>1807</v>
      </c>
      <c r="Q15" s="388">
        <v>1807</v>
      </c>
      <c r="R15" s="388">
        <v>1807</v>
      </c>
      <c r="S15" s="388">
        <v>1807</v>
      </c>
      <c r="T15" s="388">
        <v>1807</v>
      </c>
      <c r="U15" s="388">
        <v>1807</v>
      </c>
      <c r="V15" s="388">
        <v>1807</v>
      </c>
      <c r="W15" s="388">
        <v>1807</v>
      </c>
      <c r="X15" s="388">
        <v>1807</v>
      </c>
      <c r="Y15" s="388">
        <v>1807</v>
      </c>
      <c r="Z15" s="388">
        <v>1807</v>
      </c>
      <c r="AA15" s="388">
        <v>1807</v>
      </c>
      <c r="AB15" s="388">
        <v>1807</v>
      </c>
      <c r="AC15" s="388">
        <v>1807</v>
      </c>
      <c r="AD15" s="358">
        <v>1807</v>
      </c>
      <c r="AE15" s="358">
        <v>1807</v>
      </c>
      <c r="AF15" s="358">
        <v>1807</v>
      </c>
      <c r="AG15" s="320"/>
      <c r="AH15" s="320"/>
      <c r="AI15" s="388">
        <v>1806</v>
      </c>
    </row>
    <row r="16" spans="1:40" ht="25.5">
      <c r="A16" s="282" t="s">
        <v>68</v>
      </c>
      <c r="B16" s="389">
        <v>7825</v>
      </c>
      <c r="C16" s="389">
        <v>7825</v>
      </c>
      <c r="D16" s="389">
        <v>7825</v>
      </c>
      <c r="E16" s="389">
        <v>7825</v>
      </c>
      <c r="F16" s="389">
        <v>7825</v>
      </c>
      <c r="G16" s="389">
        <v>7825</v>
      </c>
      <c r="H16" s="389">
        <v>7825</v>
      </c>
      <c r="I16" s="389">
        <v>7825</v>
      </c>
      <c r="J16" s="389">
        <v>7825</v>
      </c>
      <c r="K16" s="389">
        <v>7825</v>
      </c>
      <c r="L16" s="389">
        <v>7825</v>
      </c>
      <c r="M16" s="389">
        <v>7825</v>
      </c>
      <c r="N16" s="389">
        <v>7825</v>
      </c>
      <c r="O16" s="389">
        <v>7825</v>
      </c>
      <c r="P16" s="389">
        <v>7825</v>
      </c>
      <c r="Q16" s="389">
        <v>7825</v>
      </c>
      <c r="R16" s="389">
        <v>7825</v>
      </c>
      <c r="S16" s="389">
        <v>7825</v>
      </c>
      <c r="T16" s="389">
        <v>7825</v>
      </c>
      <c r="U16" s="389">
        <v>7825</v>
      </c>
      <c r="V16" s="389">
        <v>7975</v>
      </c>
      <c r="W16" s="389">
        <v>7975</v>
      </c>
      <c r="X16" s="389">
        <v>7975</v>
      </c>
      <c r="Y16" s="389">
        <v>7975</v>
      </c>
      <c r="Z16" s="389">
        <v>7975</v>
      </c>
      <c r="AA16" s="389">
        <v>7975</v>
      </c>
      <c r="AB16" s="389">
        <v>7975</v>
      </c>
      <c r="AC16" s="389">
        <v>7975</v>
      </c>
      <c r="AD16" s="360">
        <v>7976</v>
      </c>
      <c r="AE16" s="360">
        <v>7976</v>
      </c>
      <c r="AF16" s="360">
        <v>7976</v>
      </c>
      <c r="AG16" s="320"/>
      <c r="AH16" s="320"/>
      <c r="AI16" s="389">
        <v>7825</v>
      </c>
    </row>
    <row r="17" spans="1:36" ht="20.100000000000001" customHeight="1">
      <c r="A17" s="303"/>
      <c r="B17" s="385"/>
      <c r="C17" s="385"/>
      <c r="D17" s="385"/>
      <c r="E17" s="385"/>
      <c r="F17" s="385"/>
      <c r="G17" s="385"/>
      <c r="H17" s="385"/>
      <c r="I17" s="385"/>
      <c r="J17" s="385"/>
      <c r="K17" s="385"/>
      <c r="L17" s="385"/>
      <c r="M17" s="385"/>
      <c r="N17" s="385"/>
      <c r="O17" s="385"/>
      <c r="P17" s="385"/>
      <c r="Q17" s="385"/>
      <c r="R17" s="385"/>
      <c r="S17" s="385"/>
      <c r="T17" s="385"/>
      <c r="U17" s="385"/>
      <c r="V17" s="385"/>
      <c r="W17" s="385"/>
      <c r="X17" s="385"/>
      <c r="Y17" s="385"/>
      <c r="Z17" s="385"/>
      <c r="AA17" s="385"/>
      <c r="AB17" s="385"/>
      <c r="AC17" s="385"/>
      <c r="AD17" s="353"/>
      <c r="AE17" s="353"/>
      <c r="AF17" s="353"/>
      <c r="AG17" s="304"/>
      <c r="AH17" s="304"/>
      <c r="AI17" s="385"/>
    </row>
    <row r="18" spans="1:36">
      <c r="A18" s="282" t="s">
        <v>69</v>
      </c>
      <c r="B18" s="386" t="s">
        <v>106</v>
      </c>
      <c r="C18" s="386" t="s">
        <v>106</v>
      </c>
      <c r="D18" s="386" t="s">
        <v>106</v>
      </c>
      <c r="E18" s="386" t="s">
        <v>106</v>
      </c>
      <c r="F18" s="386" t="s">
        <v>106</v>
      </c>
      <c r="G18" s="386" t="s">
        <v>106</v>
      </c>
      <c r="H18" s="386" t="s">
        <v>106</v>
      </c>
      <c r="I18" s="386" t="s">
        <v>106</v>
      </c>
      <c r="J18" s="386" t="s">
        <v>106</v>
      </c>
      <c r="K18" s="386" t="s">
        <v>106</v>
      </c>
      <c r="L18" s="386" t="s">
        <v>106</v>
      </c>
      <c r="M18" s="386" t="s">
        <v>106</v>
      </c>
      <c r="N18" s="386" t="s">
        <v>106</v>
      </c>
      <c r="O18" s="386" t="s">
        <v>106</v>
      </c>
      <c r="P18" s="386" t="s">
        <v>106</v>
      </c>
      <c r="Q18" s="386" t="s">
        <v>106</v>
      </c>
      <c r="R18" s="386" t="s">
        <v>106</v>
      </c>
      <c r="S18" s="386" t="s">
        <v>106</v>
      </c>
      <c r="T18" s="386" t="s">
        <v>106</v>
      </c>
      <c r="U18" s="386" t="s">
        <v>106</v>
      </c>
      <c r="V18" s="386" t="s">
        <v>106</v>
      </c>
      <c r="W18" s="386" t="s">
        <v>106</v>
      </c>
      <c r="X18" s="386" t="s">
        <v>106</v>
      </c>
      <c r="Y18" s="386" t="s">
        <v>106</v>
      </c>
      <c r="Z18" s="386" t="s">
        <v>106</v>
      </c>
      <c r="AA18" s="386" t="s">
        <v>106</v>
      </c>
      <c r="AB18" s="386" t="s">
        <v>106</v>
      </c>
      <c r="AC18" s="386" t="s">
        <v>106</v>
      </c>
      <c r="AD18" s="354" t="s">
        <v>106</v>
      </c>
      <c r="AE18" s="354" t="s">
        <v>106</v>
      </c>
      <c r="AF18" s="354" t="s">
        <v>106</v>
      </c>
      <c r="AG18" s="296"/>
      <c r="AH18" s="296"/>
      <c r="AI18" s="386" t="s">
        <v>106</v>
      </c>
    </row>
    <row r="19" spans="1:36" ht="25.5">
      <c r="A19" s="282" t="s">
        <v>70</v>
      </c>
      <c r="B19" s="390">
        <v>70831</v>
      </c>
      <c r="C19" s="390">
        <v>70831</v>
      </c>
      <c r="D19" s="390">
        <v>70870.7</v>
      </c>
      <c r="E19" s="390">
        <v>70896.899999999994</v>
      </c>
      <c r="F19" s="390">
        <v>70925.899999999994</v>
      </c>
      <c r="G19" s="390">
        <v>70947.8</v>
      </c>
      <c r="H19" s="390">
        <v>70948.899999999994</v>
      </c>
      <c r="I19" s="390">
        <v>70958.2</v>
      </c>
      <c r="J19" s="390">
        <v>70989.899999999994</v>
      </c>
      <c r="K19" s="390">
        <v>71002.3</v>
      </c>
      <c r="L19" s="390">
        <v>71002.3</v>
      </c>
      <c r="M19" s="390">
        <v>71002.3</v>
      </c>
      <c r="N19" s="390">
        <v>71002.3</v>
      </c>
      <c r="O19" s="390">
        <v>71002.3</v>
      </c>
      <c r="P19" s="390">
        <v>71009.399999999994</v>
      </c>
      <c r="Q19" s="390">
        <v>71032</v>
      </c>
      <c r="R19" s="390">
        <v>71061.2</v>
      </c>
      <c r="S19" s="390">
        <v>71079.899999999994</v>
      </c>
      <c r="T19" s="390">
        <v>71110.7</v>
      </c>
      <c r="U19" s="390">
        <v>71140.100000000006</v>
      </c>
      <c r="V19" s="390">
        <v>71140.100000000006</v>
      </c>
      <c r="W19" s="390">
        <v>71140.100000000006</v>
      </c>
      <c r="X19" s="390">
        <v>71175.600000000006</v>
      </c>
      <c r="Y19" s="390">
        <v>71202.100000000006</v>
      </c>
      <c r="Z19" s="390">
        <v>71214.8</v>
      </c>
      <c r="AA19" s="390">
        <v>71225.899999999994</v>
      </c>
      <c r="AB19" s="390">
        <v>71254.100000000006</v>
      </c>
      <c r="AC19" s="390">
        <v>71254.100000000006</v>
      </c>
      <c r="AD19" s="362">
        <v>71276.5</v>
      </c>
      <c r="AE19" s="362">
        <v>71289.100000000006</v>
      </c>
      <c r="AF19" s="362">
        <v>71295.3</v>
      </c>
      <c r="AG19" s="321"/>
      <c r="AH19" s="321"/>
      <c r="AI19" s="390">
        <v>70822</v>
      </c>
      <c r="AJ19" s="307"/>
    </row>
    <row r="20" spans="1:36" ht="25.5">
      <c r="A20" s="282" t="s">
        <v>71</v>
      </c>
      <c r="B20" s="388" t="s">
        <v>1307</v>
      </c>
      <c r="C20" s="388" t="s">
        <v>1307</v>
      </c>
      <c r="D20" s="388" t="s">
        <v>1405</v>
      </c>
      <c r="E20" s="388" t="s">
        <v>1405</v>
      </c>
      <c r="F20" s="388" t="s">
        <v>1405</v>
      </c>
      <c r="G20" s="388" t="s">
        <v>1405</v>
      </c>
      <c r="H20" s="388" t="s">
        <v>1405</v>
      </c>
      <c r="I20" s="388" t="s">
        <v>1351</v>
      </c>
      <c r="J20" s="388" t="s">
        <v>1351</v>
      </c>
      <c r="K20" s="388" t="s">
        <v>1351</v>
      </c>
      <c r="L20" s="388" t="s">
        <v>1351</v>
      </c>
      <c r="M20" s="388" t="s">
        <v>1351</v>
      </c>
      <c r="N20" s="388" t="s">
        <v>1351</v>
      </c>
      <c r="O20" s="388" t="s">
        <v>1351</v>
      </c>
      <c r="P20" s="388" t="s">
        <v>1351</v>
      </c>
      <c r="Q20" s="388" t="s">
        <v>1351</v>
      </c>
      <c r="R20" s="388" t="s">
        <v>1351</v>
      </c>
      <c r="S20" s="388" t="s">
        <v>1351</v>
      </c>
      <c r="T20" s="388" t="s">
        <v>1351</v>
      </c>
      <c r="U20" s="388" t="s">
        <v>1351</v>
      </c>
      <c r="V20" s="388" t="s">
        <v>1351</v>
      </c>
      <c r="W20" s="388" t="s">
        <v>1351</v>
      </c>
      <c r="X20" s="388" t="s">
        <v>1351</v>
      </c>
      <c r="Y20" s="388" t="s">
        <v>1351</v>
      </c>
      <c r="Z20" s="388" t="s">
        <v>1351</v>
      </c>
      <c r="AA20" s="388" t="s">
        <v>1351</v>
      </c>
      <c r="AB20" s="388" t="s">
        <v>1351</v>
      </c>
      <c r="AC20" s="388" t="s">
        <v>1351</v>
      </c>
      <c r="AD20" s="358" t="s">
        <v>1351</v>
      </c>
      <c r="AE20" s="358" t="s">
        <v>1351</v>
      </c>
      <c r="AF20" s="358" t="s">
        <v>1351</v>
      </c>
      <c r="AG20" s="209"/>
      <c r="AH20" s="209"/>
      <c r="AI20" s="388" t="s">
        <v>1307</v>
      </c>
      <c r="AJ20" s="307"/>
    </row>
    <row r="21" spans="1:36">
      <c r="A21" s="282" t="s">
        <v>72</v>
      </c>
      <c r="B21" s="388">
        <v>126728</v>
      </c>
      <c r="C21" s="388">
        <v>126728</v>
      </c>
      <c r="D21" s="388">
        <v>126728</v>
      </c>
      <c r="E21" s="388">
        <v>126728</v>
      </c>
      <c r="F21" s="388">
        <v>126728</v>
      </c>
      <c r="G21" s="388">
        <v>126728</v>
      </c>
      <c r="H21" s="388">
        <v>127437</v>
      </c>
      <c r="I21" s="388">
        <v>127437</v>
      </c>
      <c r="J21" s="388">
        <v>127437</v>
      </c>
      <c r="K21" s="388">
        <v>127437</v>
      </c>
      <c r="L21" s="388">
        <v>127437</v>
      </c>
      <c r="M21" s="388">
        <v>127437</v>
      </c>
      <c r="N21" s="388">
        <v>127437</v>
      </c>
      <c r="O21" s="388">
        <v>127730</v>
      </c>
      <c r="P21" s="388">
        <v>127730</v>
      </c>
      <c r="Q21" s="388">
        <v>127730</v>
      </c>
      <c r="R21" s="388">
        <v>127730</v>
      </c>
      <c r="S21" s="388">
        <v>127730</v>
      </c>
      <c r="T21" s="388">
        <v>127730</v>
      </c>
      <c r="U21" s="388">
        <v>127730</v>
      </c>
      <c r="V21" s="388">
        <v>128407</v>
      </c>
      <c r="W21" s="388">
        <v>128407</v>
      </c>
      <c r="X21" s="388">
        <v>128407</v>
      </c>
      <c r="Y21" s="388">
        <v>128407</v>
      </c>
      <c r="Z21" s="388">
        <v>128407</v>
      </c>
      <c r="AA21" s="388">
        <v>128407</v>
      </c>
      <c r="AB21" s="388">
        <v>128407</v>
      </c>
      <c r="AC21" s="388">
        <v>129024</v>
      </c>
      <c r="AD21" s="358">
        <v>129024</v>
      </c>
      <c r="AE21" s="358">
        <v>129024</v>
      </c>
      <c r="AF21" s="358">
        <v>129024</v>
      </c>
      <c r="AG21" s="321"/>
      <c r="AH21" s="321"/>
      <c r="AI21" s="388">
        <v>126728</v>
      </c>
      <c r="AJ21" s="307"/>
    </row>
    <row r="22" spans="1:36">
      <c r="A22" s="282" t="s">
        <v>73</v>
      </c>
      <c r="B22" s="391">
        <v>173269</v>
      </c>
      <c r="C22" s="391">
        <v>173335</v>
      </c>
      <c r="D22" s="391">
        <v>173389</v>
      </c>
      <c r="E22" s="391">
        <v>173451</v>
      </c>
      <c r="F22" s="391">
        <v>173521</v>
      </c>
      <c r="G22" s="391">
        <v>173576</v>
      </c>
      <c r="H22" s="391">
        <v>173617</v>
      </c>
      <c r="I22" s="391">
        <v>173661</v>
      </c>
      <c r="J22" s="391">
        <v>173711</v>
      </c>
      <c r="K22" s="391">
        <v>173758</v>
      </c>
      <c r="L22" s="391">
        <v>173814</v>
      </c>
      <c r="M22" s="391">
        <v>173853</v>
      </c>
      <c r="N22" s="391">
        <v>173901</v>
      </c>
      <c r="O22" s="391">
        <v>173949</v>
      </c>
      <c r="P22" s="391">
        <v>173997</v>
      </c>
      <c r="Q22" s="391">
        <v>174047</v>
      </c>
      <c r="R22" s="391">
        <v>174114</v>
      </c>
      <c r="S22" s="391">
        <v>174189</v>
      </c>
      <c r="T22" s="391">
        <v>174237</v>
      </c>
      <c r="U22" s="391">
        <v>174292</v>
      </c>
      <c r="V22" s="391">
        <v>174338</v>
      </c>
      <c r="W22" s="391">
        <v>174394</v>
      </c>
      <c r="X22" s="391">
        <v>174455</v>
      </c>
      <c r="Y22" s="391">
        <v>174506</v>
      </c>
      <c r="Z22" s="391">
        <v>174559</v>
      </c>
      <c r="AA22" s="391">
        <v>174621</v>
      </c>
      <c r="AB22" s="391">
        <v>174674</v>
      </c>
      <c r="AC22" s="391">
        <v>174713</v>
      </c>
      <c r="AD22" s="364">
        <v>174752</v>
      </c>
      <c r="AE22" s="364">
        <v>174792</v>
      </c>
      <c r="AF22" s="364">
        <v>174843</v>
      </c>
      <c r="AG22" s="321">
        <f>AF22-AI22</f>
        <v>1626</v>
      </c>
      <c r="AH22" s="321"/>
      <c r="AI22" s="391">
        <v>173217</v>
      </c>
      <c r="AJ22" s="307">
        <v>1626</v>
      </c>
    </row>
    <row r="23" spans="1:36">
      <c r="A23" s="309" t="s">
        <v>136</v>
      </c>
      <c r="B23" s="388">
        <v>5169</v>
      </c>
      <c r="C23" s="388">
        <v>5169</v>
      </c>
      <c r="D23" s="388">
        <v>5169</v>
      </c>
      <c r="E23" s="388">
        <v>5169</v>
      </c>
      <c r="F23" s="388">
        <v>5169</v>
      </c>
      <c r="G23" s="388">
        <v>5169</v>
      </c>
      <c r="H23" s="388">
        <v>5482</v>
      </c>
      <c r="I23" s="388">
        <v>5482</v>
      </c>
      <c r="J23" s="388">
        <v>5482</v>
      </c>
      <c r="K23" s="388">
        <v>5482</v>
      </c>
      <c r="L23" s="388">
        <v>5482</v>
      </c>
      <c r="M23" s="388">
        <v>5482</v>
      </c>
      <c r="N23" s="388">
        <v>5482</v>
      </c>
      <c r="O23" s="388">
        <v>5855</v>
      </c>
      <c r="P23" s="388">
        <v>5855</v>
      </c>
      <c r="Q23" s="388">
        <v>5855</v>
      </c>
      <c r="R23" s="388">
        <v>5855</v>
      </c>
      <c r="S23" s="388">
        <v>5855</v>
      </c>
      <c r="T23" s="388">
        <v>5855</v>
      </c>
      <c r="U23" s="388">
        <v>5855</v>
      </c>
      <c r="V23" s="388">
        <v>6266</v>
      </c>
      <c r="W23" s="388">
        <v>6266</v>
      </c>
      <c r="X23" s="388">
        <v>6266</v>
      </c>
      <c r="Y23" s="388">
        <v>6266</v>
      </c>
      <c r="Z23" s="388">
        <v>6266</v>
      </c>
      <c r="AA23" s="388">
        <v>6266</v>
      </c>
      <c r="AB23" s="388">
        <v>6266</v>
      </c>
      <c r="AC23" s="388">
        <v>6698</v>
      </c>
      <c r="AD23" s="358">
        <v>6698</v>
      </c>
      <c r="AE23" s="358">
        <v>6698</v>
      </c>
      <c r="AF23" s="358">
        <v>6698</v>
      </c>
      <c r="AG23" s="323">
        <f>AF23-B23</f>
        <v>1529</v>
      </c>
      <c r="AH23" s="323">
        <v>1529</v>
      </c>
      <c r="AI23" s="388">
        <v>5169</v>
      </c>
      <c r="AJ23" s="307"/>
    </row>
    <row r="24" spans="1:36">
      <c r="A24" s="309" t="s">
        <v>139</v>
      </c>
      <c r="B24" s="388">
        <v>4499</v>
      </c>
      <c r="C24" s="388">
        <v>4499</v>
      </c>
      <c r="D24" s="388">
        <v>4499</v>
      </c>
      <c r="E24" s="388">
        <v>4499</v>
      </c>
      <c r="F24" s="388">
        <v>4499</v>
      </c>
      <c r="G24" s="388">
        <v>4499</v>
      </c>
      <c r="H24" s="388">
        <v>4551</v>
      </c>
      <c r="I24" s="388">
        <v>4551</v>
      </c>
      <c r="J24" s="388">
        <v>4551</v>
      </c>
      <c r="K24" s="388">
        <v>4551</v>
      </c>
      <c r="L24" s="388">
        <v>4551</v>
      </c>
      <c r="M24" s="388">
        <v>4551</v>
      </c>
      <c r="N24" s="388">
        <v>4551</v>
      </c>
      <c r="O24" s="388">
        <v>4624</v>
      </c>
      <c r="P24" s="388">
        <v>4624</v>
      </c>
      <c r="Q24" s="388">
        <v>4624</v>
      </c>
      <c r="R24" s="388">
        <v>4624</v>
      </c>
      <c r="S24" s="388">
        <v>4624</v>
      </c>
      <c r="T24" s="388">
        <v>4624</v>
      </c>
      <c r="U24" s="388">
        <v>4624</v>
      </c>
      <c r="V24" s="388">
        <v>4686</v>
      </c>
      <c r="W24" s="388">
        <v>4686</v>
      </c>
      <c r="X24" s="388">
        <v>4686</v>
      </c>
      <c r="Y24" s="388">
        <v>4686</v>
      </c>
      <c r="Z24" s="388">
        <v>4686</v>
      </c>
      <c r="AA24" s="388">
        <v>4686</v>
      </c>
      <c r="AB24" s="388">
        <v>4686</v>
      </c>
      <c r="AC24" s="388">
        <v>4744</v>
      </c>
      <c r="AD24" s="358">
        <v>4744</v>
      </c>
      <c r="AE24" s="358">
        <v>4744</v>
      </c>
      <c r="AF24" s="358">
        <v>4744</v>
      </c>
      <c r="AG24" s="323">
        <f t="shared" ref="AG24:AG29" si="0">AF24-B24</f>
        <v>245</v>
      </c>
      <c r="AH24" s="323">
        <v>245</v>
      </c>
      <c r="AI24" s="388">
        <v>4499</v>
      </c>
      <c r="AJ24" s="307"/>
    </row>
    <row r="25" spans="1:36">
      <c r="A25" s="309" t="s">
        <v>142</v>
      </c>
      <c r="B25" s="388">
        <v>1866</v>
      </c>
      <c r="C25" s="388">
        <v>1866</v>
      </c>
      <c r="D25" s="388">
        <v>1866</v>
      </c>
      <c r="E25" s="388">
        <v>1866</v>
      </c>
      <c r="F25" s="388">
        <v>1866</v>
      </c>
      <c r="G25" s="388">
        <v>1866</v>
      </c>
      <c r="H25" s="388">
        <v>1882</v>
      </c>
      <c r="I25" s="388">
        <v>1882</v>
      </c>
      <c r="J25" s="388">
        <v>1882</v>
      </c>
      <c r="K25" s="388">
        <v>1882</v>
      </c>
      <c r="L25" s="388">
        <v>1882</v>
      </c>
      <c r="M25" s="388">
        <v>1882</v>
      </c>
      <c r="N25" s="388">
        <v>1882</v>
      </c>
      <c r="O25" s="388">
        <v>1908</v>
      </c>
      <c r="P25" s="388">
        <v>1908</v>
      </c>
      <c r="Q25" s="388">
        <v>1908</v>
      </c>
      <c r="R25" s="388">
        <v>1908</v>
      </c>
      <c r="S25" s="388">
        <v>1908</v>
      </c>
      <c r="T25" s="388">
        <v>1908</v>
      </c>
      <c r="U25" s="388">
        <v>1908</v>
      </c>
      <c r="V25" s="388">
        <v>1928</v>
      </c>
      <c r="W25" s="388">
        <v>1928</v>
      </c>
      <c r="X25" s="388">
        <v>1928</v>
      </c>
      <c r="Y25" s="388">
        <v>1928</v>
      </c>
      <c r="Z25" s="388">
        <v>1928</v>
      </c>
      <c r="AA25" s="388">
        <v>1928</v>
      </c>
      <c r="AB25" s="388">
        <v>1928</v>
      </c>
      <c r="AC25" s="388">
        <v>1948</v>
      </c>
      <c r="AD25" s="358">
        <v>1948</v>
      </c>
      <c r="AE25" s="358">
        <v>1948</v>
      </c>
      <c r="AF25" s="358">
        <v>1948</v>
      </c>
      <c r="AG25" s="323">
        <f t="shared" si="0"/>
        <v>82</v>
      </c>
      <c r="AH25" s="323">
        <v>82</v>
      </c>
      <c r="AI25" s="388">
        <v>1866</v>
      </c>
      <c r="AJ25" s="307"/>
    </row>
    <row r="26" spans="1:36">
      <c r="A26" s="309" t="s">
        <v>145</v>
      </c>
      <c r="B26" s="388">
        <v>644</v>
      </c>
      <c r="C26" s="388">
        <v>644</v>
      </c>
      <c r="D26" s="388">
        <v>644</v>
      </c>
      <c r="E26" s="388">
        <v>644</v>
      </c>
      <c r="F26" s="388">
        <v>644</v>
      </c>
      <c r="G26" s="388">
        <v>644</v>
      </c>
      <c r="H26" s="388">
        <v>657</v>
      </c>
      <c r="I26" s="388">
        <v>657</v>
      </c>
      <c r="J26" s="388">
        <v>657</v>
      </c>
      <c r="K26" s="388">
        <v>657</v>
      </c>
      <c r="L26" s="388">
        <v>657</v>
      </c>
      <c r="M26" s="388">
        <v>657</v>
      </c>
      <c r="N26" s="388">
        <v>657</v>
      </c>
      <c r="O26" s="388">
        <v>671</v>
      </c>
      <c r="P26" s="388">
        <v>671</v>
      </c>
      <c r="Q26" s="388">
        <v>671</v>
      </c>
      <c r="R26" s="388">
        <v>671</v>
      </c>
      <c r="S26" s="388">
        <v>671</v>
      </c>
      <c r="T26" s="388">
        <v>671</v>
      </c>
      <c r="U26" s="388">
        <v>671</v>
      </c>
      <c r="V26" s="388">
        <v>684</v>
      </c>
      <c r="W26" s="388">
        <v>684</v>
      </c>
      <c r="X26" s="388">
        <v>684</v>
      </c>
      <c r="Y26" s="388">
        <v>684</v>
      </c>
      <c r="Z26" s="388">
        <v>684</v>
      </c>
      <c r="AA26" s="388">
        <v>684</v>
      </c>
      <c r="AB26" s="388">
        <v>684</v>
      </c>
      <c r="AC26" s="388">
        <v>702</v>
      </c>
      <c r="AD26" s="358">
        <v>702</v>
      </c>
      <c r="AE26" s="358">
        <v>702</v>
      </c>
      <c r="AF26" s="358">
        <v>702</v>
      </c>
      <c r="AG26" s="323">
        <f t="shared" si="0"/>
        <v>58</v>
      </c>
      <c r="AH26" s="323">
        <v>58</v>
      </c>
      <c r="AI26" s="388">
        <v>644</v>
      </c>
      <c r="AJ26" s="307"/>
    </row>
    <row r="27" spans="1:36">
      <c r="A27" s="309" t="s">
        <v>148</v>
      </c>
      <c r="B27" s="388">
        <v>6546</v>
      </c>
      <c r="C27" s="388">
        <v>6546</v>
      </c>
      <c r="D27" s="388">
        <v>6546</v>
      </c>
      <c r="E27" s="388">
        <v>6546</v>
      </c>
      <c r="F27" s="388">
        <v>6546</v>
      </c>
      <c r="G27" s="388">
        <v>6546</v>
      </c>
      <c r="H27" s="388">
        <v>6634</v>
      </c>
      <c r="I27" s="388">
        <v>6634</v>
      </c>
      <c r="J27" s="388">
        <v>6634</v>
      </c>
      <c r="K27" s="388">
        <v>6634</v>
      </c>
      <c r="L27" s="388">
        <v>6634</v>
      </c>
      <c r="M27" s="388">
        <v>6634</v>
      </c>
      <c r="N27" s="388">
        <v>6634</v>
      </c>
      <c r="O27" s="388">
        <v>6757</v>
      </c>
      <c r="P27" s="388">
        <v>6757</v>
      </c>
      <c r="Q27" s="388">
        <v>6757</v>
      </c>
      <c r="R27" s="388">
        <v>6757</v>
      </c>
      <c r="S27" s="388">
        <v>6757</v>
      </c>
      <c r="T27" s="388">
        <v>6757</v>
      </c>
      <c r="U27" s="388">
        <v>6757</v>
      </c>
      <c r="V27" s="388">
        <v>6919</v>
      </c>
      <c r="W27" s="388">
        <v>6919</v>
      </c>
      <c r="X27" s="388">
        <v>6919</v>
      </c>
      <c r="Y27" s="388">
        <v>6919</v>
      </c>
      <c r="Z27" s="388">
        <v>6919</v>
      </c>
      <c r="AA27" s="388">
        <v>6919</v>
      </c>
      <c r="AB27" s="388">
        <v>6919</v>
      </c>
      <c r="AC27" s="388">
        <v>7046</v>
      </c>
      <c r="AD27" s="358">
        <v>7046</v>
      </c>
      <c r="AE27" s="358">
        <v>7046</v>
      </c>
      <c r="AF27" s="358">
        <v>7046</v>
      </c>
      <c r="AG27" s="323">
        <f t="shared" si="0"/>
        <v>500</v>
      </c>
      <c r="AH27" s="323">
        <v>500</v>
      </c>
      <c r="AI27" s="388">
        <v>6546</v>
      </c>
      <c r="AJ27" s="307"/>
    </row>
    <row r="28" spans="1:36">
      <c r="A28" s="309" t="s">
        <v>151</v>
      </c>
      <c r="B28" s="388">
        <v>1140</v>
      </c>
      <c r="C28" s="388">
        <v>1140</v>
      </c>
      <c r="D28" s="388">
        <v>1140</v>
      </c>
      <c r="E28" s="388">
        <v>1140</v>
      </c>
      <c r="F28" s="388">
        <v>1140</v>
      </c>
      <c r="G28" s="388">
        <v>1140</v>
      </c>
      <c r="H28" s="388">
        <v>1151</v>
      </c>
      <c r="I28" s="388">
        <v>1151</v>
      </c>
      <c r="J28" s="388">
        <v>1151</v>
      </c>
      <c r="K28" s="388">
        <v>1151</v>
      </c>
      <c r="L28" s="388">
        <v>1151</v>
      </c>
      <c r="M28" s="388">
        <v>1151</v>
      </c>
      <c r="N28" s="388">
        <v>1151</v>
      </c>
      <c r="O28" s="388">
        <v>1162</v>
      </c>
      <c r="P28" s="388">
        <v>1162</v>
      </c>
      <c r="Q28" s="388">
        <v>1162</v>
      </c>
      <c r="R28" s="388">
        <v>1162</v>
      </c>
      <c r="S28" s="388">
        <v>1162</v>
      </c>
      <c r="T28" s="388">
        <v>1162</v>
      </c>
      <c r="U28" s="388">
        <v>1162</v>
      </c>
      <c r="V28" s="388">
        <v>1173</v>
      </c>
      <c r="W28" s="388">
        <v>1173</v>
      </c>
      <c r="X28" s="388">
        <v>1173</v>
      </c>
      <c r="Y28" s="388">
        <v>1173</v>
      </c>
      <c r="Z28" s="388">
        <v>1173</v>
      </c>
      <c r="AA28" s="388">
        <v>1173</v>
      </c>
      <c r="AB28" s="388">
        <v>1173</v>
      </c>
      <c r="AC28" s="388">
        <v>1185</v>
      </c>
      <c r="AD28" s="358">
        <v>1185</v>
      </c>
      <c r="AE28" s="358">
        <v>1185</v>
      </c>
      <c r="AF28" s="358">
        <v>1185</v>
      </c>
      <c r="AG28" s="323">
        <f t="shared" si="0"/>
        <v>45</v>
      </c>
      <c r="AH28" s="323">
        <v>45</v>
      </c>
      <c r="AI28" s="388">
        <v>1140</v>
      </c>
      <c r="AJ28" s="307"/>
    </row>
    <row r="29" spans="1:36">
      <c r="A29" s="309" t="s">
        <v>154</v>
      </c>
      <c r="B29" s="388">
        <v>548</v>
      </c>
      <c r="C29" s="388">
        <v>548</v>
      </c>
      <c r="D29" s="388">
        <v>548</v>
      </c>
      <c r="E29" s="388">
        <v>548</v>
      </c>
      <c r="F29" s="388">
        <v>548</v>
      </c>
      <c r="G29" s="388">
        <v>548</v>
      </c>
      <c r="H29" s="388">
        <v>554</v>
      </c>
      <c r="I29" s="388">
        <v>554</v>
      </c>
      <c r="J29" s="388">
        <v>554</v>
      </c>
      <c r="K29" s="388">
        <v>554</v>
      </c>
      <c r="L29" s="388">
        <v>554</v>
      </c>
      <c r="M29" s="388">
        <v>554</v>
      </c>
      <c r="N29" s="388">
        <v>554</v>
      </c>
      <c r="O29" s="388">
        <v>562</v>
      </c>
      <c r="P29" s="388">
        <v>562</v>
      </c>
      <c r="Q29" s="388">
        <v>562</v>
      </c>
      <c r="R29" s="388">
        <v>562</v>
      </c>
      <c r="S29" s="388">
        <v>562</v>
      </c>
      <c r="T29" s="388">
        <v>562</v>
      </c>
      <c r="U29" s="388">
        <v>562</v>
      </c>
      <c r="V29" s="388">
        <v>569</v>
      </c>
      <c r="W29" s="388">
        <v>569</v>
      </c>
      <c r="X29" s="388">
        <v>569</v>
      </c>
      <c r="Y29" s="388">
        <v>569</v>
      </c>
      <c r="Z29" s="388">
        <v>569</v>
      </c>
      <c r="AA29" s="388">
        <v>569</v>
      </c>
      <c r="AB29" s="388">
        <v>569</v>
      </c>
      <c r="AC29" s="388">
        <v>577</v>
      </c>
      <c r="AD29" s="358">
        <v>577</v>
      </c>
      <c r="AE29" s="358">
        <v>577</v>
      </c>
      <c r="AF29" s="358">
        <v>577</v>
      </c>
      <c r="AG29" s="323">
        <f t="shared" si="0"/>
        <v>29</v>
      </c>
      <c r="AH29" s="323">
        <v>29</v>
      </c>
      <c r="AI29" s="388">
        <v>548</v>
      </c>
      <c r="AJ29" s="307"/>
    </row>
    <row r="30" spans="1:36">
      <c r="A30" s="303"/>
      <c r="B30" s="385"/>
      <c r="C30" s="385"/>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53"/>
      <c r="AE30" s="353"/>
      <c r="AF30" s="353"/>
      <c r="AG30" s="304"/>
      <c r="AH30" s="304"/>
      <c r="AI30" s="385"/>
      <c r="AJ30" s="307"/>
    </row>
    <row r="31" spans="1:36">
      <c r="A31" s="282" t="s">
        <v>74</v>
      </c>
      <c r="B31" s="386" t="s">
        <v>157</v>
      </c>
      <c r="C31" s="386" t="s">
        <v>157</v>
      </c>
      <c r="D31" s="386" t="s">
        <v>157</v>
      </c>
      <c r="E31" s="386" t="s">
        <v>157</v>
      </c>
      <c r="F31" s="386" t="s">
        <v>157</v>
      </c>
      <c r="G31" s="386" t="s">
        <v>157</v>
      </c>
      <c r="H31" s="386" t="s">
        <v>157</v>
      </c>
      <c r="I31" s="386" t="s">
        <v>157</v>
      </c>
      <c r="J31" s="386" t="s">
        <v>157</v>
      </c>
      <c r="K31" s="386" t="s">
        <v>157</v>
      </c>
      <c r="L31" s="386" t="s">
        <v>157</v>
      </c>
      <c r="M31" s="386" t="s">
        <v>157</v>
      </c>
      <c r="N31" s="386" t="s">
        <v>157</v>
      </c>
      <c r="O31" s="386" t="s">
        <v>157</v>
      </c>
      <c r="P31" s="386" t="s">
        <v>157</v>
      </c>
      <c r="Q31" s="386" t="s">
        <v>157</v>
      </c>
      <c r="R31" s="386" t="s">
        <v>157</v>
      </c>
      <c r="S31" s="386" t="s">
        <v>157</v>
      </c>
      <c r="T31" s="386" t="s">
        <v>157</v>
      </c>
      <c r="U31" s="386" t="s">
        <v>157</v>
      </c>
      <c r="V31" s="386" t="s">
        <v>157</v>
      </c>
      <c r="W31" s="386" t="s">
        <v>157</v>
      </c>
      <c r="X31" s="386" t="s">
        <v>157</v>
      </c>
      <c r="Y31" s="386" t="s">
        <v>157</v>
      </c>
      <c r="Z31" s="386" t="s">
        <v>157</v>
      </c>
      <c r="AA31" s="386" t="s">
        <v>157</v>
      </c>
      <c r="AB31" s="386" t="s">
        <v>157</v>
      </c>
      <c r="AC31" s="386" t="s">
        <v>157</v>
      </c>
      <c r="AD31" s="354" t="s">
        <v>157</v>
      </c>
      <c r="AE31" s="354" t="s">
        <v>157</v>
      </c>
      <c r="AF31" s="354" t="s">
        <v>157</v>
      </c>
      <c r="AG31" s="296"/>
      <c r="AH31" s="296"/>
      <c r="AI31" s="386" t="s">
        <v>157</v>
      </c>
      <c r="AJ31" s="307"/>
    </row>
    <row r="32" spans="1:36" ht="25.5">
      <c r="A32" s="282" t="s">
        <v>77</v>
      </c>
      <c r="B32" s="392" t="s">
        <v>78</v>
      </c>
      <c r="C32" s="392" t="s">
        <v>78</v>
      </c>
      <c r="D32" s="392" t="s">
        <v>78</v>
      </c>
      <c r="E32" s="392" t="s">
        <v>78</v>
      </c>
      <c r="F32" s="392" t="s">
        <v>78</v>
      </c>
      <c r="G32" s="392" t="s">
        <v>78</v>
      </c>
      <c r="H32" s="392" t="s">
        <v>78</v>
      </c>
      <c r="I32" s="392" t="s">
        <v>78</v>
      </c>
      <c r="J32" s="392" t="s">
        <v>78</v>
      </c>
      <c r="K32" s="392" t="s">
        <v>78</v>
      </c>
      <c r="L32" s="392" t="s">
        <v>78</v>
      </c>
      <c r="M32" s="392" t="s">
        <v>78</v>
      </c>
      <c r="N32" s="392" t="s">
        <v>78</v>
      </c>
      <c r="O32" s="392" t="s">
        <v>78</v>
      </c>
      <c r="P32" s="392" t="s">
        <v>78</v>
      </c>
      <c r="Q32" s="392" t="s">
        <v>78</v>
      </c>
      <c r="R32" s="392" t="s">
        <v>78</v>
      </c>
      <c r="S32" s="392" t="s">
        <v>78</v>
      </c>
      <c r="T32" s="392" t="s">
        <v>78</v>
      </c>
      <c r="U32" s="392" t="s">
        <v>78</v>
      </c>
      <c r="V32" s="392" t="s">
        <v>78</v>
      </c>
      <c r="W32" s="392" t="s">
        <v>78</v>
      </c>
      <c r="X32" s="392" t="s">
        <v>78</v>
      </c>
      <c r="Y32" s="392" t="s">
        <v>78</v>
      </c>
      <c r="Z32" s="392" t="s">
        <v>78</v>
      </c>
      <c r="AA32" s="392" t="s">
        <v>78</v>
      </c>
      <c r="AB32" s="392" t="s">
        <v>78</v>
      </c>
      <c r="AC32" s="392" t="s">
        <v>78</v>
      </c>
      <c r="AD32" s="365" t="s">
        <v>78</v>
      </c>
      <c r="AE32" s="365" t="s">
        <v>78</v>
      </c>
      <c r="AF32" s="365" t="s">
        <v>78</v>
      </c>
      <c r="AG32" s="209"/>
      <c r="AH32" s="209"/>
      <c r="AI32" s="392" t="s">
        <v>78</v>
      </c>
      <c r="AJ32" s="307"/>
    </row>
    <row r="33" spans="1:36" ht="25.5">
      <c r="A33" s="282" t="s">
        <v>80</v>
      </c>
      <c r="B33" s="393" t="s">
        <v>1390</v>
      </c>
      <c r="C33" s="393" t="s">
        <v>603</v>
      </c>
      <c r="D33" s="393" t="s">
        <v>1344</v>
      </c>
      <c r="E33" s="393" t="s">
        <v>1343</v>
      </c>
      <c r="F33" s="393" t="s">
        <v>1406</v>
      </c>
      <c r="G33" s="393" t="s">
        <v>1379</v>
      </c>
      <c r="H33" s="393" t="s">
        <v>580</v>
      </c>
      <c r="I33" s="393" t="s">
        <v>1339</v>
      </c>
      <c r="J33" s="393" t="s">
        <v>602</v>
      </c>
      <c r="K33" s="393" t="s">
        <v>602</v>
      </c>
      <c r="L33" s="393" t="s">
        <v>1334</v>
      </c>
      <c r="M33" s="393" t="s">
        <v>1386</v>
      </c>
      <c r="N33" s="393" t="s">
        <v>1331</v>
      </c>
      <c r="O33" s="393" t="s">
        <v>625</v>
      </c>
      <c r="P33" s="393" t="s">
        <v>1407</v>
      </c>
      <c r="Q33" s="393" t="s">
        <v>1407</v>
      </c>
      <c r="R33" s="393" t="s">
        <v>1408</v>
      </c>
      <c r="S33" s="393" t="s">
        <v>1409</v>
      </c>
      <c r="T33" s="393" t="s">
        <v>1410</v>
      </c>
      <c r="U33" s="393" t="s">
        <v>631</v>
      </c>
      <c r="V33" s="393" t="s">
        <v>632</v>
      </c>
      <c r="W33" s="393" t="s">
        <v>1411</v>
      </c>
      <c r="X33" s="393" t="s">
        <v>1412</v>
      </c>
      <c r="Y33" s="393" t="s">
        <v>634</v>
      </c>
      <c r="Z33" s="393" t="s">
        <v>1413</v>
      </c>
      <c r="AA33" s="393" t="s">
        <v>1414</v>
      </c>
      <c r="AB33" s="393" t="s">
        <v>636</v>
      </c>
      <c r="AC33" s="393" t="s">
        <v>1415</v>
      </c>
      <c r="AD33" s="366" t="s">
        <v>1416</v>
      </c>
      <c r="AE33" s="366" t="s">
        <v>638</v>
      </c>
      <c r="AF33" s="366" t="s">
        <v>639</v>
      </c>
      <c r="AG33" s="209"/>
      <c r="AH33" s="209"/>
      <c r="AI33" s="393" t="s">
        <v>1339</v>
      </c>
      <c r="AJ33" s="307"/>
    </row>
    <row r="34" spans="1:36" ht="15.75" thickBot="1">
      <c r="A34" s="310" t="s">
        <v>81</v>
      </c>
      <c r="B34" s="393" t="s">
        <v>1417</v>
      </c>
      <c r="C34" s="393" t="s">
        <v>1417</v>
      </c>
      <c r="D34" s="393" t="s">
        <v>1418</v>
      </c>
      <c r="E34" s="393" t="s">
        <v>1418</v>
      </c>
      <c r="F34" s="393" t="s">
        <v>1418</v>
      </c>
      <c r="G34" s="393" t="s">
        <v>1418</v>
      </c>
      <c r="H34" s="393" t="s">
        <v>1418</v>
      </c>
      <c r="I34" s="393" t="s">
        <v>1418</v>
      </c>
      <c r="J34" s="393" t="s">
        <v>1403</v>
      </c>
      <c r="K34" s="393" t="s">
        <v>1419</v>
      </c>
      <c r="L34" s="393" t="s">
        <v>1418</v>
      </c>
      <c r="M34" s="393" t="s">
        <v>1418</v>
      </c>
      <c r="N34" s="393" t="s">
        <v>1420</v>
      </c>
      <c r="O34" s="393" t="s">
        <v>1418</v>
      </c>
      <c r="P34" s="393" t="s">
        <v>1419</v>
      </c>
      <c r="Q34" s="393" t="s">
        <v>1402</v>
      </c>
      <c r="R34" s="393" t="s">
        <v>1402</v>
      </c>
      <c r="S34" s="393" t="s">
        <v>1420</v>
      </c>
      <c r="T34" s="393" t="s">
        <v>1420</v>
      </c>
      <c r="U34" s="393" t="s">
        <v>1421</v>
      </c>
      <c r="V34" s="393" t="s">
        <v>1403</v>
      </c>
      <c r="W34" s="393" t="s">
        <v>1403</v>
      </c>
      <c r="X34" s="393" t="s">
        <v>1403</v>
      </c>
      <c r="Y34" s="393" t="s">
        <v>1403</v>
      </c>
      <c r="Z34" s="393" t="s">
        <v>1403</v>
      </c>
      <c r="AA34" s="393" t="s">
        <v>1402</v>
      </c>
      <c r="AB34" s="393" t="s">
        <v>1403</v>
      </c>
      <c r="AC34" s="393" t="s">
        <v>1402</v>
      </c>
      <c r="AD34" s="366" t="s">
        <v>1422</v>
      </c>
      <c r="AE34" s="366" t="s">
        <v>1402</v>
      </c>
      <c r="AF34" s="366" t="s">
        <v>1402</v>
      </c>
      <c r="AG34" s="209"/>
      <c r="AH34" s="209"/>
      <c r="AI34" s="393" t="s">
        <v>1417</v>
      </c>
      <c r="AJ34" s="307"/>
    </row>
    <row r="35" spans="1:36">
      <c r="AG35" s="211"/>
      <c r="AH35" s="211"/>
    </row>
    <row r="36" spans="1:36">
      <c r="AG36" s="211"/>
      <c r="AH36" s="211"/>
    </row>
  </sheetData>
  <mergeCells count="1">
    <mergeCell ref="A1:A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D810-40C3-4AAD-A44B-ADC57A96E2C1}">
  <dimension ref="A1:AJ36"/>
  <sheetViews>
    <sheetView topLeftCell="O1" workbookViewId="0">
      <selection activeCell="AG20" sqref="AG20"/>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29" width="12.85546875" style="144" customWidth="1"/>
    <col min="30" max="30" width="9.140625" style="144"/>
    <col min="31" max="31" width="12.85546875" style="144" customWidth="1"/>
    <col min="32" max="32" width="11" style="380" customWidth="1"/>
    <col min="33" max="33" width="11.42578125" style="144" customWidth="1"/>
    <col min="34"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row>
    <row r="2" spans="1:36" ht="15.75">
      <c r="A2" s="280"/>
      <c r="B2" s="281">
        <v>44958</v>
      </c>
      <c r="C2" s="281">
        <v>44959</v>
      </c>
      <c r="D2" s="281">
        <v>44960</v>
      </c>
      <c r="E2" s="281">
        <v>44961</v>
      </c>
      <c r="F2" s="281">
        <v>44962</v>
      </c>
      <c r="G2" s="281">
        <v>44963</v>
      </c>
      <c r="H2" s="281">
        <v>44964</v>
      </c>
      <c r="I2" s="281">
        <v>44965</v>
      </c>
      <c r="J2" s="281">
        <v>44966</v>
      </c>
      <c r="K2" s="281">
        <v>44967</v>
      </c>
      <c r="L2" s="281">
        <v>44968</v>
      </c>
      <c r="M2" s="281">
        <v>44969</v>
      </c>
      <c r="N2" s="281">
        <v>44970</v>
      </c>
      <c r="O2" s="281">
        <v>44971</v>
      </c>
      <c r="P2" s="281">
        <v>44972</v>
      </c>
      <c r="Q2" s="281">
        <v>44973</v>
      </c>
      <c r="R2" s="281">
        <v>44974</v>
      </c>
      <c r="S2" s="281">
        <v>44975</v>
      </c>
      <c r="T2" s="281">
        <v>44976</v>
      </c>
      <c r="U2" s="281">
        <v>44977</v>
      </c>
      <c r="V2" s="281">
        <v>44978</v>
      </c>
      <c r="W2" s="281">
        <v>44979</v>
      </c>
      <c r="X2" s="281">
        <v>44980</v>
      </c>
      <c r="Y2" s="281">
        <v>44981</v>
      </c>
      <c r="Z2" s="281">
        <v>44982</v>
      </c>
      <c r="AA2" s="281">
        <v>44983</v>
      </c>
      <c r="AB2" s="281">
        <v>44984</v>
      </c>
      <c r="AC2" s="281">
        <v>44985</v>
      </c>
      <c r="AD2" s="281"/>
      <c r="AE2" s="281">
        <v>44957</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71"/>
      <c r="AE3" s="283" t="s">
        <v>52</v>
      </c>
    </row>
    <row r="4" spans="1:36" ht="20.100000000000001" customHeight="1">
      <c r="A4" s="285" t="s">
        <v>54</v>
      </c>
      <c r="B4" s="367">
        <v>285309</v>
      </c>
      <c r="C4" s="367">
        <v>285524</v>
      </c>
      <c r="D4" s="367">
        <v>285738</v>
      </c>
      <c r="E4" s="367">
        <v>285941</v>
      </c>
      <c r="F4" s="367">
        <v>286151</v>
      </c>
      <c r="G4" s="367">
        <v>286367</v>
      </c>
      <c r="H4" s="367">
        <v>286582</v>
      </c>
      <c r="I4" s="367">
        <v>286800</v>
      </c>
      <c r="J4" s="367">
        <v>287017</v>
      </c>
      <c r="K4" s="212">
        <v>287228</v>
      </c>
      <c r="L4" s="212">
        <v>287427</v>
      </c>
      <c r="M4" s="349">
        <v>287635</v>
      </c>
      <c r="N4" s="349">
        <v>287854</v>
      </c>
      <c r="O4" s="349">
        <v>288071</v>
      </c>
      <c r="P4" s="367">
        <v>288285</v>
      </c>
      <c r="Q4" s="367">
        <v>288505</v>
      </c>
      <c r="R4" s="212">
        <v>288719</v>
      </c>
      <c r="S4" s="367">
        <v>288917</v>
      </c>
      <c r="T4" s="367">
        <v>289126</v>
      </c>
      <c r="U4" s="367">
        <v>289332</v>
      </c>
      <c r="V4" s="367">
        <v>289554</v>
      </c>
      <c r="W4" s="367">
        <v>289767</v>
      </c>
      <c r="X4" s="367">
        <v>289986</v>
      </c>
      <c r="Y4" s="367">
        <v>290200</v>
      </c>
      <c r="Z4" s="367">
        <v>290402</v>
      </c>
      <c r="AA4" s="367">
        <v>290613</v>
      </c>
      <c r="AB4" s="367">
        <v>290834</v>
      </c>
      <c r="AC4" s="367">
        <v>291051</v>
      </c>
      <c r="AD4" s="287"/>
      <c r="AE4" s="349">
        <v>285093</v>
      </c>
      <c r="AG4" s="318"/>
      <c r="AJ4" s="288"/>
    </row>
    <row r="5" spans="1:36" ht="20.100000000000001" customHeight="1">
      <c r="A5" s="285" t="s">
        <v>55</v>
      </c>
      <c r="B5" s="367">
        <v>7813967</v>
      </c>
      <c r="C5" s="367">
        <v>7821329</v>
      </c>
      <c r="D5" s="367">
        <v>7828478</v>
      </c>
      <c r="E5" s="367">
        <v>7835065</v>
      </c>
      <c r="F5" s="367">
        <v>7841858</v>
      </c>
      <c r="G5" s="367">
        <v>7849010</v>
      </c>
      <c r="H5" s="367">
        <v>7856392</v>
      </c>
      <c r="I5" s="367">
        <v>7863920</v>
      </c>
      <c r="J5" s="367">
        <v>7871255</v>
      </c>
      <c r="K5" s="212">
        <v>7877987</v>
      </c>
      <c r="L5" s="212">
        <v>7884085</v>
      </c>
      <c r="M5" s="349">
        <v>7890576</v>
      </c>
      <c r="N5" s="349">
        <v>7897826</v>
      </c>
      <c r="O5" s="349">
        <v>7904999</v>
      </c>
      <c r="P5" s="367">
        <v>7912168</v>
      </c>
      <c r="Q5" s="367">
        <v>7919510</v>
      </c>
      <c r="R5" s="212">
        <v>7926513</v>
      </c>
      <c r="S5" s="367">
        <v>7932615</v>
      </c>
      <c r="T5" s="367">
        <v>7938913</v>
      </c>
      <c r="U5" s="367">
        <v>7945612</v>
      </c>
      <c r="V5" s="367">
        <v>7952690</v>
      </c>
      <c r="W5" s="367">
        <v>7959868</v>
      </c>
      <c r="X5" s="367">
        <v>7967164</v>
      </c>
      <c r="Y5" s="367">
        <v>7973900</v>
      </c>
      <c r="Z5" s="367">
        <v>7980577</v>
      </c>
      <c r="AA5" s="367">
        <v>7988045</v>
      </c>
      <c r="AB5" s="367">
        <v>7996124</v>
      </c>
      <c r="AC5" s="367">
        <v>8003900</v>
      </c>
      <c r="AD5" s="287"/>
      <c r="AE5" s="349">
        <v>7806827</v>
      </c>
      <c r="AG5" s="318"/>
      <c r="AJ5" s="288"/>
    </row>
    <row r="6" spans="1:36" ht="20.100000000000001" customHeight="1">
      <c r="A6" s="285" t="s">
        <v>56</v>
      </c>
      <c r="B6" s="367">
        <v>3746384</v>
      </c>
      <c r="C6" s="367">
        <v>3749950</v>
      </c>
      <c r="D6" s="367">
        <v>3753276</v>
      </c>
      <c r="E6" s="367">
        <v>3756323</v>
      </c>
      <c r="F6" s="367">
        <v>3759496</v>
      </c>
      <c r="G6" s="367">
        <v>3762904</v>
      </c>
      <c r="H6" s="367">
        <v>3766371</v>
      </c>
      <c r="I6" s="367">
        <v>3769958</v>
      </c>
      <c r="J6" s="367">
        <v>3773400</v>
      </c>
      <c r="K6" s="212">
        <v>3776597</v>
      </c>
      <c r="L6" s="212">
        <v>3779694</v>
      </c>
      <c r="M6" s="349">
        <v>3782757</v>
      </c>
      <c r="N6" s="349">
        <v>3786231</v>
      </c>
      <c r="O6" s="349">
        <v>3789632</v>
      </c>
      <c r="P6" s="367">
        <v>3793029</v>
      </c>
      <c r="Q6" s="367">
        <v>3796563</v>
      </c>
      <c r="R6" s="212">
        <v>3799843</v>
      </c>
      <c r="S6" s="367">
        <v>3802743</v>
      </c>
      <c r="T6" s="367">
        <v>3805990</v>
      </c>
      <c r="U6" s="367">
        <v>3809295</v>
      </c>
      <c r="V6" s="367">
        <v>3812899</v>
      </c>
      <c r="W6" s="367">
        <v>3816277</v>
      </c>
      <c r="X6" s="367">
        <v>3819849</v>
      </c>
      <c r="Y6" s="367">
        <v>3823109</v>
      </c>
      <c r="Z6" s="367">
        <v>3826099</v>
      </c>
      <c r="AA6" s="367">
        <v>3829287</v>
      </c>
      <c r="AB6" s="367">
        <v>3832943</v>
      </c>
      <c r="AC6" s="367">
        <v>3836521</v>
      </c>
      <c r="AD6" s="287"/>
      <c r="AE6" s="349">
        <v>3742900</v>
      </c>
      <c r="AG6" s="318"/>
      <c r="AJ6" s="288"/>
    </row>
    <row r="7" spans="1:36" ht="20.100000000000001" customHeight="1">
      <c r="A7" s="285" t="s">
        <v>57</v>
      </c>
      <c r="B7" s="367">
        <v>8866648</v>
      </c>
      <c r="C7" s="367">
        <v>8873564</v>
      </c>
      <c r="D7" s="367">
        <v>8880339</v>
      </c>
      <c r="E7" s="367">
        <v>8885464</v>
      </c>
      <c r="F7" s="367">
        <v>8890197</v>
      </c>
      <c r="G7" s="367">
        <v>8894967</v>
      </c>
      <c r="H7" s="367">
        <v>8895045</v>
      </c>
      <c r="I7" s="367">
        <v>8895119</v>
      </c>
      <c r="J7" s="367">
        <v>8895195</v>
      </c>
      <c r="K7" s="212">
        <v>8895270</v>
      </c>
      <c r="L7" s="212">
        <v>8895347</v>
      </c>
      <c r="M7" s="349">
        <v>8895422</v>
      </c>
      <c r="N7" s="349">
        <v>8895497</v>
      </c>
      <c r="O7" s="349">
        <v>8895571</v>
      </c>
      <c r="P7" s="367">
        <v>8895644</v>
      </c>
      <c r="Q7" s="367">
        <v>8895719</v>
      </c>
      <c r="R7" s="212">
        <v>8895796</v>
      </c>
      <c r="S7" s="367">
        <v>8895872</v>
      </c>
      <c r="T7" s="367">
        <v>8900615</v>
      </c>
      <c r="U7" s="367">
        <v>8907632</v>
      </c>
      <c r="V7" s="367">
        <v>8915165</v>
      </c>
      <c r="W7" s="367">
        <v>8922239</v>
      </c>
      <c r="X7" s="367">
        <v>8929515</v>
      </c>
      <c r="Y7" s="367">
        <v>8937051</v>
      </c>
      <c r="Z7" s="367">
        <v>8944298</v>
      </c>
      <c r="AA7" s="367">
        <v>8950351</v>
      </c>
      <c r="AB7" s="367">
        <v>8957419</v>
      </c>
      <c r="AC7" s="367">
        <v>8964888</v>
      </c>
      <c r="AD7" s="287"/>
      <c r="AE7" s="349">
        <v>8860720</v>
      </c>
      <c r="AG7" s="318"/>
      <c r="AJ7" s="288"/>
    </row>
    <row r="8" spans="1:36" ht="20.100000000000001" customHeight="1">
      <c r="A8" s="285" t="s">
        <v>58</v>
      </c>
      <c r="B8" s="367">
        <v>2870801</v>
      </c>
      <c r="C8" s="367">
        <v>2870801</v>
      </c>
      <c r="D8" s="367">
        <v>2870801</v>
      </c>
      <c r="E8" s="367">
        <v>2870801</v>
      </c>
      <c r="F8" s="367">
        <v>2870801</v>
      </c>
      <c r="G8" s="367">
        <v>2871036</v>
      </c>
      <c r="H8" s="367">
        <v>2873247</v>
      </c>
      <c r="I8" s="367">
        <v>2875443</v>
      </c>
      <c r="J8" s="367">
        <v>2877676</v>
      </c>
      <c r="K8" s="212">
        <v>2879828</v>
      </c>
      <c r="L8" s="212">
        <v>2881913</v>
      </c>
      <c r="M8" s="349">
        <v>2884041</v>
      </c>
      <c r="N8" s="349">
        <v>2886330</v>
      </c>
      <c r="O8" s="349">
        <v>2888640</v>
      </c>
      <c r="P8" s="367">
        <v>2890919</v>
      </c>
      <c r="Q8" s="367">
        <v>2893327</v>
      </c>
      <c r="R8" s="212">
        <v>2895645</v>
      </c>
      <c r="S8" s="367">
        <v>2897769</v>
      </c>
      <c r="T8" s="367">
        <v>2898432</v>
      </c>
      <c r="U8" s="367">
        <v>2898432</v>
      </c>
      <c r="V8" s="367">
        <v>2898432</v>
      </c>
      <c r="W8" s="367">
        <v>2898432</v>
      </c>
      <c r="X8" s="367">
        <v>2898432</v>
      </c>
      <c r="Y8" s="367">
        <v>2898432</v>
      </c>
      <c r="Z8" s="367">
        <v>2898432</v>
      </c>
      <c r="AA8" s="367">
        <v>2898823</v>
      </c>
      <c r="AB8" s="367">
        <v>2899118</v>
      </c>
      <c r="AC8" s="367">
        <v>2899118</v>
      </c>
      <c r="AD8" s="287"/>
      <c r="AE8" s="349">
        <v>2870801</v>
      </c>
      <c r="AG8" s="318"/>
      <c r="AJ8" s="288"/>
    </row>
    <row r="9" spans="1:36" ht="20.100000000000001" customHeight="1">
      <c r="A9" s="285" t="s">
        <v>59</v>
      </c>
      <c r="B9" s="369">
        <v>18461911</v>
      </c>
      <c r="C9" s="369">
        <v>18471439</v>
      </c>
      <c r="D9" s="369">
        <v>18480850</v>
      </c>
      <c r="E9" s="369">
        <v>18489946</v>
      </c>
      <c r="F9" s="369">
        <v>18499307</v>
      </c>
      <c r="G9" s="369">
        <v>18508884</v>
      </c>
      <c r="H9" s="369">
        <v>18518295</v>
      </c>
      <c r="I9" s="369">
        <v>18527741</v>
      </c>
      <c r="J9" s="369">
        <v>18536974</v>
      </c>
      <c r="K9" s="214">
        <v>18546136</v>
      </c>
      <c r="L9" s="214">
        <v>18555154</v>
      </c>
      <c r="M9" s="352">
        <v>18564284</v>
      </c>
      <c r="N9" s="352">
        <v>18573834</v>
      </c>
      <c r="O9" s="352">
        <v>18583335</v>
      </c>
      <c r="P9" s="369">
        <v>18592561</v>
      </c>
      <c r="Q9" s="369">
        <v>18601799</v>
      </c>
      <c r="R9" s="214">
        <v>18610492</v>
      </c>
      <c r="S9" s="369">
        <v>18618815</v>
      </c>
      <c r="T9" s="369">
        <v>18627367</v>
      </c>
      <c r="U9" s="369">
        <v>18635700</v>
      </c>
      <c r="V9" s="369">
        <v>18644977</v>
      </c>
      <c r="W9" s="369">
        <v>18654262</v>
      </c>
      <c r="X9" s="369">
        <v>18663973</v>
      </c>
      <c r="Y9" s="369">
        <v>18673657</v>
      </c>
      <c r="Z9" s="369">
        <v>18682814</v>
      </c>
      <c r="AA9" s="369">
        <v>18692463</v>
      </c>
      <c r="AB9" s="369">
        <v>18702351</v>
      </c>
      <c r="AC9" s="369">
        <v>18711698</v>
      </c>
      <c r="AD9" s="290"/>
      <c r="AE9" s="352">
        <v>18452640</v>
      </c>
      <c r="AG9" s="318"/>
      <c r="AJ9" s="288"/>
    </row>
    <row r="10" spans="1:36" ht="20.100000000000001" customHeight="1">
      <c r="A10" s="285" t="s">
        <v>60</v>
      </c>
      <c r="B10" s="367">
        <v>5756789</v>
      </c>
      <c r="C10" s="367">
        <v>5760544</v>
      </c>
      <c r="D10" s="367">
        <v>5763822</v>
      </c>
      <c r="E10" s="367">
        <v>5766261</v>
      </c>
      <c r="F10" s="367">
        <v>5769236</v>
      </c>
      <c r="G10" s="367">
        <v>5772853</v>
      </c>
      <c r="H10" s="367">
        <v>5776610</v>
      </c>
      <c r="I10" s="367">
        <v>5780326</v>
      </c>
      <c r="J10" s="367">
        <v>5783967</v>
      </c>
      <c r="K10" s="212">
        <v>5787039</v>
      </c>
      <c r="L10" s="212">
        <v>5789460</v>
      </c>
      <c r="M10" s="349">
        <v>5792468</v>
      </c>
      <c r="N10" s="349">
        <v>5796229</v>
      </c>
      <c r="O10" s="349">
        <v>5799540</v>
      </c>
      <c r="P10" s="367">
        <v>5802582</v>
      </c>
      <c r="Q10" s="367">
        <v>5806331</v>
      </c>
      <c r="R10" s="212">
        <v>5809558</v>
      </c>
      <c r="S10" s="367">
        <v>5812104</v>
      </c>
      <c r="T10" s="367">
        <v>5815056</v>
      </c>
      <c r="U10" s="367">
        <v>5818549</v>
      </c>
      <c r="V10" s="367">
        <v>5822277</v>
      </c>
      <c r="W10" s="367">
        <v>5825844</v>
      </c>
      <c r="X10" s="367">
        <v>5829512</v>
      </c>
      <c r="Y10" s="367">
        <v>5832733</v>
      </c>
      <c r="Z10" s="367">
        <v>5835222</v>
      </c>
      <c r="AA10" s="367">
        <v>5838332</v>
      </c>
      <c r="AB10" s="367">
        <v>5842180</v>
      </c>
      <c r="AC10" s="367">
        <v>5845845</v>
      </c>
      <c r="AD10" s="287"/>
      <c r="AE10" s="349">
        <v>5753119</v>
      </c>
      <c r="AG10" s="318"/>
      <c r="AJ10" s="288"/>
    </row>
    <row r="11" spans="1:36" ht="22.5" customHeight="1">
      <c r="A11" s="285" t="s">
        <v>61</v>
      </c>
      <c r="B11" s="367">
        <v>224555</v>
      </c>
      <c r="C11" s="367">
        <v>224725</v>
      </c>
      <c r="D11" s="367">
        <v>224895</v>
      </c>
      <c r="E11" s="367">
        <v>225043</v>
      </c>
      <c r="F11" s="367">
        <v>225202</v>
      </c>
      <c r="G11" s="367">
        <v>225374</v>
      </c>
      <c r="H11" s="367">
        <v>225541</v>
      </c>
      <c r="I11" s="367">
        <v>225724</v>
      </c>
      <c r="J11" s="367">
        <v>225905</v>
      </c>
      <c r="K11" s="212">
        <v>226068</v>
      </c>
      <c r="L11" s="212">
        <v>226214</v>
      </c>
      <c r="M11" s="349">
        <v>226369</v>
      </c>
      <c r="N11" s="349">
        <v>226544</v>
      </c>
      <c r="O11" s="349">
        <v>226716</v>
      </c>
      <c r="P11" s="367">
        <v>226882</v>
      </c>
      <c r="Q11" s="367">
        <v>227064</v>
      </c>
      <c r="R11" s="212">
        <v>227233</v>
      </c>
      <c r="S11" s="367">
        <v>227381</v>
      </c>
      <c r="T11" s="367">
        <v>227541</v>
      </c>
      <c r="U11" s="367">
        <v>227708</v>
      </c>
      <c r="V11" s="367">
        <v>227884</v>
      </c>
      <c r="W11" s="367">
        <v>228056</v>
      </c>
      <c r="X11" s="367">
        <v>228227</v>
      </c>
      <c r="Y11" s="367">
        <v>228390</v>
      </c>
      <c r="Z11" s="367">
        <v>228536</v>
      </c>
      <c r="AA11" s="367">
        <v>228696</v>
      </c>
      <c r="AB11" s="367">
        <v>228883</v>
      </c>
      <c r="AC11" s="367">
        <v>229060</v>
      </c>
      <c r="AD11" s="287"/>
      <c r="AE11" s="349">
        <v>224385</v>
      </c>
      <c r="AG11" s="318"/>
      <c r="AJ11" s="288"/>
    </row>
    <row r="12" spans="1:36" s="294" customFormat="1" ht="18" customHeight="1">
      <c r="A12" s="291" t="s">
        <v>62</v>
      </c>
      <c r="B12" s="371"/>
      <c r="C12" s="371"/>
      <c r="D12" s="371"/>
      <c r="E12" s="371"/>
      <c r="F12" s="371"/>
      <c r="G12" s="371"/>
      <c r="H12" s="371"/>
      <c r="I12" s="371"/>
      <c r="J12" s="371"/>
      <c r="K12" s="381"/>
      <c r="L12" s="381"/>
      <c r="M12" s="353"/>
      <c r="N12" s="353"/>
      <c r="O12" s="353"/>
      <c r="P12" s="371"/>
      <c r="Q12" s="371"/>
      <c r="R12" s="162"/>
      <c r="S12" s="371"/>
      <c r="T12" s="371"/>
      <c r="U12" s="371"/>
      <c r="V12" s="371"/>
      <c r="W12" s="371"/>
      <c r="X12" s="371"/>
      <c r="Y12" s="371"/>
      <c r="Z12" s="371"/>
      <c r="AA12" s="371"/>
      <c r="AB12" s="371"/>
      <c r="AC12" s="371"/>
      <c r="AD12" s="293"/>
      <c r="AE12" s="353"/>
    </row>
    <row r="13" spans="1:36">
      <c r="A13" s="282" t="s">
        <v>63</v>
      </c>
      <c r="B13" s="372" t="s">
        <v>64</v>
      </c>
      <c r="C13" s="372" t="s">
        <v>64</v>
      </c>
      <c r="D13" s="372" t="s">
        <v>64</v>
      </c>
      <c r="E13" s="372" t="s">
        <v>64</v>
      </c>
      <c r="F13" s="372" t="s">
        <v>64</v>
      </c>
      <c r="G13" s="372" t="s">
        <v>64</v>
      </c>
      <c r="H13" s="372" t="s">
        <v>64</v>
      </c>
      <c r="I13" s="372" t="s">
        <v>64</v>
      </c>
      <c r="J13" s="372" t="s">
        <v>64</v>
      </c>
      <c r="K13" s="262" t="s">
        <v>64</v>
      </c>
      <c r="L13" s="262" t="s">
        <v>64</v>
      </c>
      <c r="M13" s="354" t="s">
        <v>64</v>
      </c>
      <c r="N13" s="354" t="s">
        <v>64</v>
      </c>
      <c r="O13" s="354" t="s">
        <v>64</v>
      </c>
      <c r="P13" s="372" t="s">
        <v>64</v>
      </c>
      <c r="Q13" s="372" t="s">
        <v>64</v>
      </c>
      <c r="R13" s="181" t="s">
        <v>64</v>
      </c>
      <c r="S13" s="372" t="s">
        <v>64</v>
      </c>
      <c r="T13" s="372" t="s">
        <v>64</v>
      </c>
      <c r="U13" s="372" t="s">
        <v>64</v>
      </c>
      <c r="V13" s="372" t="s">
        <v>64</v>
      </c>
      <c r="W13" s="372" t="s">
        <v>64</v>
      </c>
      <c r="X13" s="372" t="s">
        <v>64</v>
      </c>
      <c r="Y13" s="372" t="s">
        <v>64</v>
      </c>
      <c r="Z13" s="372" t="s">
        <v>64</v>
      </c>
      <c r="AA13" s="372" t="s">
        <v>64</v>
      </c>
      <c r="AB13" s="372" t="s">
        <v>64</v>
      </c>
      <c r="AC13" s="372" t="s">
        <v>64</v>
      </c>
      <c r="AD13" s="296"/>
      <c r="AE13" s="354" t="s">
        <v>64</v>
      </c>
    </row>
    <row r="14" spans="1:36">
      <c r="A14" s="282" t="s">
        <v>995</v>
      </c>
      <c r="B14" s="373">
        <v>288903.71000000002</v>
      </c>
      <c r="C14" s="373">
        <v>288903.71000000002</v>
      </c>
      <c r="D14" s="373">
        <v>288903.71000000002</v>
      </c>
      <c r="E14" s="373">
        <v>290128.34000000003</v>
      </c>
      <c r="F14" s="373">
        <v>290128.34000000003</v>
      </c>
      <c r="G14" s="373">
        <v>290128.34000000003</v>
      </c>
      <c r="H14" s="373">
        <v>290128.34000000003</v>
      </c>
      <c r="I14" s="373">
        <v>290128.34000000003</v>
      </c>
      <c r="J14" s="373">
        <v>290128.34000000003</v>
      </c>
      <c r="K14" s="267">
        <v>290128.34000000003</v>
      </c>
      <c r="L14" s="267">
        <v>291032.67</v>
      </c>
      <c r="M14" s="356">
        <v>291032.67</v>
      </c>
      <c r="N14" s="356">
        <v>291032.67</v>
      </c>
      <c r="O14" s="356">
        <v>291032.67</v>
      </c>
      <c r="P14" s="373">
        <v>291032.67</v>
      </c>
      <c r="Q14" s="373">
        <v>291032.67</v>
      </c>
      <c r="R14" s="182">
        <v>291032.67</v>
      </c>
      <c r="S14" s="373">
        <v>291773.77</v>
      </c>
      <c r="T14" s="373">
        <v>291032.67</v>
      </c>
      <c r="U14" s="373">
        <v>291032.67</v>
      </c>
      <c r="V14" s="373">
        <v>291032.67</v>
      </c>
      <c r="W14" s="373">
        <v>291032.67</v>
      </c>
      <c r="X14" s="373">
        <v>291032.67</v>
      </c>
      <c r="Y14" s="373">
        <v>291032.67</v>
      </c>
      <c r="Z14" s="373">
        <v>292169.15000000002</v>
      </c>
      <c r="AA14" s="373">
        <v>292169.15000000002</v>
      </c>
      <c r="AB14" s="373">
        <v>292169.15000000002</v>
      </c>
      <c r="AC14" s="373">
        <v>292169.15000000002</v>
      </c>
      <c r="AD14" s="319">
        <f>AC14-AE14</f>
        <v>3265.4400000000023</v>
      </c>
      <c r="AE14" s="356">
        <v>288903.71000000002</v>
      </c>
    </row>
    <row r="15" spans="1:36" ht="25.5">
      <c r="A15" s="282" t="s">
        <v>67</v>
      </c>
      <c r="B15" s="374">
        <v>1807</v>
      </c>
      <c r="C15" s="374">
        <v>1807</v>
      </c>
      <c r="D15" s="374">
        <v>1807</v>
      </c>
      <c r="E15" s="374">
        <v>2095</v>
      </c>
      <c r="F15" s="374">
        <v>2095</v>
      </c>
      <c r="G15" s="374">
        <v>2095</v>
      </c>
      <c r="H15" s="374">
        <v>2095</v>
      </c>
      <c r="I15" s="374">
        <v>2095</v>
      </c>
      <c r="J15" s="374">
        <v>2095</v>
      </c>
      <c r="K15" s="268">
        <v>2095</v>
      </c>
      <c r="L15" s="268">
        <v>2488</v>
      </c>
      <c r="M15" s="358">
        <v>2488</v>
      </c>
      <c r="N15" s="358">
        <v>2488</v>
      </c>
      <c r="O15" s="358">
        <v>2488</v>
      </c>
      <c r="P15" s="374">
        <v>2488</v>
      </c>
      <c r="Q15" s="374">
        <v>2488</v>
      </c>
      <c r="R15" s="183">
        <v>2798</v>
      </c>
      <c r="S15" s="374">
        <v>2798</v>
      </c>
      <c r="T15" s="374">
        <v>2798</v>
      </c>
      <c r="U15" s="374">
        <v>2798</v>
      </c>
      <c r="V15" s="374">
        <v>2798</v>
      </c>
      <c r="W15" s="374">
        <v>2798</v>
      </c>
      <c r="X15" s="374">
        <v>2798</v>
      </c>
      <c r="Y15" s="374">
        <v>2798</v>
      </c>
      <c r="Z15" s="374">
        <v>2798</v>
      </c>
      <c r="AA15" s="374">
        <v>2798</v>
      </c>
      <c r="AB15" s="374">
        <v>2798</v>
      </c>
      <c r="AC15" s="374">
        <v>2798</v>
      </c>
      <c r="AD15" s="320"/>
      <c r="AE15" s="358">
        <v>1807</v>
      </c>
    </row>
    <row r="16" spans="1:36" ht="25.5">
      <c r="A16" s="282" t="s">
        <v>68</v>
      </c>
      <c r="B16" s="375">
        <v>7976</v>
      </c>
      <c r="C16" s="375">
        <v>7976</v>
      </c>
      <c r="D16" s="375">
        <v>7976</v>
      </c>
      <c r="E16" s="375">
        <v>7976</v>
      </c>
      <c r="F16" s="375">
        <v>7976</v>
      </c>
      <c r="G16" s="375">
        <v>7976</v>
      </c>
      <c r="H16" s="375">
        <v>7976</v>
      </c>
      <c r="I16" s="375">
        <v>7976</v>
      </c>
      <c r="J16" s="375">
        <v>7976</v>
      </c>
      <c r="K16" s="268">
        <v>7976</v>
      </c>
      <c r="L16" s="268">
        <v>7976</v>
      </c>
      <c r="M16" s="360">
        <v>7976</v>
      </c>
      <c r="N16" s="360">
        <v>7976</v>
      </c>
      <c r="O16" s="360">
        <v>7976</v>
      </c>
      <c r="P16" s="375">
        <v>7976</v>
      </c>
      <c r="Q16" s="375">
        <v>7976</v>
      </c>
      <c r="R16" s="336">
        <v>7976</v>
      </c>
      <c r="S16" s="375">
        <v>7976</v>
      </c>
      <c r="T16" s="375">
        <v>7976</v>
      </c>
      <c r="U16" s="375">
        <v>7976</v>
      </c>
      <c r="V16" s="375">
        <v>7976</v>
      </c>
      <c r="W16" s="375">
        <v>7976</v>
      </c>
      <c r="X16" s="375">
        <v>7976</v>
      </c>
      <c r="Y16" s="375">
        <v>7976</v>
      </c>
      <c r="Z16" s="375">
        <v>7976</v>
      </c>
      <c r="AA16" s="375">
        <v>7976</v>
      </c>
      <c r="AB16" s="375">
        <v>7976</v>
      </c>
      <c r="AC16" s="375">
        <v>7976</v>
      </c>
      <c r="AD16" s="320"/>
      <c r="AE16" s="360">
        <v>7976</v>
      </c>
    </row>
    <row r="17" spans="1:32" ht="20.100000000000001" customHeight="1">
      <c r="A17" s="303"/>
      <c r="B17" s="371"/>
      <c r="C17" s="371"/>
      <c r="D17" s="371"/>
      <c r="E17" s="371"/>
      <c r="F17" s="371"/>
      <c r="G17" s="371"/>
      <c r="H17" s="371"/>
      <c r="I17" s="371"/>
      <c r="J17" s="371"/>
      <c r="K17" s="381"/>
      <c r="L17" s="381"/>
      <c r="M17" s="353"/>
      <c r="N17" s="353"/>
      <c r="O17" s="353"/>
      <c r="P17" s="371"/>
      <c r="Q17" s="371"/>
      <c r="R17" s="162"/>
      <c r="S17" s="371"/>
      <c r="T17" s="371"/>
      <c r="U17" s="371"/>
      <c r="V17" s="371"/>
      <c r="W17" s="371"/>
      <c r="X17" s="371"/>
      <c r="Y17" s="371"/>
      <c r="Z17" s="371"/>
      <c r="AA17" s="371"/>
      <c r="AB17" s="371"/>
      <c r="AC17" s="371"/>
      <c r="AD17" s="304"/>
      <c r="AE17" s="353"/>
    </row>
    <row r="18" spans="1:32">
      <c r="A18" s="282" t="s">
        <v>69</v>
      </c>
      <c r="B18" s="372" t="s">
        <v>106</v>
      </c>
      <c r="C18" s="372" t="s">
        <v>106</v>
      </c>
      <c r="D18" s="372" t="s">
        <v>106</v>
      </c>
      <c r="E18" s="372" t="s">
        <v>106</v>
      </c>
      <c r="F18" s="372" t="s">
        <v>106</v>
      </c>
      <c r="G18" s="372" t="s">
        <v>106</v>
      </c>
      <c r="H18" s="372" t="s">
        <v>106</v>
      </c>
      <c r="I18" s="372" t="s">
        <v>106</v>
      </c>
      <c r="J18" s="372" t="s">
        <v>106</v>
      </c>
      <c r="K18" s="262" t="s">
        <v>64</v>
      </c>
      <c r="L18" s="262" t="s">
        <v>64</v>
      </c>
      <c r="M18" s="354" t="s">
        <v>106</v>
      </c>
      <c r="N18" s="354" t="s">
        <v>106</v>
      </c>
      <c r="O18" s="354" t="s">
        <v>106</v>
      </c>
      <c r="P18" s="372" t="s">
        <v>106</v>
      </c>
      <c r="Q18" s="372" t="s">
        <v>106</v>
      </c>
      <c r="R18" s="181" t="s">
        <v>106</v>
      </c>
      <c r="S18" s="372" t="s">
        <v>106</v>
      </c>
      <c r="T18" s="372" t="s">
        <v>106</v>
      </c>
      <c r="U18" s="372" t="s">
        <v>106</v>
      </c>
      <c r="V18" s="372" t="s">
        <v>106</v>
      </c>
      <c r="W18" s="372" t="s">
        <v>106</v>
      </c>
      <c r="X18" s="372" t="s">
        <v>106</v>
      </c>
      <c r="Y18" s="372" t="s">
        <v>106</v>
      </c>
      <c r="Z18" s="372" t="s">
        <v>106</v>
      </c>
      <c r="AA18" s="372" t="s">
        <v>106</v>
      </c>
      <c r="AB18" s="372" t="s">
        <v>106</v>
      </c>
      <c r="AC18" s="372" t="s">
        <v>106</v>
      </c>
      <c r="AD18" s="296"/>
      <c r="AE18" s="354" t="s">
        <v>106</v>
      </c>
    </row>
    <row r="19" spans="1:32" ht="25.5">
      <c r="A19" s="282" t="s">
        <v>70</v>
      </c>
      <c r="B19" s="376">
        <v>71314.399999999994</v>
      </c>
      <c r="C19" s="376">
        <v>71314.399999999994</v>
      </c>
      <c r="D19" s="376">
        <v>71358.600000000006</v>
      </c>
      <c r="E19" s="376">
        <v>71358.600000000006</v>
      </c>
      <c r="F19" s="376">
        <v>71384.100000000006</v>
      </c>
      <c r="G19" s="376">
        <v>71391.100000000006</v>
      </c>
      <c r="H19" s="376">
        <v>71405.3</v>
      </c>
      <c r="I19" s="376">
        <v>71414.7</v>
      </c>
      <c r="J19" s="376">
        <v>71429.399999999994</v>
      </c>
      <c r="K19" s="269">
        <v>71448.2</v>
      </c>
      <c r="L19" s="269">
        <v>71448.2</v>
      </c>
      <c r="M19" s="362">
        <v>71471.8</v>
      </c>
      <c r="N19" s="362">
        <v>71484.899999999994</v>
      </c>
      <c r="O19" s="362">
        <v>71509.100000000006</v>
      </c>
      <c r="P19" s="376">
        <v>71509.100000000006</v>
      </c>
      <c r="Q19" s="376">
        <v>71538.3</v>
      </c>
      <c r="R19" s="186">
        <v>71565.5</v>
      </c>
      <c r="S19" s="376">
        <v>71565.5</v>
      </c>
      <c r="T19" s="376">
        <v>71589.7</v>
      </c>
      <c r="U19" s="376">
        <v>71602.7</v>
      </c>
      <c r="V19" s="376">
        <v>71616.100000000006</v>
      </c>
      <c r="W19" s="376">
        <v>71629.600000000006</v>
      </c>
      <c r="X19" s="376">
        <v>71639.5</v>
      </c>
      <c r="Y19" s="376">
        <v>71653.2</v>
      </c>
      <c r="Z19" s="376">
        <v>71671.3</v>
      </c>
      <c r="AA19" s="376">
        <v>71690.2</v>
      </c>
      <c r="AB19" s="376">
        <v>71699.100000000006</v>
      </c>
      <c r="AC19" s="376">
        <v>71723.100000000006</v>
      </c>
      <c r="AD19" s="321"/>
      <c r="AE19" s="362">
        <v>71295.3</v>
      </c>
    </row>
    <row r="20" spans="1:32" ht="25.5">
      <c r="A20" s="282" t="s">
        <v>71</v>
      </c>
      <c r="B20" s="374" t="s">
        <v>1351</v>
      </c>
      <c r="C20" s="374" t="s">
        <v>1351</v>
      </c>
      <c r="D20" s="374" t="s">
        <v>1351</v>
      </c>
      <c r="E20" s="374" t="s">
        <v>1351</v>
      </c>
      <c r="F20" s="374" t="s">
        <v>1351</v>
      </c>
      <c r="G20" s="374" t="s">
        <v>1351</v>
      </c>
      <c r="H20" s="374" t="s">
        <v>1351</v>
      </c>
      <c r="I20" s="374" t="s">
        <v>1351</v>
      </c>
      <c r="J20" s="374" t="s">
        <v>1351</v>
      </c>
      <c r="K20" s="382" t="s">
        <v>1392</v>
      </c>
      <c r="L20" s="382" t="s">
        <v>1392</v>
      </c>
      <c r="M20" s="358" t="s">
        <v>1351</v>
      </c>
      <c r="N20" s="358" t="s">
        <v>1351</v>
      </c>
      <c r="O20" s="358" t="s">
        <v>1351</v>
      </c>
      <c r="P20" s="374" t="s">
        <v>1351</v>
      </c>
      <c r="Q20" s="374" t="s">
        <v>1351</v>
      </c>
      <c r="R20" s="183" t="s">
        <v>1351</v>
      </c>
      <c r="S20" s="374" t="s">
        <v>1351</v>
      </c>
      <c r="T20" s="374" t="s">
        <v>1351</v>
      </c>
      <c r="U20" s="374" t="s">
        <v>1351</v>
      </c>
      <c r="V20" s="374" t="s">
        <v>1351</v>
      </c>
      <c r="W20" s="374" t="s">
        <v>1351</v>
      </c>
      <c r="X20" s="374" t="s">
        <v>1351</v>
      </c>
      <c r="Y20" s="374" t="s">
        <v>1351</v>
      </c>
      <c r="Z20" s="374" t="s">
        <v>1351</v>
      </c>
      <c r="AA20" s="374" t="s">
        <v>1351</v>
      </c>
      <c r="AB20" s="374" t="s">
        <v>1351</v>
      </c>
      <c r="AC20" s="374" t="s">
        <v>1351</v>
      </c>
      <c r="AD20" s="209"/>
      <c r="AE20" s="358" t="s">
        <v>1351</v>
      </c>
    </row>
    <row r="21" spans="1:32">
      <c r="A21" s="282" t="s">
        <v>72</v>
      </c>
      <c r="B21" s="374">
        <v>129024</v>
      </c>
      <c r="C21" s="374">
        <v>129024</v>
      </c>
      <c r="D21" s="374">
        <v>129024</v>
      </c>
      <c r="E21" s="374">
        <v>129647</v>
      </c>
      <c r="F21" s="374">
        <v>129647</v>
      </c>
      <c r="G21" s="374">
        <v>129647</v>
      </c>
      <c r="H21" s="374">
        <v>129647</v>
      </c>
      <c r="I21" s="374">
        <v>129647</v>
      </c>
      <c r="J21" s="374">
        <v>129647</v>
      </c>
      <c r="K21" s="268">
        <v>129647</v>
      </c>
      <c r="L21" s="268">
        <v>130188</v>
      </c>
      <c r="M21" s="358">
        <v>130188</v>
      </c>
      <c r="N21" s="358">
        <v>130188</v>
      </c>
      <c r="O21" s="358">
        <v>130188</v>
      </c>
      <c r="P21" s="374">
        <v>130188</v>
      </c>
      <c r="Q21" s="374">
        <v>130188</v>
      </c>
      <c r="R21" s="183">
        <v>130188</v>
      </c>
      <c r="S21" s="374">
        <v>130841</v>
      </c>
      <c r="T21" s="374">
        <v>130188</v>
      </c>
      <c r="U21" s="374">
        <v>130188</v>
      </c>
      <c r="V21" s="374">
        <v>130188</v>
      </c>
      <c r="W21" s="374">
        <v>130188</v>
      </c>
      <c r="X21" s="374">
        <v>130188</v>
      </c>
      <c r="Y21" s="374">
        <v>130188</v>
      </c>
      <c r="Z21" s="374">
        <v>131558</v>
      </c>
      <c r="AA21" s="374">
        <v>131558</v>
      </c>
      <c r="AB21" s="374">
        <v>131558</v>
      </c>
      <c r="AC21" s="374">
        <v>131558</v>
      </c>
      <c r="AD21" s="321"/>
      <c r="AE21" s="358">
        <v>129024</v>
      </c>
    </row>
    <row r="22" spans="1:32">
      <c r="A22" s="282" t="s">
        <v>73</v>
      </c>
      <c r="B22" s="377">
        <v>174901</v>
      </c>
      <c r="C22" s="377">
        <v>174901</v>
      </c>
      <c r="D22" s="377">
        <v>175034</v>
      </c>
      <c r="E22" s="377">
        <v>175080</v>
      </c>
      <c r="F22" s="377">
        <v>175121</v>
      </c>
      <c r="G22" s="377">
        <v>175178</v>
      </c>
      <c r="H22" s="377">
        <v>175178</v>
      </c>
      <c r="I22" s="377">
        <v>175282</v>
      </c>
      <c r="J22" s="377">
        <v>175338</v>
      </c>
      <c r="K22" s="268">
        <v>175386</v>
      </c>
      <c r="L22" s="268">
        <v>175434</v>
      </c>
      <c r="M22" s="364">
        <v>175485</v>
      </c>
      <c r="N22" s="364">
        <v>175543</v>
      </c>
      <c r="O22" s="364">
        <v>175602</v>
      </c>
      <c r="P22" s="377">
        <v>17566.099999999999</v>
      </c>
      <c r="Q22" s="377">
        <v>17572.599999999999</v>
      </c>
      <c r="R22" s="322">
        <v>17578.599999999999</v>
      </c>
      <c r="S22" s="377">
        <v>17583.599999999999</v>
      </c>
      <c r="T22" s="377">
        <v>17587.599999999999</v>
      </c>
      <c r="U22" s="377">
        <v>17592.7</v>
      </c>
      <c r="V22" s="377">
        <v>17598.400000000001</v>
      </c>
      <c r="W22" s="377">
        <v>17603.5</v>
      </c>
      <c r="X22" s="377">
        <v>17609.7</v>
      </c>
      <c r="Y22" s="377">
        <v>17616.099999999999</v>
      </c>
      <c r="Z22" s="377">
        <v>17621.7</v>
      </c>
      <c r="AA22" s="377">
        <v>17628.099999999999</v>
      </c>
      <c r="AB22" s="377">
        <v>17635.400000000001</v>
      </c>
      <c r="AC22" s="377">
        <v>17642.099999999999</v>
      </c>
      <c r="AD22" s="321">
        <f>AC22-AE22</f>
        <v>199.09999999999854</v>
      </c>
      <c r="AE22" s="364">
        <v>17443</v>
      </c>
    </row>
    <row r="23" spans="1:32">
      <c r="A23" s="309" t="s">
        <v>136</v>
      </c>
      <c r="B23" s="374">
        <v>6698</v>
      </c>
      <c r="C23" s="374">
        <v>6698</v>
      </c>
      <c r="D23" s="374">
        <v>6698</v>
      </c>
      <c r="E23" s="374">
        <v>7055</v>
      </c>
      <c r="F23" s="374">
        <v>7055</v>
      </c>
      <c r="G23" s="374">
        <v>7055</v>
      </c>
      <c r="H23" s="374">
        <v>7055</v>
      </c>
      <c r="I23" s="374">
        <v>7055</v>
      </c>
      <c r="J23" s="374">
        <v>7055</v>
      </c>
      <c r="K23" s="268">
        <v>7055</v>
      </c>
      <c r="L23" s="268">
        <v>7110</v>
      </c>
      <c r="M23" s="358">
        <v>7110</v>
      </c>
      <c r="N23" s="358">
        <v>7110</v>
      </c>
      <c r="O23" s="358">
        <v>7110</v>
      </c>
      <c r="P23" s="374">
        <v>7110</v>
      </c>
      <c r="Q23" s="374">
        <v>7110</v>
      </c>
      <c r="R23" s="183">
        <v>7110</v>
      </c>
      <c r="S23" s="374">
        <v>7149</v>
      </c>
      <c r="T23" s="374">
        <v>7110</v>
      </c>
      <c r="U23" s="374">
        <v>7110</v>
      </c>
      <c r="V23" s="374">
        <v>7110</v>
      </c>
      <c r="W23" s="374">
        <v>7110</v>
      </c>
      <c r="X23" s="374">
        <v>7110</v>
      </c>
      <c r="Y23" s="374">
        <v>7110</v>
      </c>
      <c r="Z23" s="374">
        <v>7199</v>
      </c>
      <c r="AA23" s="374">
        <v>7199</v>
      </c>
      <c r="AB23" s="374">
        <v>7199</v>
      </c>
      <c r="AC23" s="374">
        <v>7199</v>
      </c>
      <c r="AD23" s="323">
        <f>AC23-AE23</f>
        <v>501</v>
      </c>
      <c r="AE23" s="358">
        <v>6698</v>
      </c>
      <c r="AF23" s="380">
        <v>501</v>
      </c>
    </row>
    <row r="24" spans="1:32">
      <c r="A24" s="309" t="s">
        <v>139</v>
      </c>
      <c r="B24" s="374">
        <v>4744</v>
      </c>
      <c r="C24" s="374">
        <v>4744</v>
      </c>
      <c r="D24" s="374">
        <v>4744</v>
      </c>
      <c r="E24" s="374">
        <v>4786</v>
      </c>
      <c r="F24" s="374">
        <v>4786</v>
      </c>
      <c r="G24" s="374">
        <v>4786</v>
      </c>
      <c r="H24" s="374">
        <v>4786</v>
      </c>
      <c r="I24" s="374">
        <v>4786</v>
      </c>
      <c r="J24" s="374">
        <v>4786</v>
      </c>
      <c r="K24" s="268">
        <v>4786</v>
      </c>
      <c r="L24" s="268">
        <v>4826</v>
      </c>
      <c r="M24" s="358">
        <v>4826</v>
      </c>
      <c r="N24" s="358">
        <v>4826</v>
      </c>
      <c r="O24" s="358">
        <v>4826</v>
      </c>
      <c r="P24" s="374">
        <v>4826</v>
      </c>
      <c r="Q24" s="374">
        <v>4826</v>
      </c>
      <c r="R24" s="183">
        <v>4826</v>
      </c>
      <c r="S24" s="374">
        <v>4858</v>
      </c>
      <c r="T24" s="374">
        <v>4826</v>
      </c>
      <c r="U24" s="374">
        <v>4826</v>
      </c>
      <c r="V24" s="374">
        <v>4826</v>
      </c>
      <c r="W24" s="374">
        <v>4826</v>
      </c>
      <c r="X24" s="374">
        <v>4826</v>
      </c>
      <c r="Y24" s="374">
        <v>4826</v>
      </c>
      <c r="Z24" s="374">
        <v>4900</v>
      </c>
      <c r="AA24" s="374">
        <v>4900</v>
      </c>
      <c r="AB24" s="374">
        <v>4900</v>
      </c>
      <c r="AC24" s="374">
        <v>4900</v>
      </c>
      <c r="AD24" s="323">
        <f t="shared" ref="AD24:AD29" si="0">AC24-AE24</f>
        <v>156</v>
      </c>
      <c r="AE24" s="358">
        <v>4744</v>
      </c>
      <c r="AF24" s="380">
        <v>156</v>
      </c>
    </row>
    <row r="25" spans="1:32">
      <c r="A25" s="309" t="s">
        <v>142</v>
      </c>
      <c r="B25" s="374">
        <v>1948</v>
      </c>
      <c r="C25" s="374">
        <v>1948</v>
      </c>
      <c r="D25" s="374">
        <v>1948</v>
      </c>
      <c r="E25" s="374">
        <v>1969</v>
      </c>
      <c r="F25" s="374">
        <v>1969</v>
      </c>
      <c r="G25" s="374">
        <v>1969</v>
      </c>
      <c r="H25" s="374">
        <v>1969</v>
      </c>
      <c r="I25" s="374">
        <v>1969</v>
      </c>
      <c r="J25" s="374">
        <v>1969</v>
      </c>
      <c r="K25" s="268">
        <v>1969</v>
      </c>
      <c r="L25" s="268">
        <v>1990</v>
      </c>
      <c r="M25" s="358">
        <v>1990</v>
      </c>
      <c r="N25" s="358">
        <v>1990</v>
      </c>
      <c r="O25" s="358">
        <v>1990</v>
      </c>
      <c r="P25" s="374">
        <v>1990</v>
      </c>
      <c r="Q25" s="374">
        <v>1990</v>
      </c>
      <c r="R25" s="183">
        <v>1990</v>
      </c>
      <c r="S25" s="374">
        <v>2005</v>
      </c>
      <c r="T25" s="374">
        <v>1990</v>
      </c>
      <c r="U25" s="374">
        <v>1990</v>
      </c>
      <c r="V25" s="374">
        <v>1990</v>
      </c>
      <c r="W25" s="374">
        <v>1990</v>
      </c>
      <c r="X25" s="374">
        <v>1990</v>
      </c>
      <c r="Y25" s="374">
        <v>1990</v>
      </c>
      <c r="Z25" s="374">
        <v>2024</v>
      </c>
      <c r="AA25" s="374">
        <v>2024</v>
      </c>
      <c r="AB25" s="374">
        <v>2024</v>
      </c>
      <c r="AC25" s="374">
        <v>2024</v>
      </c>
      <c r="AD25" s="323">
        <f t="shared" si="0"/>
        <v>76</v>
      </c>
      <c r="AE25" s="358">
        <v>1948</v>
      </c>
      <c r="AF25" s="380">
        <v>76</v>
      </c>
    </row>
    <row r="26" spans="1:32">
      <c r="A26" s="309" t="s">
        <v>145</v>
      </c>
      <c r="B26" s="374">
        <v>702</v>
      </c>
      <c r="C26" s="374">
        <v>702</v>
      </c>
      <c r="D26" s="374">
        <v>702</v>
      </c>
      <c r="E26" s="374">
        <v>720</v>
      </c>
      <c r="F26" s="374">
        <v>720</v>
      </c>
      <c r="G26" s="374">
        <v>720</v>
      </c>
      <c r="H26" s="374">
        <v>720</v>
      </c>
      <c r="I26" s="374">
        <v>720</v>
      </c>
      <c r="J26" s="374">
        <v>720</v>
      </c>
      <c r="K26" s="268">
        <v>720</v>
      </c>
      <c r="L26" s="268">
        <v>739</v>
      </c>
      <c r="M26" s="358">
        <v>739</v>
      </c>
      <c r="N26" s="358">
        <v>739</v>
      </c>
      <c r="O26" s="358">
        <v>739</v>
      </c>
      <c r="P26" s="374">
        <v>739</v>
      </c>
      <c r="Q26" s="374">
        <v>739</v>
      </c>
      <c r="R26" s="183">
        <v>739</v>
      </c>
      <c r="S26" s="374">
        <v>757</v>
      </c>
      <c r="T26" s="374">
        <v>739</v>
      </c>
      <c r="U26" s="374">
        <v>739</v>
      </c>
      <c r="V26" s="374">
        <v>739</v>
      </c>
      <c r="W26" s="374">
        <v>739</v>
      </c>
      <c r="X26" s="374">
        <v>739</v>
      </c>
      <c r="Y26" s="374">
        <v>739</v>
      </c>
      <c r="Z26" s="374">
        <v>775</v>
      </c>
      <c r="AA26" s="374">
        <v>775</v>
      </c>
      <c r="AB26" s="374">
        <v>775</v>
      </c>
      <c r="AC26" s="374">
        <v>775</v>
      </c>
      <c r="AD26" s="323">
        <f t="shared" si="0"/>
        <v>73</v>
      </c>
      <c r="AE26" s="358">
        <v>702</v>
      </c>
      <c r="AF26" s="380">
        <v>73</v>
      </c>
    </row>
    <row r="27" spans="1:32">
      <c r="A27" s="309" t="s">
        <v>148</v>
      </c>
      <c r="B27" s="374">
        <v>7046</v>
      </c>
      <c r="C27" s="374">
        <v>7046</v>
      </c>
      <c r="D27" s="374">
        <v>7046</v>
      </c>
      <c r="E27" s="374">
        <v>7215</v>
      </c>
      <c r="F27" s="374">
        <v>7215</v>
      </c>
      <c r="G27" s="374">
        <v>7215</v>
      </c>
      <c r="H27" s="374">
        <v>7215</v>
      </c>
      <c r="I27" s="374">
        <v>7215</v>
      </c>
      <c r="J27" s="374">
        <v>7215</v>
      </c>
      <c r="K27" s="268">
        <v>7215</v>
      </c>
      <c r="L27" s="268">
        <v>7311</v>
      </c>
      <c r="M27" s="358">
        <v>7311</v>
      </c>
      <c r="N27" s="358">
        <v>7311</v>
      </c>
      <c r="O27" s="358">
        <v>7311</v>
      </c>
      <c r="P27" s="374">
        <v>7311</v>
      </c>
      <c r="Q27" s="374">
        <v>7311</v>
      </c>
      <c r="R27" s="183">
        <v>7311</v>
      </c>
      <c r="S27" s="374">
        <v>7372</v>
      </c>
      <c r="T27" s="374">
        <v>7311</v>
      </c>
      <c r="U27" s="374">
        <v>7311</v>
      </c>
      <c r="V27" s="374">
        <v>7311</v>
      </c>
      <c r="W27" s="374">
        <v>7311</v>
      </c>
      <c r="X27" s="374">
        <v>7311</v>
      </c>
      <c r="Y27" s="374">
        <v>7311</v>
      </c>
      <c r="Z27" s="374">
        <v>7480</v>
      </c>
      <c r="AA27" s="374">
        <v>7480</v>
      </c>
      <c r="AB27" s="374">
        <v>7480</v>
      </c>
      <c r="AC27" s="374">
        <v>7480</v>
      </c>
      <c r="AD27" s="323">
        <f t="shared" si="0"/>
        <v>434</v>
      </c>
      <c r="AE27" s="358">
        <v>7046</v>
      </c>
      <c r="AF27" s="380">
        <v>434</v>
      </c>
    </row>
    <row r="28" spans="1:32">
      <c r="A28" s="309" t="s">
        <v>151</v>
      </c>
      <c r="B28" s="374">
        <v>1185</v>
      </c>
      <c r="C28" s="374">
        <v>1185</v>
      </c>
      <c r="D28" s="374">
        <v>1185</v>
      </c>
      <c r="E28" s="374">
        <v>1196</v>
      </c>
      <c r="F28" s="374">
        <v>1196</v>
      </c>
      <c r="G28" s="374">
        <v>1196</v>
      </c>
      <c r="H28" s="374">
        <v>1196</v>
      </c>
      <c r="I28" s="374">
        <v>1196</v>
      </c>
      <c r="J28" s="374">
        <v>1196</v>
      </c>
      <c r="K28" s="268">
        <v>1196</v>
      </c>
      <c r="L28" s="268">
        <v>1207</v>
      </c>
      <c r="M28" s="358">
        <v>1207</v>
      </c>
      <c r="N28" s="358">
        <v>1207</v>
      </c>
      <c r="O28" s="358">
        <v>1207</v>
      </c>
      <c r="P28" s="374">
        <v>1207</v>
      </c>
      <c r="Q28" s="374">
        <v>1207</v>
      </c>
      <c r="R28" s="183">
        <v>1207</v>
      </c>
      <c r="S28" s="374">
        <v>1218</v>
      </c>
      <c r="T28" s="374">
        <v>1207</v>
      </c>
      <c r="U28" s="374">
        <v>1207</v>
      </c>
      <c r="V28" s="374">
        <v>1207</v>
      </c>
      <c r="W28" s="374">
        <v>1207</v>
      </c>
      <c r="X28" s="374">
        <v>1207</v>
      </c>
      <c r="Y28" s="374">
        <v>1207</v>
      </c>
      <c r="Z28" s="374">
        <v>1229</v>
      </c>
      <c r="AA28" s="374">
        <v>1229</v>
      </c>
      <c r="AB28" s="374">
        <v>1229</v>
      </c>
      <c r="AC28" s="374">
        <v>1229</v>
      </c>
      <c r="AD28" s="323">
        <f t="shared" si="0"/>
        <v>44</v>
      </c>
      <c r="AE28" s="358">
        <v>1185</v>
      </c>
      <c r="AF28" s="380">
        <v>44</v>
      </c>
    </row>
    <row r="29" spans="1:32">
      <c r="A29" s="309" t="s">
        <v>154</v>
      </c>
      <c r="B29" s="374">
        <v>577</v>
      </c>
      <c r="C29" s="374">
        <v>577</v>
      </c>
      <c r="D29" s="374">
        <v>577</v>
      </c>
      <c r="E29" s="374">
        <v>586</v>
      </c>
      <c r="F29" s="374">
        <v>586</v>
      </c>
      <c r="G29" s="374">
        <v>586</v>
      </c>
      <c r="H29" s="374">
        <v>586</v>
      </c>
      <c r="I29" s="374">
        <v>586</v>
      </c>
      <c r="J29" s="374">
        <v>586</v>
      </c>
      <c r="K29" s="268">
        <v>586</v>
      </c>
      <c r="L29" s="268">
        <v>594</v>
      </c>
      <c r="M29" s="358">
        <v>594</v>
      </c>
      <c r="N29" s="358">
        <v>594</v>
      </c>
      <c r="O29" s="358">
        <v>594</v>
      </c>
      <c r="P29" s="374">
        <v>594</v>
      </c>
      <c r="Q29" s="374">
        <v>594</v>
      </c>
      <c r="R29" s="183">
        <v>594</v>
      </c>
      <c r="S29" s="374">
        <v>603</v>
      </c>
      <c r="T29" s="374">
        <v>594</v>
      </c>
      <c r="U29" s="374">
        <v>594</v>
      </c>
      <c r="V29" s="374">
        <v>594</v>
      </c>
      <c r="W29" s="374">
        <v>594</v>
      </c>
      <c r="X29" s="374">
        <v>594</v>
      </c>
      <c r="Y29" s="374">
        <v>594</v>
      </c>
      <c r="Z29" s="374">
        <v>611</v>
      </c>
      <c r="AA29" s="374">
        <v>611</v>
      </c>
      <c r="AB29" s="374">
        <v>611</v>
      </c>
      <c r="AC29" s="374">
        <v>611</v>
      </c>
      <c r="AD29" s="323">
        <f t="shared" si="0"/>
        <v>34</v>
      </c>
      <c r="AE29" s="358">
        <v>577</v>
      </c>
      <c r="AF29" s="380">
        <v>34</v>
      </c>
    </row>
    <row r="30" spans="1:32">
      <c r="A30" s="303"/>
      <c r="B30" s="371"/>
      <c r="C30" s="371"/>
      <c r="D30" s="371"/>
      <c r="E30" s="371"/>
      <c r="F30" s="371"/>
      <c r="G30" s="371"/>
      <c r="H30" s="371"/>
      <c r="I30" s="371"/>
      <c r="J30" s="371"/>
      <c r="K30" s="381"/>
      <c r="L30" s="381"/>
      <c r="M30" s="353"/>
      <c r="N30" s="353"/>
      <c r="O30" s="353"/>
      <c r="P30" s="371"/>
      <c r="Q30" s="371"/>
      <c r="R30" s="162"/>
      <c r="S30" s="371"/>
      <c r="T30" s="371"/>
      <c r="U30" s="371"/>
      <c r="V30" s="371"/>
      <c r="W30" s="371"/>
      <c r="X30" s="371"/>
      <c r="Y30" s="371"/>
      <c r="Z30" s="371"/>
      <c r="AA30" s="371"/>
      <c r="AB30" s="371"/>
      <c r="AC30" s="371"/>
      <c r="AD30" s="304"/>
      <c r="AE30" s="353"/>
    </row>
    <row r="31" spans="1:32" ht="18">
      <c r="A31" s="282" t="s">
        <v>74</v>
      </c>
      <c r="B31" s="372" t="s">
        <v>157</v>
      </c>
      <c r="C31" s="372" t="s">
        <v>157</v>
      </c>
      <c r="D31" s="372" t="s">
        <v>157</v>
      </c>
      <c r="E31" s="372" t="s">
        <v>157</v>
      </c>
      <c r="F31" s="372" t="s">
        <v>157</v>
      </c>
      <c r="G31" s="372" t="s">
        <v>157</v>
      </c>
      <c r="H31" s="372" t="s">
        <v>157</v>
      </c>
      <c r="I31" s="372" t="s">
        <v>157</v>
      </c>
      <c r="J31" s="372" t="s">
        <v>157</v>
      </c>
      <c r="K31" s="262" t="s">
        <v>75</v>
      </c>
      <c r="L31" s="262" t="s">
        <v>75</v>
      </c>
      <c r="M31" s="354" t="s">
        <v>157</v>
      </c>
      <c r="N31" s="354" t="s">
        <v>157</v>
      </c>
      <c r="O31" s="354" t="s">
        <v>157</v>
      </c>
      <c r="P31" s="372" t="s">
        <v>157</v>
      </c>
      <c r="Q31" s="372" t="s">
        <v>157</v>
      </c>
      <c r="R31" s="181" t="s">
        <v>157</v>
      </c>
      <c r="S31" s="372" t="s">
        <v>157</v>
      </c>
      <c r="T31" s="372" t="s">
        <v>157</v>
      </c>
      <c r="U31" s="372" t="s">
        <v>157</v>
      </c>
      <c r="V31" s="372" t="s">
        <v>157</v>
      </c>
      <c r="W31" s="372" t="s">
        <v>157</v>
      </c>
      <c r="X31" s="372" t="s">
        <v>157</v>
      </c>
      <c r="Y31" s="372" t="s">
        <v>157</v>
      </c>
      <c r="Z31" s="372" t="s">
        <v>157</v>
      </c>
      <c r="AA31" s="372" t="s">
        <v>157</v>
      </c>
      <c r="AB31" s="372" t="s">
        <v>157</v>
      </c>
      <c r="AC31" s="372" t="s">
        <v>157</v>
      </c>
      <c r="AD31" s="296"/>
      <c r="AE31" s="354" t="s">
        <v>157</v>
      </c>
    </row>
    <row r="32" spans="1:32" ht="25.5">
      <c r="A32" s="282" t="s">
        <v>77</v>
      </c>
      <c r="B32" s="378" t="s">
        <v>78</v>
      </c>
      <c r="C32" s="378" t="s">
        <v>78</v>
      </c>
      <c r="D32" s="378" t="s">
        <v>78</v>
      </c>
      <c r="E32" s="378" t="s">
        <v>78</v>
      </c>
      <c r="F32" s="378" t="s">
        <v>78</v>
      </c>
      <c r="G32" s="378" t="s">
        <v>78</v>
      </c>
      <c r="H32" s="378" t="s">
        <v>78</v>
      </c>
      <c r="I32" s="378" t="s">
        <v>78</v>
      </c>
      <c r="J32" s="378" t="s">
        <v>78</v>
      </c>
      <c r="K32" s="270" t="s">
        <v>78</v>
      </c>
      <c r="L32" s="270" t="s">
        <v>78</v>
      </c>
      <c r="M32" s="365" t="s">
        <v>78</v>
      </c>
      <c r="N32" s="365" t="s">
        <v>78</v>
      </c>
      <c r="O32" s="365" t="s">
        <v>78</v>
      </c>
      <c r="P32" s="378" t="s">
        <v>78</v>
      </c>
      <c r="Q32" s="378" t="s">
        <v>78</v>
      </c>
      <c r="R32" s="190" t="s">
        <v>78</v>
      </c>
      <c r="S32" s="378" t="s">
        <v>78</v>
      </c>
      <c r="T32" s="378" t="s">
        <v>78</v>
      </c>
      <c r="U32" s="378" t="s">
        <v>78</v>
      </c>
      <c r="V32" s="378" t="s">
        <v>78</v>
      </c>
      <c r="W32" s="378" t="s">
        <v>78</v>
      </c>
      <c r="X32" s="378" t="s">
        <v>78</v>
      </c>
      <c r="Y32" s="378" t="s">
        <v>78</v>
      </c>
      <c r="Z32" s="378" t="s">
        <v>78</v>
      </c>
      <c r="AA32" s="378" t="s">
        <v>78</v>
      </c>
      <c r="AB32" s="378" t="s">
        <v>78</v>
      </c>
      <c r="AC32" s="378" t="s">
        <v>78</v>
      </c>
      <c r="AD32" s="209"/>
      <c r="AE32" s="365" t="s">
        <v>78</v>
      </c>
    </row>
    <row r="33" spans="1:31" ht="25.5">
      <c r="A33" s="282" t="s">
        <v>80</v>
      </c>
      <c r="B33" s="379" t="s">
        <v>1393</v>
      </c>
      <c r="C33" s="379" t="s">
        <v>1394</v>
      </c>
      <c r="D33" s="379" t="s">
        <v>641</v>
      </c>
      <c r="E33" s="379" t="s">
        <v>1394</v>
      </c>
      <c r="F33" s="379" t="s">
        <v>1395</v>
      </c>
      <c r="G33" s="379" t="s">
        <v>1396</v>
      </c>
      <c r="H33" s="379" t="s">
        <v>644</v>
      </c>
      <c r="I33" s="379" t="s">
        <v>643</v>
      </c>
      <c r="J33" s="379" t="s">
        <v>643</v>
      </c>
      <c r="K33" s="270" t="s">
        <v>644</v>
      </c>
      <c r="L33" s="270" t="s">
        <v>643</v>
      </c>
      <c r="M33" s="366" t="s">
        <v>645</v>
      </c>
      <c r="N33" s="366" t="s">
        <v>1397</v>
      </c>
      <c r="O33" s="366" t="s">
        <v>646</v>
      </c>
      <c r="P33" s="379" t="s">
        <v>647</v>
      </c>
      <c r="Q33" s="379" t="s">
        <v>647</v>
      </c>
      <c r="R33" s="187" t="s">
        <v>647</v>
      </c>
      <c r="S33" s="379" t="s">
        <v>647</v>
      </c>
      <c r="T33" s="379" t="s">
        <v>647</v>
      </c>
      <c r="U33" s="379" t="s">
        <v>1398</v>
      </c>
      <c r="V33" s="379" t="s">
        <v>1399</v>
      </c>
      <c r="W33" s="379" t="s">
        <v>1400</v>
      </c>
      <c r="X33" s="379" t="s">
        <v>1401</v>
      </c>
      <c r="Y33" s="379" t="s">
        <v>1385</v>
      </c>
      <c r="Z33" s="379" t="s">
        <v>624</v>
      </c>
      <c r="AA33" s="379" t="s">
        <v>1333</v>
      </c>
      <c r="AB33" s="379" t="s">
        <v>1332</v>
      </c>
      <c r="AC33" s="379" t="s">
        <v>1332</v>
      </c>
      <c r="AD33" s="209"/>
      <c r="AE33" s="366" t="s">
        <v>639</v>
      </c>
    </row>
    <row r="34" spans="1:31" ht="15.75" thickBot="1">
      <c r="A34" s="310" t="s">
        <v>81</v>
      </c>
      <c r="B34" s="379" t="s">
        <v>1402</v>
      </c>
      <c r="C34" s="379" t="s">
        <v>1402</v>
      </c>
      <c r="D34" s="379" t="s">
        <v>1402</v>
      </c>
      <c r="E34" s="379" t="s">
        <v>1402</v>
      </c>
      <c r="F34" s="379" t="s">
        <v>1402</v>
      </c>
      <c r="G34" s="379" t="s">
        <v>1402</v>
      </c>
      <c r="H34" s="379" t="s">
        <v>1402</v>
      </c>
      <c r="I34" s="379" t="s">
        <v>1403</v>
      </c>
      <c r="J34" s="379" t="s">
        <v>1402</v>
      </c>
      <c r="K34" s="270" t="s">
        <v>1402</v>
      </c>
      <c r="L34" s="270" t="s">
        <v>1402</v>
      </c>
      <c r="M34" s="366" t="s">
        <v>1402</v>
      </c>
      <c r="N34" s="366" t="s">
        <v>1402</v>
      </c>
      <c r="O34" s="366" t="s">
        <v>1402</v>
      </c>
      <c r="P34" s="379" t="s">
        <v>1404</v>
      </c>
      <c r="Q34" s="379" t="s">
        <v>1404</v>
      </c>
      <c r="R34" s="187" t="s">
        <v>1404</v>
      </c>
      <c r="S34" s="379" t="s">
        <v>1404</v>
      </c>
      <c r="T34" s="379" t="s">
        <v>1404</v>
      </c>
      <c r="U34" s="379" t="s">
        <v>1404</v>
      </c>
      <c r="V34" s="379" t="s">
        <v>1404</v>
      </c>
      <c r="W34" s="379" t="s">
        <v>1404</v>
      </c>
      <c r="X34" s="379" t="s">
        <v>1404</v>
      </c>
      <c r="Y34" s="379" t="s">
        <v>1384</v>
      </c>
      <c r="Z34" s="379" t="s">
        <v>1384</v>
      </c>
      <c r="AA34" s="379" t="s">
        <v>1384</v>
      </c>
      <c r="AB34" s="379" t="s">
        <v>1384</v>
      </c>
      <c r="AC34" s="379" t="s">
        <v>1384</v>
      </c>
      <c r="AD34" s="209"/>
      <c r="AE34" s="366" t="s">
        <v>1402</v>
      </c>
    </row>
    <row r="35" spans="1:31">
      <c r="AD35" s="211"/>
    </row>
    <row r="36" spans="1:31">
      <c r="AD36" s="211"/>
    </row>
  </sheetData>
  <mergeCells count="1">
    <mergeCell ref="A1:AE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D956-7108-44E0-8C95-159AB19B42A1}">
  <dimension ref="A1:AI36"/>
  <sheetViews>
    <sheetView topLeftCell="Q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9.140625" style="144"/>
    <col min="34" max="34" width="12.85546875" style="144" customWidth="1"/>
    <col min="35" max="16384" width="9.140625" style="144"/>
  </cols>
  <sheetData>
    <row r="1" spans="1:35"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5" ht="15.75">
      <c r="A2" s="280"/>
      <c r="B2" s="281">
        <v>44986</v>
      </c>
      <c r="C2" s="281">
        <v>44987</v>
      </c>
      <c r="D2" s="281">
        <v>44988</v>
      </c>
      <c r="E2" s="281">
        <v>44989</v>
      </c>
      <c r="F2" s="281">
        <v>44990</v>
      </c>
      <c r="G2" s="281">
        <v>44991</v>
      </c>
      <c r="H2" s="281">
        <v>44992</v>
      </c>
      <c r="I2" s="281">
        <v>44993</v>
      </c>
      <c r="J2" s="281">
        <v>44994</v>
      </c>
      <c r="K2" s="281">
        <v>44995</v>
      </c>
      <c r="L2" s="281">
        <v>44996</v>
      </c>
      <c r="M2" s="281">
        <v>44997</v>
      </c>
      <c r="N2" s="281">
        <v>44998</v>
      </c>
      <c r="O2" s="281">
        <v>44999</v>
      </c>
      <c r="P2" s="281">
        <v>45000</v>
      </c>
      <c r="Q2" s="281">
        <v>45001</v>
      </c>
      <c r="R2" s="281">
        <v>45002</v>
      </c>
      <c r="S2" s="281">
        <v>45003</v>
      </c>
      <c r="T2" s="281">
        <v>45004</v>
      </c>
      <c r="U2" s="281">
        <v>45005</v>
      </c>
      <c r="V2" s="281">
        <v>45006</v>
      </c>
      <c r="W2" s="281">
        <v>45007</v>
      </c>
      <c r="X2" s="281">
        <v>45008</v>
      </c>
      <c r="Y2" s="281">
        <v>45009</v>
      </c>
      <c r="Z2" s="281">
        <v>45010</v>
      </c>
      <c r="AA2" s="281">
        <v>45011</v>
      </c>
      <c r="AB2" s="281">
        <v>45012</v>
      </c>
      <c r="AC2" s="281">
        <v>45013</v>
      </c>
      <c r="AD2" s="281">
        <v>45014</v>
      </c>
      <c r="AE2" s="281">
        <v>45015</v>
      </c>
      <c r="AF2" s="281">
        <v>45016</v>
      </c>
      <c r="AG2" s="281"/>
      <c r="AH2" s="281">
        <v>44985</v>
      </c>
    </row>
    <row r="3" spans="1:35"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53</v>
      </c>
      <c r="AG3" s="271"/>
      <c r="AH3" s="283" t="s">
        <v>53</v>
      </c>
    </row>
    <row r="4" spans="1:35" ht="20.100000000000001" customHeight="1">
      <c r="A4" s="285" t="s">
        <v>54</v>
      </c>
      <c r="B4" s="367">
        <v>291273</v>
      </c>
      <c r="C4" s="367">
        <v>291492</v>
      </c>
      <c r="D4" s="367">
        <v>291710</v>
      </c>
      <c r="E4" s="367">
        <v>291911</v>
      </c>
      <c r="F4" s="367">
        <v>292129</v>
      </c>
      <c r="G4" s="367">
        <v>292351</v>
      </c>
      <c r="H4" s="367">
        <v>292569</v>
      </c>
      <c r="I4" s="367">
        <v>292794</v>
      </c>
      <c r="J4" s="367">
        <v>293015</v>
      </c>
      <c r="K4" s="367">
        <v>293242</v>
      </c>
      <c r="L4" s="367">
        <v>293447</v>
      </c>
      <c r="M4" s="367">
        <v>293664</v>
      </c>
      <c r="N4" s="367">
        <v>293886</v>
      </c>
      <c r="O4" s="367">
        <v>294105</v>
      </c>
      <c r="P4" s="367">
        <v>294324</v>
      </c>
      <c r="Q4" s="367">
        <v>294543</v>
      </c>
      <c r="R4" s="367">
        <v>294760</v>
      </c>
      <c r="S4" s="367">
        <v>294977</v>
      </c>
      <c r="T4" s="367">
        <v>295175</v>
      </c>
      <c r="U4" s="367">
        <v>295398</v>
      </c>
      <c r="V4" s="367">
        <v>295621</v>
      </c>
      <c r="W4" s="367">
        <v>295841</v>
      </c>
      <c r="X4" s="367">
        <v>296061</v>
      </c>
      <c r="Y4" s="367">
        <v>296268</v>
      </c>
      <c r="Z4" s="367">
        <v>296476</v>
      </c>
      <c r="AA4" s="367">
        <v>296689</v>
      </c>
      <c r="AB4" s="367">
        <v>296900</v>
      </c>
      <c r="AC4" s="367">
        <v>297123</v>
      </c>
      <c r="AD4" s="348">
        <v>297339</v>
      </c>
      <c r="AE4" s="348">
        <v>297557</v>
      </c>
      <c r="AF4" s="348">
        <v>297763</v>
      </c>
      <c r="AG4" s="287"/>
      <c r="AH4" s="368">
        <v>291051</v>
      </c>
      <c r="AI4" s="288"/>
    </row>
    <row r="5" spans="1:35" ht="20.100000000000001" customHeight="1">
      <c r="A5" s="285" t="s">
        <v>55</v>
      </c>
      <c r="B5" s="367">
        <v>8011786</v>
      </c>
      <c r="C5" s="367">
        <v>8019595</v>
      </c>
      <c r="D5" s="367">
        <v>8026849</v>
      </c>
      <c r="E5" s="367">
        <v>8033124</v>
      </c>
      <c r="F5" s="367">
        <v>8040025</v>
      </c>
      <c r="G5" s="367">
        <v>8047353</v>
      </c>
      <c r="H5" s="367">
        <v>8054510</v>
      </c>
      <c r="I5" s="367">
        <v>8062592</v>
      </c>
      <c r="J5" s="367">
        <v>8070620</v>
      </c>
      <c r="K5" s="367">
        <v>8078988</v>
      </c>
      <c r="L5" s="367">
        <v>8086439</v>
      </c>
      <c r="M5" s="367">
        <v>8094357</v>
      </c>
      <c r="N5" s="367">
        <v>8102759</v>
      </c>
      <c r="O5" s="367">
        <v>8110985</v>
      </c>
      <c r="P5" s="367">
        <v>8119030</v>
      </c>
      <c r="Q5" s="367">
        <v>8126676</v>
      </c>
      <c r="R5" s="367">
        <v>8134060</v>
      </c>
      <c r="S5" s="367">
        <v>8141426</v>
      </c>
      <c r="T5" s="367">
        <v>8147320</v>
      </c>
      <c r="U5" s="367">
        <v>8154554</v>
      </c>
      <c r="V5" s="367">
        <v>8162191</v>
      </c>
      <c r="W5" s="367">
        <v>8169757</v>
      </c>
      <c r="X5" s="367">
        <v>8177172</v>
      </c>
      <c r="Y5" s="367">
        <v>8183802</v>
      </c>
      <c r="Z5" s="367">
        <v>8190435</v>
      </c>
      <c r="AA5" s="367">
        <v>8197456</v>
      </c>
      <c r="AB5" s="367">
        <v>8204832</v>
      </c>
      <c r="AC5" s="367">
        <v>8212642</v>
      </c>
      <c r="AD5" s="348">
        <v>8220220</v>
      </c>
      <c r="AE5" s="348">
        <v>8227829</v>
      </c>
      <c r="AF5" s="348">
        <v>8234742</v>
      </c>
      <c r="AG5" s="287"/>
      <c r="AH5" s="368">
        <v>8003900</v>
      </c>
      <c r="AI5" s="288"/>
    </row>
    <row r="6" spans="1:35" ht="20.100000000000001" customHeight="1">
      <c r="A6" s="285" t="s">
        <v>56</v>
      </c>
      <c r="B6" s="367">
        <v>3840102</v>
      </c>
      <c r="C6" s="367">
        <v>3843534</v>
      </c>
      <c r="D6" s="367">
        <v>3846964</v>
      </c>
      <c r="E6" s="367">
        <v>3849931</v>
      </c>
      <c r="F6" s="367">
        <v>3853289</v>
      </c>
      <c r="G6" s="367">
        <v>3856643</v>
      </c>
      <c r="H6" s="367">
        <v>3859965</v>
      </c>
      <c r="I6" s="367">
        <v>3863438</v>
      </c>
      <c r="J6" s="367">
        <v>3866832</v>
      </c>
      <c r="K6" s="367">
        <v>3870567</v>
      </c>
      <c r="L6" s="367">
        <v>3873952</v>
      </c>
      <c r="M6" s="367">
        <v>3877515</v>
      </c>
      <c r="N6" s="367">
        <v>3881030</v>
      </c>
      <c r="O6" s="367">
        <v>3884548</v>
      </c>
      <c r="P6" s="367">
        <v>3888058</v>
      </c>
      <c r="Q6" s="367">
        <v>3891634</v>
      </c>
      <c r="R6" s="367">
        <v>3895088</v>
      </c>
      <c r="S6" s="367">
        <v>3898546</v>
      </c>
      <c r="T6" s="367">
        <v>3901546</v>
      </c>
      <c r="U6" s="367">
        <v>3905093</v>
      </c>
      <c r="V6" s="367">
        <v>3908529</v>
      </c>
      <c r="W6" s="367">
        <v>3911934</v>
      </c>
      <c r="X6" s="367">
        <v>3915167</v>
      </c>
      <c r="Y6" s="367">
        <v>3918012</v>
      </c>
      <c r="Z6" s="367">
        <v>3920835</v>
      </c>
      <c r="AA6" s="367">
        <v>3923689</v>
      </c>
      <c r="AB6" s="367">
        <v>3926957</v>
      </c>
      <c r="AC6" s="367">
        <v>3930478</v>
      </c>
      <c r="AD6" s="348">
        <v>3934052</v>
      </c>
      <c r="AE6" s="348">
        <v>3937729</v>
      </c>
      <c r="AF6" s="350">
        <v>3941240</v>
      </c>
      <c r="AG6" s="287"/>
      <c r="AH6" s="368">
        <v>3836521</v>
      </c>
      <c r="AI6" s="288"/>
    </row>
    <row r="7" spans="1:35" ht="20.100000000000001" customHeight="1">
      <c r="A7" s="285" t="s">
        <v>57</v>
      </c>
      <c r="B7" s="367">
        <v>8971942</v>
      </c>
      <c r="C7" s="367">
        <v>8979458</v>
      </c>
      <c r="D7" s="367">
        <v>8986230</v>
      </c>
      <c r="E7" s="367">
        <v>8993210</v>
      </c>
      <c r="F7" s="367">
        <v>9000402</v>
      </c>
      <c r="G7" s="367">
        <v>9007875</v>
      </c>
      <c r="H7" s="367">
        <v>9014516</v>
      </c>
      <c r="I7" s="367">
        <v>9021442</v>
      </c>
      <c r="J7" s="367">
        <v>9028598</v>
      </c>
      <c r="K7" s="367">
        <v>9036764</v>
      </c>
      <c r="L7" s="367">
        <v>9044130</v>
      </c>
      <c r="M7" s="367">
        <v>9045671</v>
      </c>
      <c r="N7" s="367">
        <v>9045747</v>
      </c>
      <c r="O7" s="367">
        <v>9045824</v>
      </c>
      <c r="P7" s="367">
        <v>9045901</v>
      </c>
      <c r="Q7" s="367">
        <v>9045977</v>
      </c>
      <c r="R7" s="367">
        <v>9051871</v>
      </c>
      <c r="S7" s="367">
        <v>9057765</v>
      </c>
      <c r="T7" s="367">
        <v>9068891</v>
      </c>
      <c r="U7" s="367">
        <v>9076029</v>
      </c>
      <c r="V7" s="367">
        <v>9082455</v>
      </c>
      <c r="W7" s="367">
        <v>9090728</v>
      </c>
      <c r="X7" s="367">
        <v>9099095</v>
      </c>
      <c r="Y7" s="367">
        <v>9099624</v>
      </c>
      <c r="Z7" s="367">
        <v>9100154</v>
      </c>
      <c r="AA7" s="367">
        <v>9100663</v>
      </c>
      <c r="AB7" s="367">
        <v>9100743</v>
      </c>
      <c r="AC7" s="367">
        <v>9100822</v>
      </c>
      <c r="AD7" s="348">
        <v>9100900</v>
      </c>
      <c r="AE7" s="348">
        <v>9100982</v>
      </c>
      <c r="AF7" s="348">
        <v>9101777</v>
      </c>
      <c r="AG7" s="287"/>
      <c r="AH7" s="368">
        <v>8964888</v>
      </c>
      <c r="AI7" s="288"/>
    </row>
    <row r="8" spans="1:35" ht="20.100000000000001" customHeight="1">
      <c r="A8" s="285" t="s">
        <v>58</v>
      </c>
      <c r="B8" s="367">
        <v>2899169</v>
      </c>
      <c r="C8" s="367">
        <v>2899234</v>
      </c>
      <c r="D8" s="367">
        <v>2899325</v>
      </c>
      <c r="E8" s="367">
        <v>2899325</v>
      </c>
      <c r="F8" s="367">
        <v>2899325</v>
      </c>
      <c r="G8" s="367">
        <v>2899325</v>
      </c>
      <c r="H8" s="367">
        <v>2899325</v>
      </c>
      <c r="I8" s="367">
        <v>2899520</v>
      </c>
      <c r="J8" s="367">
        <v>2899729</v>
      </c>
      <c r="K8" s="367">
        <v>2899729</v>
      </c>
      <c r="L8" s="367">
        <v>2899729</v>
      </c>
      <c r="M8" s="367">
        <v>2901773</v>
      </c>
      <c r="N8" s="367">
        <v>2904315</v>
      </c>
      <c r="O8" s="367">
        <v>2906953</v>
      </c>
      <c r="P8" s="367">
        <v>2909678</v>
      </c>
      <c r="Q8" s="367">
        <v>2912421</v>
      </c>
      <c r="R8" s="367">
        <v>2913360</v>
      </c>
      <c r="S8" s="367">
        <v>2913360</v>
      </c>
      <c r="T8" s="367">
        <v>2913360</v>
      </c>
      <c r="U8" s="367">
        <v>2913672</v>
      </c>
      <c r="V8" s="367">
        <v>2914739</v>
      </c>
      <c r="W8" s="367">
        <v>2914739</v>
      </c>
      <c r="X8" s="367">
        <v>2914739</v>
      </c>
      <c r="Y8" s="367">
        <v>2917103</v>
      </c>
      <c r="Z8" s="367">
        <v>2919467</v>
      </c>
      <c r="AA8" s="367">
        <v>2922025</v>
      </c>
      <c r="AB8" s="367">
        <v>2924709</v>
      </c>
      <c r="AC8" s="367">
        <v>2927514</v>
      </c>
      <c r="AD8" s="348">
        <v>2930075</v>
      </c>
      <c r="AE8" s="348">
        <v>2932553</v>
      </c>
      <c r="AF8" s="348">
        <v>2934738</v>
      </c>
      <c r="AG8" s="287"/>
      <c r="AH8" s="368">
        <v>2899118</v>
      </c>
      <c r="AI8" s="288"/>
    </row>
    <row r="9" spans="1:35" ht="20.100000000000001" customHeight="1">
      <c r="A9" s="285" t="s">
        <v>59</v>
      </c>
      <c r="B9" s="369">
        <v>18721594</v>
      </c>
      <c r="C9" s="369">
        <v>18731199</v>
      </c>
      <c r="D9" s="369">
        <v>18739907</v>
      </c>
      <c r="E9" s="369">
        <v>18748921</v>
      </c>
      <c r="F9" s="369">
        <v>18758581</v>
      </c>
      <c r="G9" s="369">
        <v>18768342</v>
      </c>
      <c r="H9" s="369">
        <v>18777871</v>
      </c>
      <c r="I9" s="369">
        <v>18787837</v>
      </c>
      <c r="J9" s="369">
        <v>18797704</v>
      </c>
      <c r="K9" s="369">
        <v>18807678</v>
      </c>
      <c r="L9" s="369">
        <v>18816718</v>
      </c>
      <c r="M9" s="369">
        <v>18826553</v>
      </c>
      <c r="N9" s="369">
        <v>18836403</v>
      </c>
      <c r="O9" s="369">
        <v>18846082</v>
      </c>
      <c r="P9" s="369">
        <v>18855826</v>
      </c>
      <c r="Q9" s="369">
        <v>18865345</v>
      </c>
      <c r="R9" s="369">
        <v>18874611</v>
      </c>
      <c r="S9" s="369">
        <v>18883876</v>
      </c>
      <c r="T9" s="369">
        <v>18891693</v>
      </c>
      <c r="U9" s="369">
        <v>18900880</v>
      </c>
      <c r="V9" s="369">
        <v>18910321</v>
      </c>
      <c r="W9" s="369">
        <v>18920069</v>
      </c>
      <c r="X9" s="369">
        <v>18930100</v>
      </c>
      <c r="Y9" s="369">
        <v>18939726</v>
      </c>
      <c r="Z9" s="369">
        <v>18949353</v>
      </c>
      <c r="AA9" s="369">
        <v>18959769</v>
      </c>
      <c r="AB9" s="369">
        <v>18969657</v>
      </c>
      <c r="AC9" s="369">
        <v>18979924</v>
      </c>
      <c r="AD9" s="351">
        <v>18988108</v>
      </c>
      <c r="AE9" s="351">
        <v>18996462</v>
      </c>
      <c r="AF9" s="351">
        <v>19004445</v>
      </c>
      <c r="AG9" s="290"/>
      <c r="AH9" s="370">
        <v>18711698</v>
      </c>
      <c r="AI9" s="288"/>
    </row>
    <row r="10" spans="1:35" ht="20.100000000000001" customHeight="1">
      <c r="A10" s="285" t="s">
        <v>60</v>
      </c>
      <c r="B10" s="367">
        <v>5849663</v>
      </c>
      <c r="C10" s="367">
        <v>5853369</v>
      </c>
      <c r="D10" s="367">
        <v>5856637</v>
      </c>
      <c r="E10" s="367">
        <v>5859140</v>
      </c>
      <c r="F10" s="367">
        <v>5862244</v>
      </c>
      <c r="G10" s="367">
        <v>5866043</v>
      </c>
      <c r="H10" s="367">
        <v>5869708</v>
      </c>
      <c r="I10" s="367">
        <v>5873574</v>
      </c>
      <c r="J10" s="367">
        <v>5877365</v>
      </c>
      <c r="K10" s="367">
        <v>5880852</v>
      </c>
      <c r="L10" s="367">
        <v>5883391</v>
      </c>
      <c r="M10" s="367">
        <v>5886654</v>
      </c>
      <c r="N10" s="367">
        <v>5890568</v>
      </c>
      <c r="O10" s="367">
        <v>5894281</v>
      </c>
      <c r="P10" s="367">
        <v>5898155</v>
      </c>
      <c r="Q10" s="367">
        <v>5902008</v>
      </c>
      <c r="R10" s="367">
        <v>5905302</v>
      </c>
      <c r="S10" s="367">
        <v>5908592</v>
      </c>
      <c r="T10" s="367">
        <v>5910979</v>
      </c>
      <c r="U10" s="367">
        <v>5914824</v>
      </c>
      <c r="V10" s="367">
        <v>5918684</v>
      </c>
      <c r="W10" s="367">
        <v>5922445</v>
      </c>
      <c r="X10" s="367">
        <v>5926273</v>
      </c>
      <c r="Y10" s="367">
        <v>5929102</v>
      </c>
      <c r="Z10" s="367">
        <v>5931932</v>
      </c>
      <c r="AA10" s="367">
        <v>5935122</v>
      </c>
      <c r="AB10" s="367">
        <v>5938797</v>
      </c>
      <c r="AC10" s="367">
        <v>5942751</v>
      </c>
      <c r="AD10" s="348">
        <v>5946632</v>
      </c>
      <c r="AE10" s="348">
        <v>5950566</v>
      </c>
      <c r="AF10" s="348">
        <v>5953573</v>
      </c>
      <c r="AG10" s="287"/>
      <c r="AH10" s="368">
        <v>5845845</v>
      </c>
      <c r="AI10" s="288"/>
    </row>
    <row r="11" spans="1:35" ht="22.5" customHeight="1">
      <c r="A11" s="285" t="s">
        <v>61</v>
      </c>
      <c r="B11" s="367">
        <v>229242</v>
      </c>
      <c r="C11" s="367">
        <v>229424</v>
      </c>
      <c r="D11" s="367">
        <v>229600</v>
      </c>
      <c r="E11" s="367">
        <v>229751</v>
      </c>
      <c r="F11" s="367">
        <v>229921</v>
      </c>
      <c r="G11" s="367">
        <v>230099</v>
      </c>
      <c r="H11" s="367">
        <v>230272</v>
      </c>
      <c r="I11" s="367">
        <v>230459</v>
      </c>
      <c r="J11" s="367">
        <v>230644</v>
      </c>
      <c r="K11" s="367">
        <v>230822</v>
      </c>
      <c r="L11" s="367">
        <v>230972</v>
      </c>
      <c r="M11" s="367">
        <v>231141</v>
      </c>
      <c r="N11" s="367">
        <v>231315</v>
      </c>
      <c r="O11" s="367">
        <v>231481</v>
      </c>
      <c r="P11" s="367">
        <v>231645</v>
      </c>
      <c r="Q11" s="367">
        <v>231811</v>
      </c>
      <c r="R11" s="367">
        <v>231967</v>
      </c>
      <c r="S11" s="367">
        <v>232124</v>
      </c>
      <c r="T11" s="367">
        <v>232254</v>
      </c>
      <c r="U11" s="367">
        <v>232426</v>
      </c>
      <c r="V11" s="367">
        <v>232600</v>
      </c>
      <c r="W11" s="367">
        <v>232767</v>
      </c>
      <c r="X11" s="367">
        <v>232938</v>
      </c>
      <c r="Y11" s="367">
        <v>233083</v>
      </c>
      <c r="Z11" s="367">
        <v>233228</v>
      </c>
      <c r="AA11" s="367">
        <v>233378</v>
      </c>
      <c r="AB11" s="367">
        <v>233540</v>
      </c>
      <c r="AC11" s="367">
        <v>233706</v>
      </c>
      <c r="AD11" s="348">
        <v>233866</v>
      </c>
      <c r="AE11" s="348">
        <v>234029</v>
      </c>
      <c r="AF11" s="348">
        <v>234181</v>
      </c>
      <c r="AG11" s="287"/>
      <c r="AH11" s="368">
        <v>229060</v>
      </c>
      <c r="AI11" s="288"/>
    </row>
    <row r="12" spans="1:35" s="294" customFormat="1" ht="18" customHeight="1">
      <c r="A12" s="291" t="s">
        <v>62</v>
      </c>
      <c r="B12" s="371"/>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1"/>
      <c r="AA12" s="371"/>
      <c r="AB12" s="371"/>
      <c r="AC12" s="371"/>
      <c r="AD12" s="341"/>
      <c r="AE12" s="341"/>
      <c r="AF12" s="341"/>
      <c r="AG12" s="293"/>
      <c r="AH12" s="371"/>
    </row>
    <row r="13" spans="1:35">
      <c r="A13" s="282" t="s">
        <v>63</v>
      </c>
      <c r="B13" s="372" t="s">
        <v>64</v>
      </c>
      <c r="C13" s="372" t="s">
        <v>64</v>
      </c>
      <c r="D13" s="372" t="s">
        <v>64</v>
      </c>
      <c r="E13" s="372" t="s">
        <v>64</v>
      </c>
      <c r="F13" s="372" t="s">
        <v>64</v>
      </c>
      <c r="G13" s="372" t="s">
        <v>64</v>
      </c>
      <c r="H13" s="372" t="s">
        <v>64</v>
      </c>
      <c r="I13" s="372" t="s">
        <v>64</v>
      </c>
      <c r="J13" s="372" t="s">
        <v>64</v>
      </c>
      <c r="K13" s="372" t="s">
        <v>64</v>
      </c>
      <c r="L13" s="372" t="s">
        <v>64</v>
      </c>
      <c r="M13" s="372" t="s">
        <v>64</v>
      </c>
      <c r="N13" s="372" t="s">
        <v>64</v>
      </c>
      <c r="O13" s="372" t="s">
        <v>64</v>
      </c>
      <c r="P13" s="372" t="s">
        <v>64</v>
      </c>
      <c r="Q13" s="372" t="s">
        <v>64</v>
      </c>
      <c r="R13" s="372" t="s">
        <v>64</v>
      </c>
      <c r="S13" s="372" t="s">
        <v>64</v>
      </c>
      <c r="T13" s="372" t="s">
        <v>64</v>
      </c>
      <c r="U13" s="372" t="s">
        <v>64</v>
      </c>
      <c r="V13" s="372" t="s">
        <v>64</v>
      </c>
      <c r="W13" s="372" t="s">
        <v>64</v>
      </c>
      <c r="X13" s="372" t="s">
        <v>64</v>
      </c>
      <c r="Y13" s="372" t="s">
        <v>64</v>
      </c>
      <c r="Z13" s="372" t="s">
        <v>64</v>
      </c>
      <c r="AA13" s="372" t="s">
        <v>64</v>
      </c>
      <c r="AB13" s="372" t="s">
        <v>64</v>
      </c>
      <c r="AC13" s="372" t="s">
        <v>64</v>
      </c>
      <c r="AD13" s="342" t="s">
        <v>64</v>
      </c>
      <c r="AE13" s="342" t="s">
        <v>64</v>
      </c>
      <c r="AF13" s="342" t="s">
        <v>64</v>
      </c>
      <c r="AG13" s="296"/>
      <c r="AH13" s="372" t="s">
        <v>64</v>
      </c>
    </row>
    <row r="14" spans="1:35">
      <c r="A14" s="282" t="s">
        <v>995</v>
      </c>
      <c r="B14" s="373">
        <v>292169.15000000002</v>
      </c>
      <c r="C14" s="373">
        <v>292169.15000000002</v>
      </c>
      <c r="D14" s="373">
        <v>292169.15000000002</v>
      </c>
      <c r="E14" s="373">
        <v>293501.94</v>
      </c>
      <c r="F14" s="373">
        <v>293501.94</v>
      </c>
      <c r="G14" s="373">
        <v>293501.94</v>
      </c>
      <c r="H14" s="373">
        <v>293501.94</v>
      </c>
      <c r="I14" s="373">
        <v>293501.94</v>
      </c>
      <c r="J14" s="373">
        <v>293501.94</v>
      </c>
      <c r="K14" s="373">
        <v>293501.94</v>
      </c>
      <c r="L14" s="373">
        <v>294277.07</v>
      </c>
      <c r="M14" s="373">
        <v>294277.07</v>
      </c>
      <c r="N14" s="373">
        <v>294277.07</v>
      </c>
      <c r="O14" s="373">
        <v>294277.07</v>
      </c>
      <c r="P14" s="373">
        <v>294277.07</v>
      </c>
      <c r="Q14" s="373">
        <v>294277.07</v>
      </c>
      <c r="R14" s="373">
        <v>294277.07</v>
      </c>
      <c r="S14" s="373">
        <v>294933.77</v>
      </c>
      <c r="T14" s="373">
        <v>294933.77</v>
      </c>
      <c r="U14" s="373">
        <v>294933.77</v>
      </c>
      <c r="V14" s="373">
        <v>294933.77</v>
      </c>
      <c r="W14" s="373">
        <v>294933.77</v>
      </c>
      <c r="X14" s="373">
        <v>294933.77</v>
      </c>
      <c r="Y14" s="373">
        <v>294933.77</v>
      </c>
      <c r="Z14" s="373">
        <v>295855.48</v>
      </c>
      <c r="AA14" s="373">
        <v>295855.48</v>
      </c>
      <c r="AB14" s="373">
        <v>295855.48</v>
      </c>
      <c r="AC14" s="373">
        <v>295855.48</v>
      </c>
      <c r="AD14" s="355">
        <v>295855.48</v>
      </c>
      <c r="AE14" s="355">
        <v>295855.48</v>
      </c>
      <c r="AF14" s="355">
        <v>295855.48</v>
      </c>
      <c r="AG14" s="319"/>
      <c r="AH14" s="373">
        <v>292169.15000000002</v>
      </c>
      <c r="AI14" s="299">
        <f>AF14-AH14</f>
        <v>3686.3299999999581</v>
      </c>
    </row>
    <row r="15" spans="1:35" ht="25.5">
      <c r="A15" s="282" t="s">
        <v>67</v>
      </c>
      <c r="B15" s="374">
        <v>2798</v>
      </c>
      <c r="C15" s="374">
        <v>2890</v>
      </c>
      <c r="D15" s="374">
        <v>2890</v>
      </c>
      <c r="E15" s="374">
        <v>2988</v>
      </c>
      <c r="F15" s="374">
        <v>2988</v>
      </c>
      <c r="G15" s="374">
        <v>2988</v>
      </c>
      <c r="H15" s="374">
        <v>2988</v>
      </c>
      <c r="I15" s="374">
        <v>2988</v>
      </c>
      <c r="J15" s="374">
        <v>2988</v>
      </c>
      <c r="K15" s="374">
        <v>2988</v>
      </c>
      <c r="L15" s="374">
        <v>2988</v>
      </c>
      <c r="M15" s="374">
        <v>2988</v>
      </c>
      <c r="N15" s="374">
        <v>2988</v>
      </c>
      <c r="O15" s="374">
        <v>2988</v>
      </c>
      <c r="P15" s="374">
        <v>2988</v>
      </c>
      <c r="Q15" s="374">
        <v>2988</v>
      </c>
      <c r="R15" s="374">
        <v>2988</v>
      </c>
      <c r="S15" s="374">
        <v>2988</v>
      </c>
      <c r="T15" s="374">
        <v>2995</v>
      </c>
      <c r="U15" s="374">
        <v>2995</v>
      </c>
      <c r="V15" s="374">
        <v>2995</v>
      </c>
      <c r="W15" s="374">
        <v>2995</v>
      </c>
      <c r="X15" s="374">
        <v>2995</v>
      </c>
      <c r="Y15" s="374">
        <v>2995</v>
      </c>
      <c r="Z15" s="374">
        <v>3171</v>
      </c>
      <c r="AA15" s="374">
        <v>3171</v>
      </c>
      <c r="AB15" s="374">
        <v>3171</v>
      </c>
      <c r="AC15" s="374">
        <v>3171</v>
      </c>
      <c r="AD15" s="357">
        <v>3171</v>
      </c>
      <c r="AE15" s="357">
        <v>3171</v>
      </c>
      <c r="AF15" s="357">
        <v>3171</v>
      </c>
      <c r="AG15" s="320"/>
      <c r="AH15" s="374">
        <v>2798</v>
      </c>
    </row>
    <row r="16" spans="1:35" ht="25.5">
      <c r="A16" s="282" t="s">
        <v>68</v>
      </c>
      <c r="B16" s="375">
        <v>7976</v>
      </c>
      <c r="C16" s="375">
        <v>7976</v>
      </c>
      <c r="D16" s="375">
        <v>7976</v>
      </c>
      <c r="E16" s="375">
        <v>7976</v>
      </c>
      <c r="F16" s="375">
        <v>8188</v>
      </c>
      <c r="G16" s="375">
        <v>8188</v>
      </c>
      <c r="H16" s="375">
        <v>8188</v>
      </c>
      <c r="I16" s="375">
        <v>8188</v>
      </c>
      <c r="J16" s="375">
        <v>8188</v>
      </c>
      <c r="K16" s="375">
        <v>8188</v>
      </c>
      <c r="L16" s="375">
        <v>8188</v>
      </c>
      <c r="M16" s="375">
        <v>8188</v>
      </c>
      <c r="N16" s="375">
        <v>8188</v>
      </c>
      <c r="O16" s="375">
        <v>8188</v>
      </c>
      <c r="P16" s="375">
        <v>8188</v>
      </c>
      <c r="Q16" s="375">
        <v>8188</v>
      </c>
      <c r="R16" s="375">
        <v>8188</v>
      </c>
      <c r="S16" s="375">
        <v>8188</v>
      </c>
      <c r="T16" s="375">
        <v>8188</v>
      </c>
      <c r="U16" s="375">
        <v>8188</v>
      </c>
      <c r="V16" s="375">
        <v>8188</v>
      </c>
      <c r="W16" s="375">
        <v>8188</v>
      </c>
      <c r="X16" s="375">
        <v>8188</v>
      </c>
      <c r="Y16" s="375">
        <v>8188</v>
      </c>
      <c r="Z16" s="375">
        <v>8188</v>
      </c>
      <c r="AA16" s="375">
        <v>8188</v>
      </c>
      <c r="AB16" s="375">
        <v>8188</v>
      </c>
      <c r="AC16" s="375">
        <v>8188</v>
      </c>
      <c r="AD16" s="359">
        <v>8188</v>
      </c>
      <c r="AE16" s="359">
        <v>8188</v>
      </c>
      <c r="AF16" s="359">
        <v>8188</v>
      </c>
      <c r="AG16" s="320"/>
      <c r="AH16" s="375">
        <v>7976</v>
      </c>
    </row>
    <row r="17" spans="1:35" ht="20.100000000000001" customHeight="1">
      <c r="A17" s="303"/>
      <c r="B17" s="371"/>
      <c r="C17" s="371"/>
      <c r="D17" s="371"/>
      <c r="E17" s="371"/>
      <c r="F17" s="371"/>
      <c r="G17" s="371"/>
      <c r="H17" s="371"/>
      <c r="I17" s="371"/>
      <c r="J17" s="371"/>
      <c r="K17" s="371"/>
      <c r="L17" s="371"/>
      <c r="M17" s="371"/>
      <c r="N17" s="371"/>
      <c r="O17" s="371"/>
      <c r="P17" s="371"/>
      <c r="Q17" s="371"/>
      <c r="R17" s="371"/>
      <c r="S17" s="371"/>
      <c r="T17" s="371"/>
      <c r="U17" s="371"/>
      <c r="V17" s="371"/>
      <c r="W17" s="371"/>
      <c r="X17" s="371"/>
      <c r="Y17" s="371"/>
      <c r="Z17" s="371"/>
      <c r="AA17" s="371"/>
      <c r="AB17" s="371"/>
      <c r="AC17" s="371"/>
      <c r="AD17" s="341"/>
      <c r="AE17" s="341"/>
      <c r="AF17" s="341"/>
      <c r="AG17" s="304"/>
      <c r="AH17" s="371"/>
    </row>
    <row r="18" spans="1:35">
      <c r="A18" s="282" t="s">
        <v>69</v>
      </c>
      <c r="B18" s="372" t="s">
        <v>106</v>
      </c>
      <c r="C18" s="372" t="s">
        <v>106</v>
      </c>
      <c r="D18" s="372" t="s">
        <v>106</v>
      </c>
      <c r="E18" s="372" t="s">
        <v>106</v>
      </c>
      <c r="F18" s="372" t="s">
        <v>106</v>
      </c>
      <c r="G18" s="372" t="s">
        <v>106</v>
      </c>
      <c r="H18" s="372" t="s">
        <v>106</v>
      </c>
      <c r="I18" s="372" t="s">
        <v>106</v>
      </c>
      <c r="J18" s="372" t="s">
        <v>106</v>
      </c>
      <c r="K18" s="372" t="s">
        <v>106</v>
      </c>
      <c r="L18" s="372" t="s">
        <v>106</v>
      </c>
      <c r="M18" s="372" t="s">
        <v>106</v>
      </c>
      <c r="N18" s="372" t="s">
        <v>106</v>
      </c>
      <c r="O18" s="372" t="s">
        <v>106</v>
      </c>
      <c r="P18" s="372" t="s">
        <v>106</v>
      </c>
      <c r="Q18" s="372" t="s">
        <v>106</v>
      </c>
      <c r="R18" s="372" t="s">
        <v>106</v>
      </c>
      <c r="S18" s="372" t="s">
        <v>106</v>
      </c>
      <c r="T18" s="372" t="s">
        <v>106</v>
      </c>
      <c r="U18" s="372" t="s">
        <v>106</v>
      </c>
      <c r="V18" s="372" t="s">
        <v>106</v>
      </c>
      <c r="W18" s="372" t="s">
        <v>106</v>
      </c>
      <c r="X18" s="372" t="s">
        <v>106</v>
      </c>
      <c r="Y18" s="372" t="s">
        <v>106</v>
      </c>
      <c r="Z18" s="372" t="s">
        <v>106</v>
      </c>
      <c r="AA18" s="372" t="s">
        <v>106</v>
      </c>
      <c r="AB18" s="372" t="s">
        <v>106</v>
      </c>
      <c r="AC18" s="372" t="s">
        <v>106</v>
      </c>
      <c r="AD18" s="342" t="s">
        <v>106</v>
      </c>
      <c r="AE18" s="342" t="s">
        <v>106</v>
      </c>
      <c r="AF18" s="342" t="s">
        <v>106</v>
      </c>
      <c r="AG18" s="296"/>
      <c r="AH18" s="372" t="s">
        <v>106</v>
      </c>
    </row>
    <row r="19" spans="1:35" ht="25.5">
      <c r="A19" s="282" t="s">
        <v>70</v>
      </c>
      <c r="B19" s="376">
        <v>71749.8</v>
      </c>
      <c r="C19" s="376">
        <v>71764.399999999994</v>
      </c>
      <c r="D19" s="376">
        <v>71764.5</v>
      </c>
      <c r="E19" s="376">
        <v>71764.5</v>
      </c>
      <c r="F19" s="376">
        <v>71782.100000000006</v>
      </c>
      <c r="G19" s="376">
        <v>71805.100000000006</v>
      </c>
      <c r="H19" s="376">
        <v>71826.8</v>
      </c>
      <c r="I19" s="376">
        <v>71840.800000000003</v>
      </c>
      <c r="J19" s="376">
        <v>71861.399999999994</v>
      </c>
      <c r="K19" s="376">
        <v>71894.100000000006</v>
      </c>
      <c r="L19" s="376">
        <v>71894.100000000006</v>
      </c>
      <c r="M19" s="376">
        <v>71900.5</v>
      </c>
      <c r="N19" s="376">
        <v>71939.100000000006</v>
      </c>
      <c r="O19" s="376">
        <v>71974.899999999994</v>
      </c>
      <c r="P19" s="376">
        <v>72005.600000000006</v>
      </c>
      <c r="Q19" s="376">
        <v>72025.7</v>
      </c>
      <c r="R19" s="376">
        <v>72041.5</v>
      </c>
      <c r="S19" s="376">
        <v>72041.5</v>
      </c>
      <c r="T19" s="376">
        <v>72052.600000000006</v>
      </c>
      <c r="U19" s="376">
        <v>72080.7</v>
      </c>
      <c r="V19" s="376">
        <v>72085.100000000006</v>
      </c>
      <c r="W19" s="376">
        <v>72097.100000000006</v>
      </c>
      <c r="X19" s="376">
        <v>72121.5</v>
      </c>
      <c r="Y19" s="376">
        <v>72144.600000000006</v>
      </c>
      <c r="Z19" s="376">
        <v>72144.600000000006</v>
      </c>
      <c r="AA19" s="376">
        <v>72166.7</v>
      </c>
      <c r="AB19" s="376">
        <v>72190.3</v>
      </c>
      <c r="AC19" s="376">
        <v>72214.3</v>
      </c>
      <c r="AD19" s="361">
        <v>72236.5</v>
      </c>
      <c r="AE19" s="361">
        <v>72260.600000000006</v>
      </c>
      <c r="AF19" s="361">
        <v>72305</v>
      </c>
      <c r="AG19" s="321"/>
      <c r="AH19" s="376">
        <v>71723.100000000006</v>
      </c>
      <c r="AI19" s="307"/>
    </row>
    <row r="20" spans="1:35" ht="25.5">
      <c r="A20" s="282" t="s">
        <v>71</v>
      </c>
      <c r="B20" s="374" t="s">
        <v>1351</v>
      </c>
      <c r="C20" s="374" t="s">
        <v>1351</v>
      </c>
      <c r="D20" s="374" t="s">
        <v>1351</v>
      </c>
      <c r="E20" s="374" t="s">
        <v>1351</v>
      </c>
      <c r="F20" s="374" t="s">
        <v>1351</v>
      </c>
      <c r="G20" s="374" t="s">
        <v>1351</v>
      </c>
      <c r="H20" s="374" t="s">
        <v>1351</v>
      </c>
      <c r="I20" s="374" t="s">
        <v>1351</v>
      </c>
      <c r="J20" s="374" t="s">
        <v>1351</v>
      </c>
      <c r="K20" s="374" t="s">
        <v>1351</v>
      </c>
      <c r="L20" s="374" t="s">
        <v>1351</v>
      </c>
      <c r="M20" s="374" t="s">
        <v>1351</v>
      </c>
      <c r="N20" s="374" t="s">
        <v>1351</v>
      </c>
      <c r="O20" s="374" t="s">
        <v>1351</v>
      </c>
      <c r="P20" s="374" t="s">
        <v>1351</v>
      </c>
      <c r="Q20" s="374" t="s">
        <v>1351</v>
      </c>
      <c r="R20" s="374" t="s">
        <v>1351</v>
      </c>
      <c r="S20" s="374" t="s">
        <v>1351</v>
      </c>
      <c r="T20" s="374" t="s">
        <v>1351</v>
      </c>
      <c r="U20" s="374" t="s">
        <v>1351</v>
      </c>
      <c r="V20" s="374" t="s">
        <v>1351</v>
      </c>
      <c r="W20" s="374" t="s">
        <v>1351</v>
      </c>
      <c r="X20" s="374" t="s">
        <v>1351</v>
      </c>
      <c r="Y20" s="374" t="s">
        <v>1351</v>
      </c>
      <c r="Z20" s="374" t="s">
        <v>1351</v>
      </c>
      <c r="AA20" s="374" t="s">
        <v>1351</v>
      </c>
      <c r="AB20" s="374" t="s">
        <v>1351</v>
      </c>
      <c r="AC20" s="374" t="s">
        <v>1351</v>
      </c>
      <c r="AD20" s="357" t="s">
        <v>1351</v>
      </c>
      <c r="AE20" s="357" t="s">
        <v>1351</v>
      </c>
      <c r="AF20" s="357" t="s">
        <v>1351</v>
      </c>
      <c r="AG20" s="209"/>
      <c r="AH20" s="374" t="s">
        <v>1351</v>
      </c>
    </row>
    <row r="21" spans="1:35">
      <c r="A21" s="282" t="s">
        <v>72</v>
      </c>
      <c r="B21" s="374">
        <v>131558</v>
      </c>
      <c r="C21" s="374">
        <v>131558</v>
      </c>
      <c r="D21" s="374">
        <v>131558</v>
      </c>
      <c r="E21" s="374">
        <v>132107</v>
      </c>
      <c r="F21" s="374">
        <v>132107</v>
      </c>
      <c r="G21" s="374">
        <v>132107</v>
      </c>
      <c r="H21" s="374">
        <v>132107</v>
      </c>
      <c r="I21" s="374">
        <v>132107</v>
      </c>
      <c r="J21" s="374">
        <v>132107</v>
      </c>
      <c r="K21" s="374">
        <v>132107</v>
      </c>
      <c r="L21" s="374">
        <v>132856</v>
      </c>
      <c r="M21" s="374">
        <v>132856</v>
      </c>
      <c r="N21" s="374">
        <v>132856</v>
      </c>
      <c r="O21" s="374">
        <v>132856</v>
      </c>
      <c r="P21" s="374">
        <v>132856</v>
      </c>
      <c r="Q21" s="374">
        <v>132856</v>
      </c>
      <c r="R21" s="374">
        <v>132856</v>
      </c>
      <c r="S21" s="374">
        <v>133672</v>
      </c>
      <c r="T21" s="374">
        <v>133672</v>
      </c>
      <c r="U21" s="374">
        <v>133672</v>
      </c>
      <c r="V21" s="374">
        <v>133672</v>
      </c>
      <c r="W21" s="374">
        <v>133672</v>
      </c>
      <c r="X21" s="374">
        <v>133672</v>
      </c>
      <c r="Y21" s="374">
        <v>133672</v>
      </c>
      <c r="Z21" s="374">
        <v>134321</v>
      </c>
      <c r="AA21" s="374">
        <v>134321</v>
      </c>
      <c r="AB21" s="374">
        <v>134321</v>
      </c>
      <c r="AC21" s="374">
        <v>134321</v>
      </c>
      <c r="AD21" s="357">
        <v>134321</v>
      </c>
      <c r="AE21" s="357">
        <v>134321</v>
      </c>
      <c r="AF21" s="357">
        <v>134321</v>
      </c>
      <c r="AG21" s="321"/>
      <c r="AH21" s="374">
        <v>131558</v>
      </c>
    </row>
    <row r="22" spans="1:35">
      <c r="A22" s="282" t="s">
        <v>73</v>
      </c>
      <c r="B22" s="377">
        <v>17648.599999999999</v>
      </c>
      <c r="C22" s="377">
        <v>17656.3</v>
      </c>
      <c r="D22" s="377">
        <v>17661.599999999999</v>
      </c>
      <c r="E22" s="377">
        <v>17667.7</v>
      </c>
      <c r="F22" s="377">
        <v>17674.2</v>
      </c>
      <c r="G22" s="377">
        <v>17681.599999999999</v>
      </c>
      <c r="H22" s="377">
        <v>17688.8</v>
      </c>
      <c r="I22" s="377">
        <v>17696.099999999999</v>
      </c>
      <c r="J22" s="377">
        <v>17706.3</v>
      </c>
      <c r="K22" s="377">
        <v>17712.8</v>
      </c>
      <c r="L22" s="377">
        <v>17718.900000000001</v>
      </c>
      <c r="M22" s="377">
        <v>17725.099999999999</v>
      </c>
      <c r="N22" s="377">
        <v>17736.599999999999</v>
      </c>
      <c r="O22" s="377">
        <v>17743.3</v>
      </c>
      <c r="P22" s="377">
        <v>17749.400000000001</v>
      </c>
      <c r="Q22" s="377">
        <v>17755.8</v>
      </c>
      <c r="R22" s="377">
        <v>17762.2</v>
      </c>
      <c r="S22" s="377">
        <v>17769.599999999999</v>
      </c>
      <c r="T22" s="377">
        <v>17776.7</v>
      </c>
      <c r="U22" s="377">
        <v>17783.099999999999</v>
      </c>
      <c r="V22" s="377">
        <v>17790.8</v>
      </c>
      <c r="W22" s="377">
        <v>17797.599999999999</v>
      </c>
      <c r="X22" s="377">
        <v>17804.599999999999</v>
      </c>
      <c r="Y22" s="377">
        <v>17810.900000000001</v>
      </c>
      <c r="Z22" s="377">
        <v>17817.099999999999</v>
      </c>
      <c r="AA22" s="377">
        <v>17824.099999999999</v>
      </c>
      <c r="AB22" s="377">
        <v>17831.2</v>
      </c>
      <c r="AC22" s="377">
        <v>17838.2</v>
      </c>
      <c r="AD22" s="363">
        <v>17845.3</v>
      </c>
      <c r="AE22" s="363">
        <v>17851.3</v>
      </c>
      <c r="AF22" s="363">
        <v>17859.900000000001</v>
      </c>
      <c r="AG22" s="321">
        <f>AF22-AH22</f>
        <v>217.80000000000291</v>
      </c>
      <c r="AH22" s="377">
        <v>17642.099999999999</v>
      </c>
      <c r="AI22" s="144">
        <v>218</v>
      </c>
    </row>
    <row r="23" spans="1:35">
      <c r="A23" s="309" t="s">
        <v>136</v>
      </c>
      <c r="B23" s="374">
        <v>7199</v>
      </c>
      <c r="C23" s="374">
        <v>7199</v>
      </c>
      <c r="D23" s="374">
        <v>7199</v>
      </c>
      <c r="E23" s="374">
        <v>7285</v>
      </c>
      <c r="F23" s="374">
        <v>7285</v>
      </c>
      <c r="G23" s="374">
        <v>7285</v>
      </c>
      <c r="H23" s="374">
        <v>7285</v>
      </c>
      <c r="I23" s="374">
        <v>7285</v>
      </c>
      <c r="J23" s="374">
        <v>7285</v>
      </c>
      <c r="K23" s="374">
        <v>7285</v>
      </c>
      <c r="L23" s="374">
        <v>7408</v>
      </c>
      <c r="M23" s="374">
        <v>7408</v>
      </c>
      <c r="N23" s="374">
        <v>7408</v>
      </c>
      <c r="O23" s="374">
        <v>7408</v>
      </c>
      <c r="P23" s="374">
        <v>7408</v>
      </c>
      <c r="Q23" s="374">
        <v>7408</v>
      </c>
      <c r="R23" s="374">
        <v>7408</v>
      </c>
      <c r="S23" s="374">
        <v>7497</v>
      </c>
      <c r="T23" s="374">
        <v>7497</v>
      </c>
      <c r="U23" s="374">
        <v>7497</v>
      </c>
      <c r="V23" s="374">
        <v>7497</v>
      </c>
      <c r="W23" s="374">
        <v>7497</v>
      </c>
      <c r="X23" s="374">
        <v>7497</v>
      </c>
      <c r="Y23" s="374">
        <v>7497</v>
      </c>
      <c r="Z23" s="374">
        <v>7610</v>
      </c>
      <c r="AA23" s="374">
        <v>7610</v>
      </c>
      <c r="AB23" s="374">
        <v>7610</v>
      </c>
      <c r="AC23" s="374">
        <v>7610</v>
      </c>
      <c r="AD23" s="357">
        <v>7610</v>
      </c>
      <c r="AE23" s="357">
        <v>7610</v>
      </c>
      <c r="AF23" s="357">
        <v>7610</v>
      </c>
      <c r="AG23" s="323">
        <f>AF23-AH23</f>
        <v>411</v>
      </c>
      <c r="AH23" s="374">
        <v>7199</v>
      </c>
      <c r="AI23" s="144">
        <v>411</v>
      </c>
    </row>
    <row r="24" spans="1:35">
      <c r="A24" s="309" t="s">
        <v>139</v>
      </c>
      <c r="B24" s="374">
        <v>4900</v>
      </c>
      <c r="C24" s="374">
        <v>4900</v>
      </c>
      <c r="D24" s="374">
        <v>4900</v>
      </c>
      <c r="E24" s="374">
        <v>4944</v>
      </c>
      <c r="F24" s="374">
        <v>4944</v>
      </c>
      <c r="G24" s="374">
        <v>4944</v>
      </c>
      <c r="H24" s="374">
        <v>4944</v>
      </c>
      <c r="I24" s="374">
        <v>4944</v>
      </c>
      <c r="J24" s="374">
        <v>4944</v>
      </c>
      <c r="K24" s="374">
        <v>4944</v>
      </c>
      <c r="L24" s="374">
        <v>4988</v>
      </c>
      <c r="M24" s="374">
        <v>4988</v>
      </c>
      <c r="N24" s="374">
        <v>4988</v>
      </c>
      <c r="O24" s="374">
        <v>4988</v>
      </c>
      <c r="P24" s="374">
        <v>4988</v>
      </c>
      <c r="Q24" s="374">
        <v>4988</v>
      </c>
      <c r="R24" s="374">
        <v>4988</v>
      </c>
      <c r="S24" s="374">
        <v>5027</v>
      </c>
      <c r="T24" s="374">
        <v>5027</v>
      </c>
      <c r="U24" s="374">
        <v>5027</v>
      </c>
      <c r="V24" s="374">
        <v>5027</v>
      </c>
      <c r="W24" s="374">
        <v>5027</v>
      </c>
      <c r="X24" s="374">
        <v>5027</v>
      </c>
      <c r="Y24" s="374">
        <v>5027</v>
      </c>
      <c r="Z24" s="374">
        <v>5068</v>
      </c>
      <c r="AA24" s="374">
        <v>5068</v>
      </c>
      <c r="AB24" s="374">
        <v>5068</v>
      </c>
      <c r="AC24" s="374">
        <v>5068</v>
      </c>
      <c r="AD24" s="357">
        <v>5068</v>
      </c>
      <c r="AE24" s="357">
        <v>5068</v>
      </c>
      <c r="AF24" s="357">
        <v>5068</v>
      </c>
      <c r="AG24" s="323">
        <f t="shared" ref="AG24:AG29" si="0">AF24-AH24</f>
        <v>168</v>
      </c>
      <c r="AH24" s="374">
        <v>4900</v>
      </c>
      <c r="AI24" s="144">
        <v>168</v>
      </c>
    </row>
    <row r="25" spans="1:35">
      <c r="A25" s="309" t="s">
        <v>142</v>
      </c>
      <c r="B25" s="374">
        <v>2024</v>
      </c>
      <c r="C25" s="374">
        <v>2024</v>
      </c>
      <c r="D25" s="374">
        <v>2024</v>
      </c>
      <c r="E25" s="374">
        <v>2058</v>
      </c>
      <c r="F25" s="374">
        <v>2058</v>
      </c>
      <c r="G25" s="374">
        <v>2058</v>
      </c>
      <c r="H25" s="374">
        <v>2058</v>
      </c>
      <c r="I25" s="374">
        <v>2058</v>
      </c>
      <c r="J25" s="374">
        <v>2058</v>
      </c>
      <c r="K25" s="374">
        <v>2058</v>
      </c>
      <c r="L25" s="374">
        <v>2075</v>
      </c>
      <c r="M25" s="374">
        <v>2075</v>
      </c>
      <c r="N25" s="374">
        <v>2075</v>
      </c>
      <c r="O25" s="374">
        <v>2075</v>
      </c>
      <c r="P25" s="374">
        <v>2075</v>
      </c>
      <c r="Q25" s="374">
        <v>2075</v>
      </c>
      <c r="R25" s="374">
        <v>2075</v>
      </c>
      <c r="S25" s="374">
        <v>2089</v>
      </c>
      <c r="T25" s="374">
        <v>2089</v>
      </c>
      <c r="U25" s="374">
        <v>2089</v>
      </c>
      <c r="V25" s="374">
        <v>2089</v>
      </c>
      <c r="W25" s="374">
        <v>2089</v>
      </c>
      <c r="X25" s="374">
        <v>2089</v>
      </c>
      <c r="Y25" s="374">
        <v>2089</v>
      </c>
      <c r="Z25" s="374">
        <v>2104</v>
      </c>
      <c r="AA25" s="374">
        <v>2104</v>
      </c>
      <c r="AB25" s="374">
        <v>2104</v>
      </c>
      <c r="AC25" s="374">
        <v>2104</v>
      </c>
      <c r="AD25" s="357">
        <v>2104</v>
      </c>
      <c r="AE25" s="357">
        <v>2104</v>
      </c>
      <c r="AF25" s="357">
        <v>2104</v>
      </c>
      <c r="AG25" s="323">
        <f t="shared" si="0"/>
        <v>80</v>
      </c>
      <c r="AH25" s="374">
        <v>2024</v>
      </c>
      <c r="AI25" s="144">
        <v>80</v>
      </c>
    </row>
    <row r="26" spans="1:35">
      <c r="A26" s="309" t="s">
        <v>145</v>
      </c>
      <c r="B26" s="374">
        <v>775</v>
      </c>
      <c r="C26" s="374">
        <v>775</v>
      </c>
      <c r="D26" s="374">
        <v>775</v>
      </c>
      <c r="E26" s="374">
        <v>847</v>
      </c>
      <c r="F26" s="374">
        <v>847</v>
      </c>
      <c r="G26" s="374">
        <v>847</v>
      </c>
      <c r="H26" s="374">
        <v>847</v>
      </c>
      <c r="I26" s="374">
        <v>847</v>
      </c>
      <c r="J26" s="374">
        <v>847</v>
      </c>
      <c r="K26" s="374">
        <v>847</v>
      </c>
      <c r="L26" s="374">
        <v>866</v>
      </c>
      <c r="M26" s="374">
        <v>866</v>
      </c>
      <c r="N26" s="374">
        <v>866</v>
      </c>
      <c r="O26" s="374">
        <v>866</v>
      </c>
      <c r="P26" s="374">
        <v>866</v>
      </c>
      <c r="Q26" s="374">
        <v>866</v>
      </c>
      <c r="R26" s="374">
        <v>866</v>
      </c>
      <c r="S26" s="374">
        <v>866</v>
      </c>
      <c r="T26" s="374">
        <v>866</v>
      </c>
      <c r="U26" s="374">
        <v>866</v>
      </c>
      <c r="V26" s="374">
        <v>866</v>
      </c>
      <c r="W26" s="374">
        <v>866</v>
      </c>
      <c r="X26" s="374">
        <v>866</v>
      </c>
      <c r="Y26" s="374">
        <v>866</v>
      </c>
      <c r="Z26" s="374">
        <v>902</v>
      </c>
      <c r="AA26" s="374">
        <v>902</v>
      </c>
      <c r="AB26" s="374">
        <v>902</v>
      </c>
      <c r="AC26" s="374">
        <v>902</v>
      </c>
      <c r="AD26" s="357">
        <v>902</v>
      </c>
      <c r="AE26" s="357">
        <v>902</v>
      </c>
      <c r="AF26" s="357">
        <v>902</v>
      </c>
      <c r="AG26" s="323">
        <f t="shared" si="0"/>
        <v>127</v>
      </c>
      <c r="AH26" s="374">
        <v>775</v>
      </c>
      <c r="AI26" s="144">
        <v>127</v>
      </c>
    </row>
    <row r="27" spans="1:35">
      <c r="A27" s="309" t="s">
        <v>148</v>
      </c>
      <c r="B27" s="374">
        <v>7480</v>
      </c>
      <c r="C27" s="374">
        <v>7480</v>
      </c>
      <c r="D27" s="374">
        <v>7480</v>
      </c>
      <c r="E27" s="374">
        <v>7599</v>
      </c>
      <c r="F27" s="374">
        <v>7599</v>
      </c>
      <c r="G27" s="374">
        <v>7599</v>
      </c>
      <c r="H27" s="374">
        <v>7599</v>
      </c>
      <c r="I27" s="374">
        <v>7599</v>
      </c>
      <c r="J27" s="374">
        <v>7599</v>
      </c>
      <c r="K27" s="374">
        <v>7599</v>
      </c>
      <c r="L27" s="374">
        <v>7670</v>
      </c>
      <c r="M27" s="374">
        <v>7670</v>
      </c>
      <c r="N27" s="374">
        <v>7670</v>
      </c>
      <c r="O27" s="374">
        <v>7670</v>
      </c>
      <c r="P27" s="374">
        <v>7670</v>
      </c>
      <c r="Q27" s="374">
        <v>7670</v>
      </c>
      <c r="R27" s="374">
        <v>7670</v>
      </c>
      <c r="S27" s="374">
        <v>7719</v>
      </c>
      <c r="T27" s="374">
        <v>7719</v>
      </c>
      <c r="U27" s="374">
        <v>7719</v>
      </c>
      <c r="V27" s="374">
        <v>7719</v>
      </c>
      <c r="W27" s="374">
        <v>7719</v>
      </c>
      <c r="X27" s="374">
        <v>7719</v>
      </c>
      <c r="Y27" s="374">
        <v>7719</v>
      </c>
      <c r="Z27" s="374">
        <v>7776</v>
      </c>
      <c r="AA27" s="374">
        <v>7776</v>
      </c>
      <c r="AB27" s="374">
        <v>7776</v>
      </c>
      <c r="AC27" s="374">
        <v>7776</v>
      </c>
      <c r="AD27" s="357">
        <v>7776</v>
      </c>
      <c r="AE27" s="357">
        <v>7776</v>
      </c>
      <c r="AF27" s="357">
        <v>7776</v>
      </c>
      <c r="AG27" s="323">
        <f t="shared" si="0"/>
        <v>296</v>
      </c>
      <c r="AH27" s="374">
        <v>7480</v>
      </c>
      <c r="AI27" s="144">
        <v>296</v>
      </c>
    </row>
    <row r="28" spans="1:35">
      <c r="A28" s="309" t="s">
        <v>151</v>
      </c>
      <c r="B28" s="374">
        <v>1229</v>
      </c>
      <c r="C28" s="374">
        <v>1229</v>
      </c>
      <c r="D28" s="374">
        <v>1229</v>
      </c>
      <c r="E28" s="374">
        <v>1240</v>
      </c>
      <c r="F28" s="374">
        <v>1240</v>
      </c>
      <c r="G28" s="374">
        <v>1240</v>
      </c>
      <c r="H28" s="374">
        <v>1240</v>
      </c>
      <c r="I28" s="374">
        <v>1240</v>
      </c>
      <c r="J28" s="374">
        <v>1240</v>
      </c>
      <c r="K28" s="374">
        <v>1240</v>
      </c>
      <c r="L28" s="374">
        <v>1253</v>
      </c>
      <c r="M28" s="374">
        <v>1253</v>
      </c>
      <c r="N28" s="374">
        <v>1253</v>
      </c>
      <c r="O28" s="374">
        <v>1253</v>
      </c>
      <c r="P28" s="374">
        <v>1253</v>
      </c>
      <c r="Q28" s="374">
        <v>1253</v>
      </c>
      <c r="R28" s="374">
        <v>1253</v>
      </c>
      <c r="S28" s="374">
        <v>1265</v>
      </c>
      <c r="T28" s="374">
        <v>1265</v>
      </c>
      <c r="U28" s="374">
        <v>1265</v>
      </c>
      <c r="V28" s="374">
        <v>1265</v>
      </c>
      <c r="W28" s="374">
        <v>1265</v>
      </c>
      <c r="X28" s="374">
        <v>1265</v>
      </c>
      <c r="Y28" s="374">
        <v>1265</v>
      </c>
      <c r="Z28" s="374">
        <v>1276</v>
      </c>
      <c r="AA28" s="374">
        <v>1276</v>
      </c>
      <c r="AB28" s="374">
        <v>1276</v>
      </c>
      <c r="AC28" s="374">
        <v>1276</v>
      </c>
      <c r="AD28" s="357">
        <v>1276</v>
      </c>
      <c r="AE28" s="357">
        <v>1276</v>
      </c>
      <c r="AF28" s="357">
        <v>1276</v>
      </c>
      <c r="AG28" s="323">
        <f t="shared" si="0"/>
        <v>47</v>
      </c>
      <c r="AH28" s="374">
        <v>1229</v>
      </c>
      <c r="AI28" s="144">
        <v>47</v>
      </c>
    </row>
    <row r="29" spans="1:35">
      <c r="A29" s="309" t="s">
        <v>154</v>
      </c>
      <c r="B29" s="374">
        <v>611</v>
      </c>
      <c r="C29" s="374">
        <v>611</v>
      </c>
      <c r="D29" s="374">
        <v>611</v>
      </c>
      <c r="E29" s="374">
        <v>621</v>
      </c>
      <c r="F29" s="374">
        <v>621</v>
      </c>
      <c r="G29" s="374">
        <v>621</v>
      </c>
      <c r="H29" s="374">
        <v>621</v>
      </c>
      <c r="I29" s="374">
        <v>621</v>
      </c>
      <c r="J29" s="374">
        <v>621</v>
      </c>
      <c r="K29" s="374">
        <v>621</v>
      </c>
      <c r="L29" s="374">
        <v>629</v>
      </c>
      <c r="M29" s="374">
        <v>629</v>
      </c>
      <c r="N29" s="374">
        <v>629</v>
      </c>
      <c r="O29" s="374">
        <v>629</v>
      </c>
      <c r="P29" s="374">
        <v>629</v>
      </c>
      <c r="Q29" s="374">
        <v>629</v>
      </c>
      <c r="R29" s="374">
        <v>629</v>
      </c>
      <c r="S29" s="374">
        <v>638</v>
      </c>
      <c r="T29" s="374">
        <v>638</v>
      </c>
      <c r="U29" s="374">
        <v>638</v>
      </c>
      <c r="V29" s="374">
        <v>638</v>
      </c>
      <c r="W29" s="374">
        <v>638</v>
      </c>
      <c r="X29" s="374">
        <v>638</v>
      </c>
      <c r="Y29" s="374">
        <v>638</v>
      </c>
      <c r="Z29" s="374">
        <v>647</v>
      </c>
      <c r="AA29" s="374">
        <v>647</v>
      </c>
      <c r="AB29" s="374">
        <v>647</v>
      </c>
      <c r="AC29" s="374">
        <v>647</v>
      </c>
      <c r="AD29" s="357">
        <v>647</v>
      </c>
      <c r="AE29" s="357">
        <v>647</v>
      </c>
      <c r="AF29" s="357">
        <v>647</v>
      </c>
      <c r="AG29" s="323">
        <f t="shared" si="0"/>
        <v>36</v>
      </c>
      <c r="AH29" s="374">
        <v>611</v>
      </c>
      <c r="AI29" s="144">
        <v>36</v>
      </c>
    </row>
    <row r="30" spans="1:35">
      <c r="A30" s="303"/>
      <c r="B30" s="371"/>
      <c r="C30" s="371"/>
      <c r="D30" s="371"/>
      <c r="E30" s="371"/>
      <c r="F30" s="371"/>
      <c r="G30" s="371"/>
      <c r="H30" s="371"/>
      <c r="I30" s="371"/>
      <c r="J30" s="371"/>
      <c r="K30" s="371"/>
      <c r="L30" s="371"/>
      <c r="M30" s="371"/>
      <c r="N30" s="371"/>
      <c r="O30" s="371"/>
      <c r="P30" s="371"/>
      <c r="Q30" s="371"/>
      <c r="R30" s="371"/>
      <c r="S30" s="371"/>
      <c r="T30" s="371"/>
      <c r="U30" s="371"/>
      <c r="V30" s="371"/>
      <c r="W30" s="371"/>
      <c r="X30" s="371"/>
      <c r="Y30" s="371"/>
      <c r="Z30" s="371"/>
      <c r="AA30" s="371"/>
      <c r="AB30" s="371"/>
      <c r="AC30" s="371"/>
      <c r="AD30" s="341"/>
      <c r="AE30" s="341"/>
      <c r="AF30" s="341"/>
      <c r="AG30" s="304"/>
      <c r="AH30" s="371"/>
    </row>
    <row r="31" spans="1:35">
      <c r="A31" s="282" t="s">
        <v>74</v>
      </c>
      <c r="B31" s="372" t="s">
        <v>157</v>
      </c>
      <c r="C31" s="372" t="s">
        <v>157</v>
      </c>
      <c r="D31" s="372" t="s">
        <v>157</v>
      </c>
      <c r="E31" s="372" t="s">
        <v>157</v>
      </c>
      <c r="F31" s="372" t="s">
        <v>157</v>
      </c>
      <c r="G31" s="372" t="s">
        <v>157</v>
      </c>
      <c r="H31" s="372" t="s">
        <v>157</v>
      </c>
      <c r="I31" s="372" t="s">
        <v>157</v>
      </c>
      <c r="J31" s="372" t="s">
        <v>157</v>
      </c>
      <c r="K31" s="372" t="s">
        <v>157</v>
      </c>
      <c r="L31" s="372" t="s">
        <v>157</v>
      </c>
      <c r="M31" s="372" t="s">
        <v>157</v>
      </c>
      <c r="N31" s="372" t="s">
        <v>157</v>
      </c>
      <c r="O31" s="372" t="s">
        <v>157</v>
      </c>
      <c r="P31" s="372" t="s">
        <v>157</v>
      </c>
      <c r="Q31" s="372" t="s">
        <v>157</v>
      </c>
      <c r="R31" s="372" t="s">
        <v>157</v>
      </c>
      <c r="S31" s="372" t="s">
        <v>157</v>
      </c>
      <c r="T31" s="372" t="s">
        <v>157</v>
      </c>
      <c r="U31" s="372" t="s">
        <v>157</v>
      </c>
      <c r="V31" s="372" t="s">
        <v>157</v>
      </c>
      <c r="W31" s="372" t="s">
        <v>157</v>
      </c>
      <c r="X31" s="372" t="s">
        <v>157</v>
      </c>
      <c r="Y31" s="372" t="s">
        <v>157</v>
      </c>
      <c r="Z31" s="372" t="s">
        <v>157</v>
      </c>
      <c r="AA31" s="372" t="s">
        <v>157</v>
      </c>
      <c r="AB31" s="372" t="s">
        <v>157</v>
      </c>
      <c r="AC31" s="372" t="s">
        <v>157</v>
      </c>
      <c r="AD31" s="342" t="s">
        <v>157</v>
      </c>
      <c r="AE31" s="342" t="s">
        <v>157</v>
      </c>
      <c r="AF31" s="342" t="s">
        <v>157</v>
      </c>
      <c r="AG31" s="296"/>
      <c r="AH31" s="372" t="s">
        <v>157</v>
      </c>
    </row>
    <row r="32" spans="1:35" ht="25.5">
      <c r="A32" s="282" t="s">
        <v>77</v>
      </c>
      <c r="B32" s="378" t="s">
        <v>78</v>
      </c>
      <c r="C32" s="378" t="s">
        <v>78</v>
      </c>
      <c r="D32" s="378" t="s">
        <v>78</v>
      </c>
      <c r="E32" s="378" t="s">
        <v>78</v>
      </c>
      <c r="F32" s="378" t="s">
        <v>78</v>
      </c>
      <c r="G32" s="378" t="s">
        <v>78</v>
      </c>
      <c r="H32" s="378" t="s">
        <v>78</v>
      </c>
      <c r="I32" s="378" t="s">
        <v>78</v>
      </c>
      <c r="J32" s="378" t="s">
        <v>78</v>
      </c>
      <c r="K32" s="378" t="s">
        <v>78</v>
      </c>
      <c r="L32" s="378" t="s">
        <v>78</v>
      </c>
      <c r="M32" s="378" t="s">
        <v>78</v>
      </c>
      <c r="N32" s="378" t="s">
        <v>78</v>
      </c>
      <c r="O32" s="378" t="s">
        <v>78</v>
      </c>
      <c r="P32" s="378" t="s">
        <v>78</v>
      </c>
      <c r="Q32" s="378" t="s">
        <v>78</v>
      </c>
      <c r="R32" s="378" t="s">
        <v>78</v>
      </c>
      <c r="S32" s="378" t="s">
        <v>78</v>
      </c>
      <c r="T32" s="378" t="s">
        <v>78</v>
      </c>
      <c r="U32" s="378" t="s">
        <v>78</v>
      </c>
      <c r="V32" s="378" t="s">
        <v>78</v>
      </c>
      <c r="W32" s="378" t="s">
        <v>78</v>
      </c>
      <c r="X32" s="378" t="s">
        <v>78</v>
      </c>
      <c r="Y32" s="378" t="s">
        <v>78</v>
      </c>
      <c r="Z32" s="378" t="s">
        <v>78</v>
      </c>
      <c r="AA32" s="378" t="s">
        <v>78</v>
      </c>
      <c r="AB32" s="378" t="s">
        <v>78</v>
      </c>
      <c r="AC32" s="378" t="s">
        <v>78</v>
      </c>
      <c r="AD32" s="344" t="s">
        <v>78</v>
      </c>
      <c r="AE32" s="344" t="s">
        <v>78</v>
      </c>
      <c r="AF32" s="344" t="s">
        <v>78</v>
      </c>
      <c r="AG32" s="209"/>
      <c r="AH32" s="378" t="s">
        <v>78</v>
      </c>
    </row>
    <row r="33" spans="1:34" ht="25.5">
      <c r="A33" s="282" t="s">
        <v>80</v>
      </c>
      <c r="B33" s="379" t="s">
        <v>1332</v>
      </c>
      <c r="C33" s="379" t="s">
        <v>1332</v>
      </c>
      <c r="D33" s="379" t="s">
        <v>1332</v>
      </c>
      <c r="E33" s="379" t="s">
        <v>1333</v>
      </c>
      <c r="F33" s="379" t="s">
        <v>1333</v>
      </c>
      <c r="G33" s="379" t="s">
        <v>624</v>
      </c>
      <c r="H33" s="379" t="s">
        <v>1385</v>
      </c>
      <c r="I33" s="379" t="s">
        <v>1386</v>
      </c>
      <c r="J33" s="379" t="s">
        <v>605</v>
      </c>
      <c r="K33" s="379" t="s">
        <v>605</v>
      </c>
      <c r="L33" s="379" t="s">
        <v>605</v>
      </c>
      <c r="M33" s="379" t="s">
        <v>1387</v>
      </c>
      <c r="N33" s="379" t="s">
        <v>604</v>
      </c>
      <c r="O33" s="379" t="s">
        <v>1388</v>
      </c>
      <c r="P33" s="379" t="s">
        <v>603</v>
      </c>
      <c r="Q33" s="379" t="s">
        <v>602</v>
      </c>
      <c r="R33" s="379" t="s">
        <v>603</v>
      </c>
      <c r="S33" s="379" t="s">
        <v>603</v>
      </c>
      <c r="T33" s="379" t="s">
        <v>603</v>
      </c>
      <c r="U33" s="379" t="s">
        <v>603</v>
      </c>
      <c r="V33" s="379" t="s">
        <v>603</v>
      </c>
      <c r="W33" s="379" t="s">
        <v>1389</v>
      </c>
      <c r="X33" s="379" t="s">
        <v>1390</v>
      </c>
      <c r="Y33" s="379" t="s">
        <v>1338</v>
      </c>
      <c r="Z33" s="379" t="s">
        <v>1391</v>
      </c>
      <c r="AA33" s="379" t="s">
        <v>1339</v>
      </c>
      <c r="AB33" s="379" t="s">
        <v>580</v>
      </c>
      <c r="AC33" s="379" t="s">
        <v>580</v>
      </c>
      <c r="AD33" s="347" t="s">
        <v>1339</v>
      </c>
      <c r="AE33" s="347" t="s">
        <v>1339</v>
      </c>
      <c r="AF33" s="347" t="s">
        <v>1339</v>
      </c>
      <c r="AG33" s="209"/>
      <c r="AH33" s="379" t="s">
        <v>1332</v>
      </c>
    </row>
    <row r="34" spans="1:34" ht="15.75" thickBot="1">
      <c r="A34" s="310" t="s">
        <v>81</v>
      </c>
      <c r="B34" s="379" t="s">
        <v>1384</v>
      </c>
      <c r="C34" s="379" t="s">
        <v>1384</v>
      </c>
      <c r="D34" s="379" t="s">
        <v>1384</v>
      </c>
      <c r="E34" s="379" t="s">
        <v>1384</v>
      </c>
      <c r="F34" s="379" t="s">
        <v>1384</v>
      </c>
      <c r="G34" s="379" t="s">
        <v>1384</v>
      </c>
      <c r="H34" s="379" t="s">
        <v>1384</v>
      </c>
      <c r="I34" s="379" t="s">
        <v>1384</v>
      </c>
      <c r="J34" s="379" t="s">
        <v>1384</v>
      </c>
      <c r="K34" s="379" t="s">
        <v>1384</v>
      </c>
      <c r="L34" s="379" t="s">
        <v>1384</v>
      </c>
      <c r="M34" s="379" t="s">
        <v>1384</v>
      </c>
      <c r="N34" s="379" t="s">
        <v>1384</v>
      </c>
      <c r="O34" s="379" t="s">
        <v>1384</v>
      </c>
      <c r="P34" s="379" t="s">
        <v>1384</v>
      </c>
      <c r="Q34" s="379" t="s">
        <v>1384</v>
      </c>
      <c r="R34" s="379" t="s">
        <v>1384</v>
      </c>
      <c r="S34" s="379" t="s">
        <v>1384</v>
      </c>
      <c r="T34" s="379" t="s">
        <v>1384</v>
      </c>
      <c r="U34" s="379" t="s">
        <v>1384</v>
      </c>
      <c r="V34" s="379" t="s">
        <v>1384</v>
      </c>
      <c r="W34" s="379" t="s">
        <v>1384</v>
      </c>
      <c r="X34" s="379" t="s">
        <v>1384</v>
      </c>
      <c r="Y34" s="379" t="s">
        <v>1384</v>
      </c>
      <c r="Z34" s="379" t="s">
        <v>1384</v>
      </c>
      <c r="AA34" s="379" t="s">
        <v>1384</v>
      </c>
      <c r="AB34" s="379" t="s">
        <v>1384</v>
      </c>
      <c r="AC34" s="379" t="s">
        <v>1384</v>
      </c>
      <c r="AD34" s="347" t="s">
        <v>1384</v>
      </c>
      <c r="AE34" s="347" t="s">
        <v>1384</v>
      </c>
      <c r="AF34" s="347" t="s">
        <v>1384</v>
      </c>
      <c r="AG34" s="209"/>
      <c r="AH34" s="379" t="s">
        <v>1384</v>
      </c>
    </row>
    <row r="35" spans="1:34">
      <c r="AG35" s="211"/>
    </row>
    <row r="36" spans="1:34">
      <c r="AG36" s="211"/>
    </row>
  </sheetData>
  <mergeCells count="1">
    <mergeCell ref="A1:AH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3D1F-4D6E-4A9C-89BF-C920682B6AE1}">
  <dimension ref="A1:AH36"/>
  <sheetViews>
    <sheetView topLeftCell="N1"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9.140625" style="144"/>
    <col min="33" max="33" width="12.85546875" style="144" customWidth="1"/>
    <col min="34" max="16384" width="9.140625" style="144"/>
  </cols>
  <sheetData>
    <row r="1" spans="1:34"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4" ht="15.75">
      <c r="A2" s="280"/>
      <c r="B2" s="281">
        <v>45017</v>
      </c>
      <c r="C2" s="281">
        <v>45018</v>
      </c>
      <c r="D2" s="281">
        <v>45019</v>
      </c>
      <c r="E2" s="281">
        <v>45020</v>
      </c>
      <c r="F2" s="281">
        <v>45021</v>
      </c>
      <c r="G2" s="281">
        <v>45022</v>
      </c>
      <c r="H2" s="281">
        <v>45023</v>
      </c>
      <c r="I2" s="281">
        <v>45024</v>
      </c>
      <c r="J2" s="281">
        <v>45025</v>
      </c>
      <c r="K2" s="281">
        <v>45026</v>
      </c>
      <c r="L2" s="281">
        <v>45027</v>
      </c>
      <c r="M2" s="281">
        <v>45028</v>
      </c>
      <c r="N2" s="281">
        <v>45029</v>
      </c>
      <c r="O2" s="281">
        <v>45030</v>
      </c>
      <c r="P2" s="281">
        <v>45031</v>
      </c>
      <c r="Q2" s="281">
        <v>45032</v>
      </c>
      <c r="R2" s="281">
        <v>45033</v>
      </c>
      <c r="S2" s="281">
        <v>45034</v>
      </c>
      <c r="T2" s="281">
        <v>45035</v>
      </c>
      <c r="U2" s="281">
        <v>45036</v>
      </c>
      <c r="V2" s="281">
        <v>45037</v>
      </c>
      <c r="W2" s="281">
        <v>45038</v>
      </c>
      <c r="X2" s="281">
        <v>45039</v>
      </c>
      <c r="Y2" s="281">
        <v>45040</v>
      </c>
      <c r="Z2" s="281">
        <v>45041</v>
      </c>
      <c r="AA2" s="281">
        <v>45042</v>
      </c>
      <c r="AB2" s="281">
        <v>45043</v>
      </c>
      <c r="AC2" s="281">
        <v>45044</v>
      </c>
      <c r="AD2" s="281">
        <v>45045</v>
      </c>
      <c r="AE2" s="281">
        <v>45046</v>
      </c>
      <c r="AF2" s="281"/>
      <c r="AG2" s="281">
        <v>45016</v>
      </c>
    </row>
    <row r="3" spans="1:34"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53</v>
      </c>
    </row>
    <row r="4" spans="1:34" ht="20.100000000000001" customHeight="1">
      <c r="A4" s="285" t="s">
        <v>54</v>
      </c>
      <c r="B4" s="348">
        <v>297969</v>
      </c>
      <c r="C4" s="348">
        <v>298170</v>
      </c>
      <c r="D4" s="348">
        <v>298382</v>
      </c>
      <c r="E4" s="348">
        <v>298597</v>
      </c>
      <c r="F4" s="348">
        <v>298805</v>
      </c>
      <c r="G4" s="348">
        <v>299020</v>
      </c>
      <c r="H4" s="348">
        <v>299233</v>
      </c>
      <c r="I4" s="348">
        <v>299447</v>
      </c>
      <c r="J4" s="348">
        <v>299641</v>
      </c>
      <c r="K4" s="348">
        <v>299851</v>
      </c>
      <c r="L4" s="212">
        <v>300067</v>
      </c>
      <c r="M4" s="348">
        <v>300282</v>
      </c>
      <c r="N4" s="348">
        <v>300502</v>
      </c>
      <c r="O4" s="348">
        <v>300704</v>
      </c>
      <c r="P4" s="348">
        <v>300907</v>
      </c>
      <c r="Q4" s="348">
        <v>301139</v>
      </c>
      <c r="R4" s="348">
        <v>301328</v>
      </c>
      <c r="S4" s="348">
        <v>301544</v>
      </c>
      <c r="T4" s="349">
        <v>301763</v>
      </c>
      <c r="U4" s="349">
        <v>301979</v>
      </c>
      <c r="V4" s="349">
        <v>302187</v>
      </c>
      <c r="W4" s="349">
        <v>302395</v>
      </c>
      <c r="X4" s="349">
        <v>302609</v>
      </c>
      <c r="Y4" s="349">
        <v>302825</v>
      </c>
      <c r="Z4" s="349">
        <v>303042</v>
      </c>
      <c r="AA4" s="212">
        <v>303264</v>
      </c>
      <c r="AB4" s="212">
        <v>303476</v>
      </c>
      <c r="AC4" s="324">
        <v>303690</v>
      </c>
      <c r="AD4" s="324">
        <v>303895</v>
      </c>
      <c r="AE4" s="324">
        <v>304113</v>
      </c>
      <c r="AF4" s="287"/>
      <c r="AG4" s="348">
        <v>297763</v>
      </c>
      <c r="AH4" s="288"/>
    </row>
    <row r="5" spans="1:34" ht="20.100000000000001" customHeight="1">
      <c r="A5" s="285" t="s">
        <v>55</v>
      </c>
      <c r="B5" s="348">
        <v>8241654</v>
      </c>
      <c r="C5" s="348">
        <v>8248246</v>
      </c>
      <c r="D5" s="348">
        <v>8255122</v>
      </c>
      <c r="E5" s="348">
        <v>8261983</v>
      </c>
      <c r="F5" s="348">
        <v>8268588</v>
      </c>
      <c r="G5" s="348">
        <v>8275183</v>
      </c>
      <c r="H5" s="348">
        <v>8281879</v>
      </c>
      <c r="I5" s="348">
        <v>8288576</v>
      </c>
      <c r="J5" s="348">
        <v>8294637</v>
      </c>
      <c r="K5" s="348">
        <v>8301518</v>
      </c>
      <c r="L5" s="212">
        <v>8306799</v>
      </c>
      <c r="M5" s="348">
        <v>8316030</v>
      </c>
      <c r="N5" s="348">
        <v>8323585</v>
      </c>
      <c r="O5" s="348">
        <v>8330389</v>
      </c>
      <c r="P5" s="348">
        <v>8337193</v>
      </c>
      <c r="Q5" s="348">
        <v>8344899</v>
      </c>
      <c r="R5" s="348">
        <v>8351035</v>
      </c>
      <c r="S5" s="348">
        <v>8358525</v>
      </c>
      <c r="T5" s="349">
        <v>8366045</v>
      </c>
      <c r="U5" s="349">
        <v>8372930</v>
      </c>
      <c r="V5" s="349">
        <v>8379926</v>
      </c>
      <c r="W5" s="349">
        <v>8386923</v>
      </c>
      <c r="X5" s="349">
        <v>8394037</v>
      </c>
      <c r="Y5" s="349">
        <v>8401296</v>
      </c>
      <c r="Z5" s="349">
        <v>8409076</v>
      </c>
      <c r="AA5" s="212">
        <v>8416637</v>
      </c>
      <c r="AB5" s="212">
        <v>8423749</v>
      </c>
      <c r="AC5" s="324">
        <v>8430489</v>
      </c>
      <c r="AD5" s="324">
        <v>8437343</v>
      </c>
      <c r="AE5" s="324">
        <v>8444490</v>
      </c>
      <c r="AF5" s="287"/>
      <c r="AG5" s="348">
        <v>8234742</v>
      </c>
      <c r="AH5" s="288"/>
    </row>
    <row r="6" spans="1:34" ht="20.100000000000001" customHeight="1">
      <c r="A6" s="285" t="s">
        <v>56</v>
      </c>
      <c r="B6" s="348">
        <v>3944750</v>
      </c>
      <c r="C6" s="348">
        <v>3948077</v>
      </c>
      <c r="D6" s="348">
        <v>3951865</v>
      </c>
      <c r="E6" s="348">
        <v>3955524</v>
      </c>
      <c r="F6" s="348">
        <v>3958997</v>
      </c>
      <c r="G6" s="348">
        <v>3962522</v>
      </c>
      <c r="H6" s="348">
        <v>3965935</v>
      </c>
      <c r="I6" s="348">
        <v>3969348</v>
      </c>
      <c r="J6" s="348">
        <v>3972359</v>
      </c>
      <c r="K6" s="348">
        <v>3975849</v>
      </c>
      <c r="L6" s="212">
        <v>3979549</v>
      </c>
      <c r="M6" s="348">
        <v>3983228</v>
      </c>
      <c r="N6" s="348">
        <v>3987068</v>
      </c>
      <c r="O6" s="348">
        <v>3990339</v>
      </c>
      <c r="P6" s="348">
        <v>3993610</v>
      </c>
      <c r="Q6" s="348">
        <v>3997291</v>
      </c>
      <c r="R6" s="348">
        <v>4000386</v>
      </c>
      <c r="S6" s="348">
        <v>4003996</v>
      </c>
      <c r="T6" s="349">
        <v>4007616</v>
      </c>
      <c r="U6" s="349">
        <v>4011105</v>
      </c>
      <c r="V6" s="349">
        <v>4014461</v>
      </c>
      <c r="W6" s="349">
        <v>4017818</v>
      </c>
      <c r="X6" s="349">
        <v>4021240</v>
      </c>
      <c r="Y6" s="349">
        <v>4024668</v>
      </c>
      <c r="Z6" s="349">
        <v>4028160</v>
      </c>
      <c r="AA6" s="212">
        <v>4031762</v>
      </c>
      <c r="AB6" s="212">
        <v>4035146</v>
      </c>
      <c r="AC6" s="324">
        <v>4038081</v>
      </c>
      <c r="AD6" s="324">
        <v>4041435</v>
      </c>
      <c r="AE6" s="324">
        <v>4044838</v>
      </c>
      <c r="AF6" s="287"/>
      <c r="AG6" s="350">
        <v>3941240</v>
      </c>
      <c r="AH6" s="288"/>
    </row>
    <row r="7" spans="1:34" ht="20.100000000000001" customHeight="1">
      <c r="A7" s="285" t="s">
        <v>57</v>
      </c>
      <c r="B7" s="348">
        <v>9102571</v>
      </c>
      <c r="C7" s="348">
        <v>9109577</v>
      </c>
      <c r="D7" s="348">
        <v>9116861</v>
      </c>
      <c r="E7" s="348">
        <v>9122538</v>
      </c>
      <c r="F7" s="348">
        <v>9123142</v>
      </c>
      <c r="G7" s="348">
        <v>9130831</v>
      </c>
      <c r="H7" s="348">
        <v>9139053</v>
      </c>
      <c r="I7" s="348">
        <v>9147276</v>
      </c>
      <c r="J7" s="348">
        <v>9154418</v>
      </c>
      <c r="K7" s="348">
        <v>9161716</v>
      </c>
      <c r="L7" s="212">
        <v>9169720</v>
      </c>
      <c r="M7" s="348">
        <v>9177691</v>
      </c>
      <c r="N7" s="348">
        <v>9186047</v>
      </c>
      <c r="O7" s="348">
        <v>9193401</v>
      </c>
      <c r="P7" s="348">
        <v>9200756</v>
      </c>
      <c r="Q7" s="348">
        <v>9200845</v>
      </c>
      <c r="R7" s="348">
        <v>9200913</v>
      </c>
      <c r="S7" s="348">
        <v>9200990</v>
      </c>
      <c r="T7" s="349">
        <v>9201071</v>
      </c>
      <c r="U7" s="349">
        <v>9201152</v>
      </c>
      <c r="V7" s="349">
        <v>9201230</v>
      </c>
      <c r="W7" s="349">
        <v>9201308</v>
      </c>
      <c r="X7" s="349">
        <v>9201389</v>
      </c>
      <c r="Y7" s="349">
        <v>9201466</v>
      </c>
      <c r="Z7" s="349">
        <v>9201544</v>
      </c>
      <c r="AA7" s="212">
        <v>9201624</v>
      </c>
      <c r="AB7" s="212">
        <v>9201702</v>
      </c>
      <c r="AC7" s="324">
        <v>9202274</v>
      </c>
      <c r="AD7" s="324">
        <v>9202819</v>
      </c>
      <c r="AE7" s="324">
        <v>9211868</v>
      </c>
      <c r="AF7" s="287"/>
      <c r="AG7" s="348">
        <v>9101777</v>
      </c>
      <c r="AH7" s="288"/>
    </row>
    <row r="8" spans="1:34" ht="20.100000000000001" customHeight="1">
      <c r="A8" s="285" t="s">
        <v>58</v>
      </c>
      <c r="B8" s="348">
        <v>2936922</v>
      </c>
      <c r="C8" s="348">
        <v>2936922</v>
      </c>
      <c r="D8" s="348">
        <v>2936922</v>
      </c>
      <c r="E8" s="348">
        <v>2937929</v>
      </c>
      <c r="F8" s="348">
        <v>2940214</v>
      </c>
      <c r="G8" s="348">
        <v>2940344</v>
      </c>
      <c r="H8" s="348">
        <v>2940344</v>
      </c>
      <c r="I8" s="348">
        <v>2940344</v>
      </c>
      <c r="J8" s="348">
        <v>2940344</v>
      </c>
      <c r="K8" s="348">
        <v>2940344</v>
      </c>
      <c r="L8" s="212">
        <v>2940344</v>
      </c>
      <c r="M8" s="348">
        <v>2940344</v>
      </c>
      <c r="N8" s="348">
        <v>2940344</v>
      </c>
      <c r="O8" s="348">
        <v>2940543</v>
      </c>
      <c r="P8" s="348">
        <v>2940742</v>
      </c>
      <c r="Q8" s="348">
        <v>2943539</v>
      </c>
      <c r="R8" s="348">
        <v>2945623</v>
      </c>
      <c r="S8" s="348">
        <v>2948209</v>
      </c>
      <c r="T8" s="349">
        <v>2950847</v>
      </c>
      <c r="U8" s="349">
        <v>2953074</v>
      </c>
      <c r="V8" s="349">
        <v>2955421</v>
      </c>
      <c r="W8" s="349">
        <v>2957768</v>
      </c>
      <c r="X8" s="349">
        <v>2960133</v>
      </c>
      <c r="Y8" s="349">
        <v>2962626</v>
      </c>
      <c r="Z8" s="349">
        <v>2965233</v>
      </c>
      <c r="AA8" s="212">
        <v>2967944</v>
      </c>
      <c r="AB8" s="212">
        <v>2970391</v>
      </c>
      <c r="AC8" s="324">
        <v>2972903</v>
      </c>
      <c r="AD8" s="324">
        <v>2975243</v>
      </c>
      <c r="AE8" s="324">
        <v>2975243</v>
      </c>
      <c r="AF8" s="287"/>
      <c r="AG8" s="348">
        <v>2934738</v>
      </c>
      <c r="AH8" s="288"/>
    </row>
    <row r="9" spans="1:34" ht="20.100000000000001" customHeight="1">
      <c r="A9" s="285" t="s">
        <v>59</v>
      </c>
      <c r="B9" s="351">
        <v>19012428</v>
      </c>
      <c r="C9" s="351">
        <v>19020221</v>
      </c>
      <c r="D9" s="351">
        <v>19028261</v>
      </c>
      <c r="E9" s="351">
        <v>19038100</v>
      </c>
      <c r="F9" s="351">
        <v>19046889</v>
      </c>
      <c r="G9" s="351">
        <v>19055342</v>
      </c>
      <c r="H9" s="351">
        <v>19063763</v>
      </c>
      <c r="I9" s="351">
        <v>19072185</v>
      </c>
      <c r="J9" s="351">
        <v>19080090</v>
      </c>
      <c r="K9" s="351">
        <v>19088468</v>
      </c>
      <c r="L9" s="214">
        <v>19097006</v>
      </c>
      <c r="M9" s="351">
        <v>19105551</v>
      </c>
      <c r="N9" s="351">
        <v>19114598</v>
      </c>
      <c r="O9" s="351">
        <v>19122994</v>
      </c>
      <c r="P9" s="351">
        <v>19131391</v>
      </c>
      <c r="Q9" s="351">
        <v>19140843</v>
      </c>
      <c r="R9" s="351">
        <v>19148366</v>
      </c>
      <c r="S9" s="351">
        <v>19157062</v>
      </c>
      <c r="T9" s="352">
        <v>19165921</v>
      </c>
      <c r="U9" s="352">
        <v>19174422</v>
      </c>
      <c r="V9" s="352">
        <v>19182698</v>
      </c>
      <c r="W9" s="352">
        <v>19190974</v>
      </c>
      <c r="X9" s="352">
        <v>19199555</v>
      </c>
      <c r="Y9" s="352">
        <v>19207879</v>
      </c>
      <c r="Z9" s="352">
        <v>19216430</v>
      </c>
      <c r="AA9" s="214">
        <v>19225208</v>
      </c>
      <c r="AB9" s="214">
        <v>19233759</v>
      </c>
      <c r="AC9" s="326">
        <v>19242858</v>
      </c>
      <c r="AD9" s="326">
        <v>19251108</v>
      </c>
      <c r="AE9" s="326">
        <v>19260139</v>
      </c>
      <c r="AF9" s="290"/>
      <c r="AG9" s="351">
        <v>19004445</v>
      </c>
      <c r="AH9" s="288"/>
    </row>
    <row r="10" spans="1:34" ht="20.100000000000001" customHeight="1">
      <c r="A10" s="285" t="s">
        <v>60</v>
      </c>
      <c r="B10" s="348">
        <v>5956579</v>
      </c>
      <c r="C10" s="348">
        <v>5959645</v>
      </c>
      <c r="D10" s="348">
        <v>5963296</v>
      </c>
      <c r="E10" s="348">
        <v>5966884</v>
      </c>
      <c r="F10" s="348">
        <v>5970371</v>
      </c>
      <c r="G10" s="348">
        <v>5974101</v>
      </c>
      <c r="H10" s="348">
        <v>5977160</v>
      </c>
      <c r="I10" s="348">
        <v>5980219</v>
      </c>
      <c r="J10" s="348">
        <v>5983357</v>
      </c>
      <c r="K10" s="348">
        <v>5987070</v>
      </c>
      <c r="L10" s="212">
        <v>5990944</v>
      </c>
      <c r="M10" s="348">
        <v>5994784</v>
      </c>
      <c r="N10" s="348">
        <v>5998817</v>
      </c>
      <c r="O10" s="348">
        <v>6001679</v>
      </c>
      <c r="P10" s="348">
        <v>6004541</v>
      </c>
      <c r="Q10" s="348">
        <v>6008340</v>
      </c>
      <c r="R10" s="348">
        <v>6011530</v>
      </c>
      <c r="S10" s="348">
        <v>6015250</v>
      </c>
      <c r="T10" s="349">
        <v>6018868</v>
      </c>
      <c r="U10" s="349">
        <v>6021851</v>
      </c>
      <c r="V10" s="349">
        <v>6024441</v>
      </c>
      <c r="W10" s="349">
        <v>6027032</v>
      </c>
      <c r="X10" s="349">
        <v>6029677</v>
      </c>
      <c r="Y10" s="349">
        <v>6032599</v>
      </c>
      <c r="Z10" s="349">
        <v>6035737</v>
      </c>
      <c r="AA10" s="212">
        <v>6039092</v>
      </c>
      <c r="AB10" s="212">
        <v>6041927</v>
      </c>
      <c r="AC10" s="324">
        <v>6044665</v>
      </c>
      <c r="AD10" s="324">
        <v>6047225</v>
      </c>
      <c r="AE10" s="324">
        <v>6050584</v>
      </c>
      <c r="AF10" s="287"/>
      <c r="AG10" s="348">
        <v>5953573</v>
      </c>
      <c r="AH10" s="288"/>
    </row>
    <row r="11" spans="1:34" ht="22.5" customHeight="1">
      <c r="A11" s="285" t="s">
        <v>61</v>
      </c>
      <c r="B11" s="348">
        <v>234333</v>
      </c>
      <c r="C11" s="348">
        <v>234482</v>
      </c>
      <c r="D11" s="348">
        <v>234637</v>
      </c>
      <c r="E11" s="348">
        <v>234790</v>
      </c>
      <c r="F11" s="348">
        <v>234942</v>
      </c>
      <c r="G11" s="348">
        <v>235103</v>
      </c>
      <c r="H11" s="348">
        <v>235256</v>
      </c>
      <c r="I11" s="348">
        <v>235410</v>
      </c>
      <c r="J11" s="348">
        <v>235551</v>
      </c>
      <c r="K11" s="348">
        <v>235712</v>
      </c>
      <c r="L11" s="212">
        <v>235883</v>
      </c>
      <c r="M11" s="348">
        <v>236050</v>
      </c>
      <c r="N11" s="348">
        <v>236221</v>
      </c>
      <c r="O11" s="348">
        <v>236376</v>
      </c>
      <c r="P11" s="348">
        <v>236531</v>
      </c>
      <c r="Q11" s="348">
        <v>236711</v>
      </c>
      <c r="R11" s="348">
        <v>236849</v>
      </c>
      <c r="S11" s="348">
        <v>237008</v>
      </c>
      <c r="T11" s="349">
        <v>237174</v>
      </c>
      <c r="U11" s="349">
        <v>237329</v>
      </c>
      <c r="V11" s="349">
        <v>237473</v>
      </c>
      <c r="W11" s="349">
        <v>237618</v>
      </c>
      <c r="X11" s="349">
        <v>237769</v>
      </c>
      <c r="Y11" s="349">
        <v>237928</v>
      </c>
      <c r="Z11" s="349">
        <v>238099</v>
      </c>
      <c r="AA11" s="212">
        <v>238275</v>
      </c>
      <c r="AB11" s="212">
        <v>238431</v>
      </c>
      <c r="AC11" s="324">
        <v>238582</v>
      </c>
      <c r="AD11" s="324">
        <v>238727</v>
      </c>
      <c r="AE11" s="324">
        <v>238882</v>
      </c>
      <c r="AF11" s="287"/>
      <c r="AG11" s="348">
        <v>234181</v>
      </c>
      <c r="AH11" s="288"/>
    </row>
    <row r="12" spans="1:34" s="294" customFormat="1" ht="18" customHeight="1">
      <c r="A12" s="291" t="s">
        <v>62</v>
      </c>
      <c r="B12" s="341"/>
      <c r="C12" s="341"/>
      <c r="D12" s="341"/>
      <c r="E12" s="341"/>
      <c r="F12" s="341"/>
      <c r="G12" s="341"/>
      <c r="H12" s="341"/>
      <c r="I12" s="341"/>
      <c r="J12" s="341"/>
      <c r="K12" s="341"/>
      <c r="L12" s="162"/>
      <c r="M12" s="341"/>
      <c r="N12" s="341"/>
      <c r="O12" s="341"/>
      <c r="P12" s="341"/>
      <c r="Q12" s="341"/>
      <c r="R12" s="341"/>
      <c r="S12" s="341"/>
      <c r="T12" s="353"/>
      <c r="U12" s="353"/>
      <c r="V12" s="353"/>
      <c r="W12" s="353"/>
      <c r="X12" s="353"/>
      <c r="Y12" s="353"/>
      <c r="Z12" s="353"/>
      <c r="AA12" s="162"/>
      <c r="AB12" s="162"/>
      <c r="AC12" s="328"/>
      <c r="AD12" s="328"/>
      <c r="AE12" s="328"/>
      <c r="AF12" s="293"/>
      <c r="AG12" s="341"/>
    </row>
    <row r="13" spans="1:34">
      <c r="A13" s="282" t="s">
        <v>63</v>
      </c>
      <c r="B13" s="342" t="s">
        <v>64</v>
      </c>
      <c r="C13" s="342" t="s">
        <v>64</v>
      </c>
      <c r="D13" s="342" t="s">
        <v>64</v>
      </c>
      <c r="E13" s="342" t="s">
        <v>64</v>
      </c>
      <c r="F13" s="342" t="s">
        <v>64</v>
      </c>
      <c r="G13" s="342" t="s">
        <v>64</v>
      </c>
      <c r="H13" s="342" t="s">
        <v>64</v>
      </c>
      <c r="I13" s="342" t="s">
        <v>64</v>
      </c>
      <c r="J13" s="342" t="s">
        <v>64</v>
      </c>
      <c r="K13" s="342" t="s">
        <v>64</v>
      </c>
      <c r="L13" s="181" t="s">
        <v>64</v>
      </c>
      <c r="M13" s="342" t="s">
        <v>64</v>
      </c>
      <c r="N13" s="342" t="s">
        <v>64</v>
      </c>
      <c r="O13" s="342" t="s">
        <v>64</v>
      </c>
      <c r="P13" s="342" t="s">
        <v>64</v>
      </c>
      <c r="Q13" s="342" t="s">
        <v>64</v>
      </c>
      <c r="R13" s="342" t="s">
        <v>64</v>
      </c>
      <c r="S13" s="342" t="s">
        <v>64</v>
      </c>
      <c r="T13" s="354" t="s">
        <v>64</v>
      </c>
      <c r="U13" s="354" t="s">
        <v>64</v>
      </c>
      <c r="V13" s="354" t="s">
        <v>64</v>
      </c>
      <c r="W13" s="354" t="s">
        <v>64</v>
      </c>
      <c r="X13" s="354" t="s">
        <v>64</v>
      </c>
      <c r="Y13" s="354" t="s">
        <v>64</v>
      </c>
      <c r="Z13" s="354" t="s">
        <v>64</v>
      </c>
      <c r="AA13" s="181" t="s">
        <v>64</v>
      </c>
      <c r="AB13" s="181" t="s">
        <v>64</v>
      </c>
      <c r="AC13" s="329" t="s">
        <v>64</v>
      </c>
      <c r="AD13" s="329" t="s">
        <v>64</v>
      </c>
      <c r="AE13" s="329" t="s">
        <v>64</v>
      </c>
      <c r="AF13" s="296"/>
      <c r="AG13" s="342" t="s">
        <v>64</v>
      </c>
    </row>
    <row r="14" spans="1:34">
      <c r="A14" s="282" t="s">
        <v>995</v>
      </c>
      <c r="B14" s="355">
        <v>296523.02</v>
      </c>
      <c r="C14" s="355">
        <v>296523.02</v>
      </c>
      <c r="D14" s="355">
        <v>296523.02</v>
      </c>
      <c r="E14" s="355">
        <v>296523.02</v>
      </c>
      <c r="F14" s="355">
        <v>296523.02</v>
      </c>
      <c r="G14" s="355">
        <v>296523.02</v>
      </c>
      <c r="H14" s="355">
        <v>296523.02</v>
      </c>
      <c r="I14" s="355">
        <v>297073.02</v>
      </c>
      <c r="J14" s="355">
        <v>297073.02</v>
      </c>
      <c r="K14" s="355">
        <v>297073.02</v>
      </c>
      <c r="L14" s="182">
        <v>297073.02</v>
      </c>
      <c r="M14" s="355">
        <v>297073.02</v>
      </c>
      <c r="N14" s="355">
        <v>297073.02</v>
      </c>
      <c r="O14" s="355">
        <v>297073.02</v>
      </c>
      <c r="P14" s="355">
        <v>297609.76</v>
      </c>
      <c r="Q14" s="355">
        <v>297609.76</v>
      </c>
      <c r="R14" s="355">
        <v>297609.76</v>
      </c>
      <c r="S14" s="355">
        <v>297609.76</v>
      </c>
      <c r="T14" s="356">
        <v>297609.76</v>
      </c>
      <c r="U14" s="356">
        <v>297609.76</v>
      </c>
      <c r="V14" s="356">
        <v>297609.76</v>
      </c>
      <c r="W14" s="356">
        <v>298446.49</v>
      </c>
      <c r="X14" s="356">
        <v>298446.49</v>
      </c>
      <c r="Y14" s="356">
        <v>298446.49</v>
      </c>
      <c r="Z14" s="356">
        <v>298446.49</v>
      </c>
      <c r="AA14" s="182">
        <v>298446.49</v>
      </c>
      <c r="AB14" s="182">
        <v>298446.49</v>
      </c>
      <c r="AC14" s="331">
        <v>298446.49</v>
      </c>
      <c r="AD14" s="331">
        <v>299278.11</v>
      </c>
      <c r="AE14" s="331">
        <v>299278.11</v>
      </c>
      <c r="AF14" s="319">
        <f>AE14-AG14</f>
        <v>3422.6300000000047</v>
      </c>
      <c r="AG14" s="355">
        <v>295855.48</v>
      </c>
      <c r="AH14" s="299" t="e">
        <f>#REF!-AG14</f>
        <v>#REF!</v>
      </c>
    </row>
    <row r="15" spans="1:34" ht="25.5">
      <c r="A15" s="282" t="s">
        <v>67</v>
      </c>
      <c r="B15" s="357">
        <v>3463</v>
      </c>
      <c r="C15" s="357">
        <v>3463</v>
      </c>
      <c r="D15" s="357">
        <v>3463</v>
      </c>
      <c r="E15" s="357">
        <v>3463</v>
      </c>
      <c r="F15" s="357">
        <v>3463</v>
      </c>
      <c r="G15" s="357">
        <v>3463</v>
      </c>
      <c r="H15" s="357">
        <v>3463</v>
      </c>
      <c r="I15" s="357">
        <v>3699</v>
      </c>
      <c r="J15" s="357">
        <v>3699</v>
      </c>
      <c r="K15" s="357">
        <v>3699</v>
      </c>
      <c r="L15" s="183">
        <v>3699</v>
      </c>
      <c r="M15" s="357">
        <v>3699</v>
      </c>
      <c r="N15" s="357">
        <v>3699</v>
      </c>
      <c r="O15" s="357">
        <v>3699</v>
      </c>
      <c r="P15" s="357">
        <v>3928</v>
      </c>
      <c r="Q15" s="357">
        <v>3928</v>
      </c>
      <c r="R15" s="357">
        <v>3928</v>
      </c>
      <c r="S15" s="357">
        <v>3928</v>
      </c>
      <c r="T15" s="358">
        <v>3928</v>
      </c>
      <c r="U15" s="358">
        <v>3928</v>
      </c>
      <c r="V15" s="358">
        <v>3928</v>
      </c>
      <c r="W15" s="358">
        <v>4459</v>
      </c>
      <c r="X15" s="358">
        <v>4459</v>
      </c>
      <c r="Y15" s="358">
        <v>4459</v>
      </c>
      <c r="Z15" s="358">
        <v>4459</v>
      </c>
      <c r="AA15" s="183">
        <v>4459</v>
      </c>
      <c r="AB15" s="183">
        <v>4459</v>
      </c>
      <c r="AC15" s="333">
        <v>4459</v>
      </c>
      <c r="AD15" s="333">
        <v>4955</v>
      </c>
      <c r="AE15" s="333">
        <v>4955</v>
      </c>
      <c r="AF15" s="320"/>
      <c r="AG15" s="357">
        <v>3171</v>
      </c>
    </row>
    <row r="16" spans="1:34" ht="25.5">
      <c r="A16" s="282" t="s">
        <v>68</v>
      </c>
      <c r="B16" s="359">
        <v>8188</v>
      </c>
      <c r="C16" s="359">
        <v>8188</v>
      </c>
      <c r="D16" s="359">
        <v>8188</v>
      </c>
      <c r="E16" s="359">
        <v>8188</v>
      </c>
      <c r="F16" s="359">
        <v>8188</v>
      </c>
      <c r="G16" s="359">
        <v>8188</v>
      </c>
      <c r="H16" s="359">
        <v>8188</v>
      </c>
      <c r="I16" s="359">
        <v>8188</v>
      </c>
      <c r="J16" s="359">
        <v>8188</v>
      </c>
      <c r="K16" s="359">
        <v>8188</v>
      </c>
      <c r="L16" s="336">
        <v>8188</v>
      </c>
      <c r="M16" s="359">
        <v>8188</v>
      </c>
      <c r="N16" s="359">
        <v>8188</v>
      </c>
      <c r="O16" s="359">
        <v>8188</v>
      </c>
      <c r="P16" s="359">
        <v>8250</v>
      </c>
      <c r="Q16" s="359">
        <v>8250</v>
      </c>
      <c r="R16" s="359">
        <v>8250</v>
      </c>
      <c r="S16" s="359">
        <v>8250</v>
      </c>
      <c r="T16" s="360">
        <v>8250</v>
      </c>
      <c r="U16" s="360">
        <v>8250</v>
      </c>
      <c r="V16" s="360">
        <v>8250</v>
      </c>
      <c r="W16" s="360">
        <v>8324</v>
      </c>
      <c r="X16" s="360">
        <v>8324</v>
      </c>
      <c r="Y16" s="360">
        <v>8324</v>
      </c>
      <c r="Z16" s="360">
        <v>8324</v>
      </c>
      <c r="AA16" s="336">
        <v>8324</v>
      </c>
      <c r="AB16" s="336">
        <v>8324</v>
      </c>
      <c r="AC16" s="335">
        <v>8324</v>
      </c>
      <c r="AD16" s="335">
        <v>8547</v>
      </c>
      <c r="AE16" s="335">
        <v>8547</v>
      </c>
      <c r="AF16" s="320"/>
      <c r="AG16" s="359">
        <v>8188</v>
      </c>
    </row>
    <row r="17" spans="1:34" ht="20.100000000000001" customHeight="1">
      <c r="A17" s="303"/>
      <c r="B17" s="341"/>
      <c r="C17" s="341"/>
      <c r="D17" s="341"/>
      <c r="E17" s="341"/>
      <c r="F17" s="341"/>
      <c r="G17" s="341"/>
      <c r="H17" s="341"/>
      <c r="I17" s="341"/>
      <c r="J17" s="341"/>
      <c r="K17" s="341"/>
      <c r="L17" s="162"/>
      <c r="M17" s="341"/>
      <c r="N17" s="341"/>
      <c r="O17" s="341"/>
      <c r="P17" s="341"/>
      <c r="Q17" s="341"/>
      <c r="R17" s="341"/>
      <c r="S17" s="341"/>
      <c r="T17" s="353"/>
      <c r="U17" s="353"/>
      <c r="V17" s="353"/>
      <c r="W17" s="353"/>
      <c r="X17" s="353"/>
      <c r="Y17" s="353"/>
      <c r="Z17" s="353"/>
      <c r="AA17" s="162"/>
      <c r="AB17" s="162"/>
      <c r="AC17" s="328"/>
      <c r="AD17" s="328"/>
      <c r="AE17" s="328"/>
      <c r="AF17" s="304"/>
      <c r="AG17" s="341"/>
    </row>
    <row r="18" spans="1:34">
      <c r="A18" s="282" t="s">
        <v>69</v>
      </c>
      <c r="B18" s="342" t="s">
        <v>106</v>
      </c>
      <c r="C18" s="342" t="s">
        <v>106</v>
      </c>
      <c r="D18" s="342" t="s">
        <v>106</v>
      </c>
      <c r="E18" s="342" t="s">
        <v>106</v>
      </c>
      <c r="F18" s="342" t="s">
        <v>106</v>
      </c>
      <c r="G18" s="342" t="s">
        <v>106</v>
      </c>
      <c r="H18" s="342" t="s">
        <v>106</v>
      </c>
      <c r="I18" s="342" t="s">
        <v>106</v>
      </c>
      <c r="J18" s="342" t="s">
        <v>106</v>
      </c>
      <c r="K18" s="342" t="s">
        <v>106</v>
      </c>
      <c r="L18" s="181" t="s">
        <v>106</v>
      </c>
      <c r="M18" s="342" t="s">
        <v>106</v>
      </c>
      <c r="N18" s="342" t="s">
        <v>106</v>
      </c>
      <c r="O18" s="342" t="s">
        <v>106</v>
      </c>
      <c r="P18" s="342" t="s">
        <v>106</v>
      </c>
      <c r="Q18" s="342" t="s">
        <v>106</v>
      </c>
      <c r="R18" s="342" t="s">
        <v>106</v>
      </c>
      <c r="S18" s="342" t="s">
        <v>106</v>
      </c>
      <c r="T18" s="354" t="s">
        <v>106</v>
      </c>
      <c r="U18" s="354" t="s">
        <v>106</v>
      </c>
      <c r="V18" s="354" t="s">
        <v>106</v>
      </c>
      <c r="W18" s="354" t="s">
        <v>106</v>
      </c>
      <c r="X18" s="354" t="s">
        <v>106</v>
      </c>
      <c r="Y18" s="354" t="s">
        <v>106</v>
      </c>
      <c r="Z18" s="354" t="s">
        <v>106</v>
      </c>
      <c r="AA18" s="181" t="s">
        <v>106</v>
      </c>
      <c r="AB18" s="181" t="s">
        <v>106</v>
      </c>
      <c r="AC18" s="329" t="s">
        <v>106</v>
      </c>
      <c r="AD18" s="329" t="s">
        <v>106</v>
      </c>
      <c r="AE18" s="329" t="s">
        <v>106</v>
      </c>
      <c r="AF18" s="296"/>
      <c r="AG18" s="342" t="s">
        <v>106</v>
      </c>
    </row>
    <row r="19" spans="1:34" ht="25.5">
      <c r="A19" s="282" t="s">
        <v>70</v>
      </c>
      <c r="B19" s="361">
        <v>72295.100000000006</v>
      </c>
      <c r="C19" s="361">
        <v>72304.5</v>
      </c>
      <c r="D19" s="361">
        <v>72327.5</v>
      </c>
      <c r="E19" s="361">
        <v>72327.5</v>
      </c>
      <c r="F19" s="361">
        <v>72365.600000000006</v>
      </c>
      <c r="G19" s="361">
        <v>72382.399999999994</v>
      </c>
      <c r="H19" s="361">
        <v>72400.600000000006</v>
      </c>
      <c r="I19" s="361">
        <v>72415.899999999994</v>
      </c>
      <c r="J19" s="361">
        <v>72415.899999999994</v>
      </c>
      <c r="K19" s="361">
        <v>72434.2</v>
      </c>
      <c r="L19" s="186">
        <v>72454.3</v>
      </c>
      <c r="M19" s="361">
        <v>72473.3</v>
      </c>
      <c r="N19" s="361">
        <v>72491.8</v>
      </c>
      <c r="O19" s="361">
        <v>72491.8</v>
      </c>
      <c r="P19" s="361">
        <v>72512.899999999994</v>
      </c>
      <c r="Q19" s="361">
        <v>72512.899999999994</v>
      </c>
      <c r="R19" s="361">
        <v>72526.600000000006</v>
      </c>
      <c r="S19" s="361">
        <v>72542.100000000006</v>
      </c>
      <c r="T19" s="362">
        <v>72560.399999999994</v>
      </c>
      <c r="U19" s="362">
        <v>72576.2</v>
      </c>
      <c r="V19" s="362">
        <v>72582.100000000006</v>
      </c>
      <c r="W19" s="362">
        <v>72582.100000000006</v>
      </c>
      <c r="X19" s="362">
        <v>72587.8</v>
      </c>
      <c r="Y19" s="362">
        <v>72587.8</v>
      </c>
      <c r="Z19" s="362">
        <v>72596.800000000003</v>
      </c>
      <c r="AA19" s="186">
        <v>72610.899999999994</v>
      </c>
      <c r="AB19" s="186">
        <v>72635.899999999994</v>
      </c>
      <c r="AC19" s="337">
        <v>72648.899999999994</v>
      </c>
      <c r="AD19" s="337">
        <v>72648.7</v>
      </c>
      <c r="AE19" s="337">
        <v>72652.7</v>
      </c>
      <c r="AF19" s="321">
        <f>AE19-AG19</f>
        <v>347.69999999999709</v>
      </c>
      <c r="AG19" s="361">
        <v>72305</v>
      </c>
      <c r="AH19" s="307"/>
    </row>
    <row r="20" spans="1:34" ht="25.5">
      <c r="A20" s="282" t="s">
        <v>71</v>
      </c>
      <c r="B20" s="357" t="s">
        <v>1351</v>
      </c>
      <c r="C20" s="357" t="s">
        <v>1351</v>
      </c>
      <c r="D20" s="357" t="s">
        <v>1351</v>
      </c>
      <c r="E20" s="357" t="s">
        <v>1351</v>
      </c>
      <c r="F20" s="357" t="s">
        <v>1351</v>
      </c>
      <c r="G20" s="357" t="s">
        <v>1351</v>
      </c>
      <c r="H20" s="357" t="s">
        <v>1351</v>
      </c>
      <c r="I20" s="357" t="s">
        <v>1351</v>
      </c>
      <c r="J20" s="357" t="s">
        <v>1351</v>
      </c>
      <c r="K20" s="357" t="s">
        <v>1351</v>
      </c>
      <c r="L20" s="183" t="s">
        <v>1351</v>
      </c>
      <c r="M20" s="357" t="s">
        <v>1351</v>
      </c>
      <c r="N20" s="357" t="s">
        <v>1351</v>
      </c>
      <c r="O20" s="357" t="s">
        <v>1351</v>
      </c>
      <c r="P20" s="357" t="s">
        <v>1351</v>
      </c>
      <c r="Q20" s="357" t="s">
        <v>1351</v>
      </c>
      <c r="R20" s="357" t="s">
        <v>1351</v>
      </c>
      <c r="S20" s="357" t="s">
        <v>1351</v>
      </c>
      <c r="T20" s="358" t="s">
        <v>1351</v>
      </c>
      <c r="U20" s="358" t="s">
        <v>1351</v>
      </c>
      <c r="V20" s="358" t="s">
        <v>1351</v>
      </c>
      <c r="W20" s="358" t="s">
        <v>1351</v>
      </c>
      <c r="X20" s="358" t="s">
        <v>1351</v>
      </c>
      <c r="Y20" s="358" t="s">
        <v>1351</v>
      </c>
      <c r="Z20" s="358" t="s">
        <v>1351</v>
      </c>
      <c r="AA20" s="183" t="s">
        <v>1351</v>
      </c>
      <c r="AB20" s="183" t="s">
        <v>1351</v>
      </c>
      <c r="AC20" s="333" t="s">
        <v>1351</v>
      </c>
      <c r="AD20" s="333" t="s">
        <v>1351</v>
      </c>
      <c r="AE20" s="333" t="s">
        <v>1351</v>
      </c>
      <c r="AF20" s="209"/>
      <c r="AG20" s="357" t="s">
        <v>1351</v>
      </c>
    </row>
    <row r="21" spans="1:34">
      <c r="A21" s="282" t="s">
        <v>72</v>
      </c>
      <c r="B21" s="357">
        <v>135180</v>
      </c>
      <c r="C21" s="357">
        <v>135180</v>
      </c>
      <c r="D21" s="357">
        <v>135180</v>
      </c>
      <c r="E21" s="357">
        <v>135180</v>
      </c>
      <c r="F21" s="357">
        <v>135180</v>
      </c>
      <c r="G21" s="357">
        <v>135180</v>
      </c>
      <c r="H21" s="357">
        <v>135180</v>
      </c>
      <c r="I21" s="357">
        <v>132956</v>
      </c>
      <c r="J21" s="357">
        <v>132956</v>
      </c>
      <c r="K21" s="357">
        <v>132956</v>
      </c>
      <c r="L21" s="183">
        <v>132956</v>
      </c>
      <c r="M21" s="357">
        <v>132956</v>
      </c>
      <c r="N21" s="357">
        <v>132956</v>
      </c>
      <c r="O21" s="357">
        <v>132956</v>
      </c>
      <c r="P21" s="357">
        <v>136625</v>
      </c>
      <c r="Q21" s="357">
        <v>136625</v>
      </c>
      <c r="R21" s="357">
        <v>136625</v>
      </c>
      <c r="S21" s="357">
        <v>136625</v>
      </c>
      <c r="T21" s="358">
        <v>136625</v>
      </c>
      <c r="U21" s="358">
        <v>136625</v>
      </c>
      <c r="V21" s="358">
        <v>136625</v>
      </c>
      <c r="W21" s="358">
        <v>137174</v>
      </c>
      <c r="X21" s="358">
        <v>137174</v>
      </c>
      <c r="Y21" s="358">
        <v>137174</v>
      </c>
      <c r="Z21" s="358">
        <v>137174</v>
      </c>
      <c r="AA21" s="183">
        <v>137174</v>
      </c>
      <c r="AB21" s="183">
        <v>137174</v>
      </c>
      <c r="AC21" s="333">
        <v>137174</v>
      </c>
      <c r="AD21" s="333">
        <v>137707</v>
      </c>
      <c r="AE21" s="333">
        <v>137707</v>
      </c>
      <c r="AF21" s="321"/>
      <c r="AG21" s="357">
        <v>134321</v>
      </c>
    </row>
    <row r="22" spans="1:34">
      <c r="A22" s="282" t="s">
        <v>73</v>
      </c>
      <c r="B22" s="363">
        <v>17867.7</v>
      </c>
      <c r="C22" s="363">
        <v>17870.900000000001</v>
      </c>
      <c r="D22" s="363">
        <v>17878.400000000001</v>
      </c>
      <c r="E22" s="363">
        <v>17878.400000000001</v>
      </c>
      <c r="F22" s="363">
        <v>17889.400000000001</v>
      </c>
      <c r="G22" s="363">
        <v>17895.8</v>
      </c>
      <c r="H22" s="363">
        <v>17902.7</v>
      </c>
      <c r="I22" s="363">
        <v>17913.099999999999</v>
      </c>
      <c r="J22" s="363">
        <v>17914.7</v>
      </c>
      <c r="K22" s="363">
        <v>17921.7</v>
      </c>
      <c r="L22" s="322">
        <v>17928.900000000001</v>
      </c>
      <c r="M22" s="363">
        <v>17936.400000000001</v>
      </c>
      <c r="N22" s="363">
        <v>17944.5</v>
      </c>
      <c r="O22" s="363">
        <v>17944.5</v>
      </c>
      <c r="P22" s="363">
        <v>17962.099999999999</v>
      </c>
      <c r="Q22" s="363">
        <v>17965.900000000001</v>
      </c>
      <c r="R22" s="363">
        <v>17973.400000000001</v>
      </c>
      <c r="S22" s="363">
        <v>17980.8</v>
      </c>
      <c r="T22" s="364">
        <v>17988.2</v>
      </c>
      <c r="U22" s="364">
        <v>17993.8</v>
      </c>
      <c r="V22" s="364">
        <v>18000.7</v>
      </c>
      <c r="W22" s="364">
        <v>18006.099999999999</v>
      </c>
      <c r="X22" s="364">
        <v>18013.099999999999</v>
      </c>
      <c r="Y22" s="364">
        <v>18019.8</v>
      </c>
      <c r="Z22" s="364">
        <v>18027.599999999999</v>
      </c>
      <c r="AA22" s="322">
        <v>180364</v>
      </c>
      <c r="AB22" s="322">
        <v>180436</v>
      </c>
      <c r="AC22" s="340">
        <v>18050.400000000001</v>
      </c>
      <c r="AD22" s="340">
        <v>18057.7</v>
      </c>
      <c r="AE22" s="340">
        <v>18066.8</v>
      </c>
      <c r="AF22" s="321">
        <f>AE22-AG22</f>
        <v>206.89999999999782</v>
      </c>
      <c r="AG22" s="363">
        <v>17859.900000000001</v>
      </c>
      <c r="AH22" s="144">
        <v>207</v>
      </c>
    </row>
    <row r="23" spans="1:34">
      <c r="A23" s="309" t="s">
        <v>136</v>
      </c>
      <c r="B23" s="357">
        <v>7656</v>
      </c>
      <c r="C23" s="357">
        <v>7656</v>
      </c>
      <c r="D23" s="357">
        <v>7656</v>
      </c>
      <c r="E23" s="357">
        <v>7656</v>
      </c>
      <c r="F23" s="357">
        <v>7656</v>
      </c>
      <c r="G23" s="357">
        <v>7656</v>
      </c>
      <c r="H23" s="357">
        <v>7656</v>
      </c>
      <c r="I23" s="357">
        <v>7685</v>
      </c>
      <c r="J23" s="357">
        <v>7685</v>
      </c>
      <c r="K23" s="357">
        <v>7685</v>
      </c>
      <c r="L23" s="183">
        <v>7685</v>
      </c>
      <c r="M23" s="357">
        <v>7685</v>
      </c>
      <c r="N23" s="357">
        <v>7685</v>
      </c>
      <c r="O23" s="357">
        <v>7685</v>
      </c>
      <c r="P23" s="357">
        <v>7706</v>
      </c>
      <c r="Q23" s="357">
        <v>7706</v>
      </c>
      <c r="R23" s="357">
        <v>7706</v>
      </c>
      <c r="S23" s="357">
        <v>7706</v>
      </c>
      <c r="T23" s="358">
        <v>7706</v>
      </c>
      <c r="U23" s="358">
        <v>7706</v>
      </c>
      <c r="V23" s="358">
        <v>7706</v>
      </c>
      <c r="W23" s="358">
        <v>7732</v>
      </c>
      <c r="X23" s="358">
        <v>7732</v>
      </c>
      <c r="Y23" s="358">
        <v>7732</v>
      </c>
      <c r="Z23" s="358">
        <v>7732</v>
      </c>
      <c r="AA23" s="183">
        <v>7732</v>
      </c>
      <c r="AB23" s="183">
        <v>7732</v>
      </c>
      <c r="AC23" s="333">
        <v>7732</v>
      </c>
      <c r="AD23" s="333">
        <v>7734</v>
      </c>
      <c r="AE23" s="333">
        <v>7734</v>
      </c>
      <c r="AF23" s="323">
        <f>AE23-AG23</f>
        <v>124</v>
      </c>
      <c r="AG23" s="357">
        <v>7610</v>
      </c>
      <c r="AH23" s="144">
        <v>124</v>
      </c>
    </row>
    <row r="24" spans="1:34">
      <c r="A24" s="309" t="s">
        <v>139</v>
      </c>
      <c r="B24" s="357">
        <v>5091</v>
      </c>
      <c r="C24" s="357">
        <v>5091</v>
      </c>
      <c r="D24" s="357">
        <v>5091</v>
      </c>
      <c r="E24" s="357">
        <v>5091</v>
      </c>
      <c r="F24" s="357">
        <v>5091</v>
      </c>
      <c r="G24" s="357">
        <v>5091</v>
      </c>
      <c r="H24" s="357">
        <v>5091</v>
      </c>
      <c r="I24" s="357">
        <v>5104</v>
      </c>
      <c r="J24" s="357">
        <v>5104</v>
      </c>
      <c r="K24" s="357">
        <v>5104</v>
      </c>
      <c r="L24" s="183">
        <v>5104</v>
      </c>
      <c r="M24" s="357">
        <v>5104</v>
      </c>
      <c r="N24" s="357">
        <v>5104</v>
      </c>
      <c r="O24" s="357">
        <v>5104</v>
      </c>
      <c r="P24" s="357">
        <v>5114</v>
      </c>
      <c r="Q24" s="357">
        <v>5114</v>
      </c>
      <c r="R24" s="357">
        <v>5114</v>
      </c>
      <c r="S24" s="357">
        <v>5114</v>
      </c>
      <c r="T24" s="358">
        <v>5114</v>
      </c>
      <c r="U24" s="358">
        <v>5114</v>
      </c>
      <c r="V24" s="358">
        <v>5114</v>
      </c>
      <c r="W24" s="358">
        <v>5119</v>
      </c>
      <c r="X24" s="358">
        <v>5119</v>
      </c>
      <c r="Y24" s="358">
        <v>5119</v>
      </c>
      <c r="Z24" s="358">
        <v>5119</v>
      </c>
      <c r="AA24" s="183">
        <v>5119</v>
      </c>
      <c r="AB24" s="183">
        <v>5119</v>
      </c>
      <c r="AC24" s="333">
        <v>5119</v>
      </c>
      <c r="AD24" s="333">
        <v>5119</v>
      </c>
      <c r="AE24" s="333">
        <v>5119</v>
      </c>
      <c r="AF24" s="323">
        <f t="shared" ref="AF24:AF29" si="0">AE24-AG24</f>
        <v>51</v>
      </c>
      <c r="AG24" s="357">
        <v>5068</v>
      </c>
      <c r="AH24" s="144">
        <v>51</v>
      </c>
    </row>
    <row r="25" spans="1:34">
      <c r="A25" s="309" t="s">
        <v>142</v>
      </c>
      <c r="B25" s="357">
        <v>2106</v>
      </c>
      <c r="C25" s="357">
        <v>2106</v>
      </c>
      <c r="D25" s="357">
        <v>2106</v>
      </c>
      <c r="E25" s="357">
        <v>2106</v>
      </c>
      <c r="F25" s="357">
        <v>2106</v>
      </c>
      <c r="G25" s="357">
        <v>2106</v>
      </c>
      <c r="H25" s="357">
        <v>2106</v>
      </c>
      <c r="I25" s="357">
        <v>2107</v>
      </c>
      <c r="J25" s="357">
        <v>2107</v>
      </c>
      <c r="K25" s="357">
        <v>2107</v>
      </c>
      <c r="L25" s="183">
        <v>2107</v>
      </c>
      <c r="M25" s="357">
        <v>2107</v>
      </c>
      <c r="N25" s="357">
        <v>2107</v>
      </c>
      <c r="O25" s="357">
        <v>2107</v>
      </c>
      <c r="P25" s="357">
        <v>2109</v>
      </c>
      <c r="Q25" s="357">
        <v>2109</v>
      </c>
      <c r="R25" s="357">
        <v>2109</v>
      </c>
      <c r="S25" s="357">
        <v>2109</v>
      </c>
      <c r="T25" s="358">
        <v>2109</v>
      </c>
      <c r="U25" s="358">
        <v>2109</v>
      </c>
      <c r="V25" s="358">
        <v>2109</v>
      </c>
      <c r="W25" s="358">
        <v>2110</v>
      </c>
      <c r="X25" s="358">
        <v>2110</v>
      </c>
      <c r="Y25" s="358">
        <v>2110</v>
      </c>
      <c r="Z25" s="358">
        <v>2110</v>
      </c>
      <c r="AA25" s="183">
        <v>2110</v>
      </c>
      <c r="AB25" s="183">
        <v>2110</v>
      </c>
      <c r="AC25" s="333">
        <v>2110</v>
      </c>
      <c r="AD25" s="333">
        <v>2110</v>
      </c>
      <c r="AE25" s="333">
        <v>2110</v>
      </c>
      <c r="AF25" s="323">
        <f t="shared" si="0"/>
        <v>6</v>
      </c>
      <c r="AG25" s="357">
        <v>2104</v>
      </c>
      <c r="AH25" s="144">
        <v>6</v>
      </c>
    </row>
    <row r="26" spans="1:34">
      <c r="A26" s="309" t="s">
        <v>145</v>
      </c>
      <c r="B26" s="357">
        <v>944</v>
      </c>
      <c r="C26" s="357">
        <v>944</v>
      </c>
      <c r="D26" s="357">
        <v>944</v>
      </c>
      <c r="E26" s="357">
        <v>944</v>
      </c>
      <c r="F26" s="357">
        <v>944</v>
      </c>
      <c r="G26" s="357">
        <v>944</v>
      </c>
      <c r="H26" s="357">
        <v>944</v>
      </c>
      <c r="I26" s="357">
        <v>948</v>
      </c>
      <c r="J26" s="357">
        <v>948</v>
      </c>
      <c r="K26" s="357">
        <v>948</v>
      </c>
      <c r="L26" s="183">
        <v>948</v>
      </c>
      <c r="M26" s="357">
        <v>948</v>
      </c>
      <c r="N26" s="357">
        <v>948</v>
      </c>
      <c r="O26" s="357">
        <v>948</v>
      </c>
      <c r="P26" s="357">
        <v>952</v>
      </c>
      <c r="Q26" s="357">
        <v>952</v>
      </c>
      <c r="R26" s="357">
        <v>952</v>
      </c>
      <c r="S26" s="357">
        <v>952</v>
      </c>
      <c r="T26" s="358">
        <v>952</v>
      </c>
      <c r="U26" s="358">
        <v>952</v>
      </c>
      <c r="V26" s="358">
        <v>952</v>
      </c>
      <c r="W26" s="358">
        <v>955</v>
      </c>
      <c r="X26" s="358">
        <v>955</v>
      </c>
      <c r="Y26" s="358">
        <v>955</v>
      </c>
      <c r="Z26" s="358">
        <v>955</v>
      </c>
      <c r="AA26" s="183">
        <v>955</v>
      </c>
      <c r="AB26" s="183">
        <v>955</v>
      </c>
      <c r="AC26" s="333">
        <v>955</v>
      </c>
      <c r="AD26" s="333">
        <v>958</v>
      </c>
      <c r="AE26" s="333">
        <v>958</v>
      </c>
      <c r="AF26" s="323">
        <f t="shared" si="0"/>
        <v>56</v>
      </c>
      <c r="AG26" s="357">
        <v>902</v>
      </c>
      <c r="AH26" s="144">
        <v>56</v>
      </c>
    </row>
    <row r="27" spans="1:34">
      <c r="A27" s="309" t="s">
        <v>148</v>
      </c>
      <c r="B27" s="357">
        <v>7793</v>
      </c>
      <c r="C27" s="357">
        <v>7793</v>
      </c>
      <c r="D27" s="357">
        <v>7793</v>
      </c>
      <c r="E27" s="357">
        <v>7793</v>
      </c>
      <c r="F27" s="357">
        <v>7793</v>
      </c>
      <c r="G27" s="357">
        <v>7793</v>
      </c>
      <c r="H27" s="357">
        <v>7793</v>
      </c>
      <c r="I27" s="357">
        <v>7812</v>
      </c>
      <c r="J27" s="357">
        <v>7812</v>
      </c>
      <c r="K27" s="357">
        <v>7812</v>
      </c>
      <c r="L27" s="183">
        <v>7812</v>
      </c>
      <c r="M27" s="357">
        <v>7812</v>
      </c>
      <c r="N27" s="357">
        <v>7812</v>
      </c>
      <c r="O27" s="357">
        <v>7812</v>
      </c>
      <c r="P27" s="357">
        <v>7830</v>
      </c>
      <c r="Q27" s="357">
        <v>7830</v>
      </c>
      <c r="R27" s="357">
        <v>7830</v>
      </c>
      <c r="S27" s="357">
        <v>7830</v>
      </c>
      <c r="T27" s="358">
        <v>7830</v>
      </c>
      <c r="U27" s="358">
        <v>7830</v>
      </c>
      <c r="V27" s="358">
        <v>7830</v>
      </c>
      <c r="W27" s="358">
        <v>7842</v>
      </c>
      <c r="X27" s="358">
        <v>7842</v>
      </c>
      <c r="Y27" s="358">
        <v>7842</v>
      </c>
      <c r="Z27" s="358">
        <v>7842</v>
      </c>
      <c r="AA27" s="183">
        <v>7842</v>
      </c>
      <c r="AB27" s="183">
        <v>7842</v>
      </c>
      <c r="AC27" s="333">
        <v>7842</v>
      </c>
      <c r="AD27" s="333">
        <v>7842</v>
      </c>
      <c r="AE27" s="333">
        <v>7842</v>
      </c>
      <c r="AF27" s="323">
        <f t="shared" si="0"/>
        <v>66</v>
      </c>
      <c r="AG27" s="357">
        <v>7776</v>
      </c>
      <c r="AH27" s="144">
        <v>66</v>
      </c>
    </row>
    <row r="28" spans="1:34">
      <c r="A28" s="309" t="s">
        <v>151</v>
      </c>
      <c r="B28" s="357">
        <v>1286</v>
      </c>
      <c r="C28" s="357">
        <v>1286</v>
      </c>
      <c r="D28" s="357">
        <v>1286</v>
      </c>
      <c r="E28" s="357">
        <v>1286</v>
      </c>
      <c r="F28" s="357">
        <v>1286</v>
      </c>
      <c r="G28" s="357">
        <v>1286</v>
      </c>
      <c r="H28" s="357">
        <v>1286</v>
      </c>
      <c r="I28" s="357">
        <v>1297</v>
      </c>
      <c r="J28" s="357">
        <v>1297</v>
      </c>
      <c r="K28" s="357">
        <v>1297</v>
      </c>
      <c r="L28" s="183">
        <v>1297</v>
      </c>
      <c r="M28" s="357">
        <v>1297</v>
      </c>
      <c r="N28" s="357">
        <v>1297</v>
      </c>
      <c r="O28" s="357">
        <v>1297</v>
      </c>
      <c r="P28" s="357">
        <v>1305</v>
      </c>
      <c r="Q28" s="357">
        <v>1305</v>
      </c>
      <c r="R28" s="357">
        <v>1305</v>
      </c>
      <c r="S28" s="357">
        <v>1305</v>
      </c>
      <c r="T28" s="358">
        <v>1305</v>
      </c>
      <c r="U28" s="358">
        <v>1305</v>
      </c>
      <c r="V28" s="358">
        <v>1305</v>
      </c>
      <c r="W28" s="358">
        <v>1314</v>
      </c>
      <c r="X28" s="358">
        <v>1314</v>
      </c>
      <c r="Y28" s="358">
        <v>1314</v>
      </c>
      <c r="Z28" s="358">
        <v>1314</v>
      </c>
      <c r="AA28" s="183">
        <v>1314</v>
      </c>
      <c r="AB28" s="183">
        <v>1314</v>
      </c>
      <c r="AC28" s="333">
        <v>1314</v>
      </c>
      <c r="AD28" s="333">
        <v>1321</v>
      </c>
      <c r="AE28" s="333">
        <v>1321</v>
      </c>
      <c r="AF28" s="323">
        <f t="shared" si="0"/>
        <v>45</v>
      </c>
      <c r="AG28" s="357">
        <v>1276</v>
      </c>
      <c r="AH28" s="144">
        <v>45</v>
      </c>
    </row>
    <row r="29" spans="1:34">
      <c r="A29" s="309" t="s">
        <v>154</v>
      </c>
      <c r="B29" s="357">
        <v>656</v>
      </c>
      <c r="C29" s="357">
        <v>656</v>
      </c>
      <c r="D29" s="357">
        <v>656</v>
      </c>
      <c r="E29" s="357">
        <v>656</v>
      </c>
      <c r="F29" s="357">
        <v>656</v>
      </c>
      <c r="G29" s="357">
        <v>656</v>
      </c>
      <c r="H29" s="357">
        <v>656</v>
      </c>
      <c r="I29" s="357">
        <v>661</v>
      </c>
      <c r="J29" s="357">
        <v>661</v>
      </c>
      <c r="K29" s="357">
        <v>661</v>
      </c>
      <c r="L29" s="183">
        <v>661</v>
      </c>
      <c r="M29" s="357">
        <v>661</v>
      </c>
      <c r="N29" s="357">
        <v>661</v>
      </c>
      <c r="O29" s="357">
        <v>661</v>
      </c>
      <c r="P29" s="357">
        <v>665</v>
      </c>
      <c r="Q29" s="357">
        <v>665</v>
      </c>
      <c r="R29" s="357">
        <v>665</v>
      </c>
      <c r="S29" s="357">
        <v>665</v>
      </c>
      <c r="T29" s="358">
        <v>665</v>
      </c>
      <c r="U29" s="358">
        <v>665</v>
      </c>
      <c r="V29" s="358">
        <v>665</v>
      </c>
      <c r="W29" s="358">
        <v>669</v>
      </c>
      <c r="X29" s="358">
        <v>669</v>
      </c>
      <c r="Y29" s="358">
        <v>669</v>
      </c>
      <c r="Z29" s="358">
        <v>669</v>
      </c>
      <c r="AA29" s="183">
        <v>669</v>
      </c>
      <c r="AB29" s="183">
        <v>669</v>
      </c>
      <c r="AC29" s="333">
        <v>669</v>
      </c>
      <c r="AD29" s="333">
        <v>671</v>
      </c>
      <c r="AE29" s="333">
        <v>671</v>
      </c>
      <c r="AF29" s="323">
        <f t="shared" si="0"/>
        <v>24</v>
      </c>
      <c r="AG29" s="357">
        <v>647</v>
      </c>
      <c r="AH29" s="144">
        <v>24</v>
      </c>
    </row>
    <row r="30" spans="1:34">
      <c r="A30" s="303"/>
      <c r="B30" s="341"/>
      <c r="C30" s="341"/>
      <c r="D30" s="341"/>
      <c r="E30" s="341"/>
      <c r="F30" s="341"/>
      <c r="G30" s="341"/>
      <c r="H30" s="341"/>
      <c r="I30" s="341"/>
      <c r="J30" s="341"/>
      <c r="K30" s="341"/>
      <c r="L30" s="162"/>
      <c r="M30" s="341"/>
      <c r="N30" s="341"/>
      <c r="O30" s="341"/>
      <c r="P30" s="341"/>
      <c r="Q30" s="341"/>
      <c r="R30" s="341"/>
      <c r="S30" s="341"/>
      <c r="T30" s="353"/>
      <c r="U30" s="353"/>
      <c r="V30" s="353"/>
      <c r="W30" s="353"/>
      <c r="X30" s="353"/>
      <c r="Y30" s="353"/>
      <c r="Z30" s="353"/>
      <c r="AA30" s="162"/>
      <c r="AB30" s="162"/>
      <c r="AC30" s="328"/>
      <c r="AD30" s="328"/>
      <c r="AE30" s="328"/>
      <c r="AF30" s="304"/>
      <c r="AG30" s="341"/>
    </row>
    <row r="31" spans="1:34">
      <c r="A31" s="282" t="s">
        <v>74</v>
      </c>
      <c r="B31" s="342" t="s">
        <v>157</v>
      </c>
      <c r="C31" s="342" t="s">
        <v>157</v>
      </c>
      <c r="D31" s="342" t="s">
        <v>157</v>
      </c>
      <c r="E31" s="342" t="s">
        <v>157</v>
      </c>
      <c r="F31" s="342" t="s">
        <v>157</v>
      </c>
      <c r="G31" s="342" t="s">
        <v>157</v>
      </c>
      <c r="H31" s="342" t="s">
        <v>157</v>
      </c>
      <c r="I31" s="342" t="s">
        <v>157</v>
      </c>
      <c r="J31" s="342" t="s">
        <v>157</v>
      </c>
      <c r="K31" s="342" t="s">
        <v>157</v>
      </c>
      <c r="L31" s="181" t="s">
        <v>157</v>
      </c>
      <c r="M31" s="342" t="s">
        <v>157</v>
      </c>
      <c r="N31" s="342" t="s">
        <v>157</v>
      </c>
      <c r="O31" s="342" t="s">
        <v>157</v>
      </c>
      <c r="P31" s="342" t="s">
        <v>157</v>
      </c>
      <c r="Q31" s="342" t="s">
        <v>157</v>
      </c>
      <c r="R31" s="342" t="s">
        <v>157</v>
      </c>
      <c r="S31" s="342" t="s">
        <v>157</v>
      </c>
      <c r="T31" s="354" t="s">
        <v>157</v>
      </c>
      <c r="U31" s="354" t="s">
        <v>157</v>
      </c>
      <c r="V31" s="354" t="s">
        <v>157</v>
      </c>
      <c r="W31" s="354" t="s">
        <v>157</v>
      </c>
      <c r="X31" s="354" t="s">
        <v>157</v>
      </c>
      <c r="Y31" s="354" t="s">
        <v>157</v>
      </c>
      <c r="Z31" s="354" t="s">
        <v>157</v>
      </c>
      <c r="AA31" s="181" t="s">
        <v>157</v>
      </c>
      <c r="AB31" s="181" t="s">
        <v>157</v>
      </c>
      <c r="AC31" s="329" t="s">
        <v>157</v>
      </c>
      <c r="AD31" s="329" t="s">
        <v>157</v>
      </c>
      <c r="AE31" s="329" t="s">
        <v>157</v>
      </c>
      <c r="AF31" s="296"/>
      <c r="AG31" s="342" t="s">
        <v>157</v>
      </c>
    </row>
    <row r="32" spans="1:34" ht="25.5">
      <c r="A32" s="282" t="s">
        <v>77</v>
      </c>
      <c r="B32" s="344" t="s">
        <v>78</v>
      </c>
      <c r="C32" s="344" t="s">
        <v>78</v>
      </c>
      <c r="D32" s="344" t="s">
        <v>78</v>
      </c>
      <c r="E32" s="344" t="s">
        <v>78</v>
      </c>
      <c r="F32" s="344" t="s">
        <v>78</v>
      </c>
      <c r="G32" s="344" t="s">
        <v>78</v>
      </c>
      <c r="H32" s="344" t="s">
        <v>78</v>
      </c>
      <c r="I32" s="344" t="s">
        <v>78</v>
      </c>
      <c r="J32" s="344" t="s">
        <v>78</v>
      </c>
      <c r="K32" s="344" t="s">
        <v>78</v>
      </c>
      <c r="L32" s="190" t="s">
        <v>78</v>
      </c>
      <c r="M32" s="344" t="s">
        <v>78</v>
      </c>
      <c r="N32" s="344" t="s">
        <v>78</v>
      </c>
      <c r="O32" s="344" t="s">
        <v>78</v>
      </c>
      <c r="P32" s="344" t="s">
        <v>78</v>
      </c>
      <c r="Q32" s="344" t="s">
        <v>78</v>
      </c>
      <c r="R32" s="344" t="s">
        <v>78</v>
      </c>
      <c r="S32" s="344" t="s">
        <v>78</v>
      </c>
      <c r="T32" s="365" t="s">
        <v>78</v>
      </c>
      <c r="U32" s="365" t="s">
        <v>78</v>
      </c>
      <c r="V32" s="365" t="s">
        <v>78</v>
      </c>
      <c r="W32" s="365" t="s">
        <v>78</v>
      </c>
      <c r="X32" s="365" t="s">
        <v>78</v>
      </c>
      <c r="Y32" s="365" t="s">
        <v>78</v>
      </c>
      <c r="Z32" s="365" t="s">
        <v>78</v>
      </c>
      <c r="AA32" s="190" t="s">
        <v>78</v>
      </c>
      <c r="AB32" s="190" t="s">
        <v>78</v>
      </c>
      <c r="AC32" s="343" t="s">
        <v>78</v>
      </c>
      <c r="AD32" s="343" t="s">
        <v>78</v>
      </c>
      <c r="AE32" s="343" t="s">
        <v>78</v>
      </c>
      <c r="AF32" s="209"/>
      <c r="AG32" s="344" t="s">
        <v>78</v>
      </c>
    </row>
    <row r="33" spans="1:33" ht="25.5">
      <c r="A33" s="282" t="s">
        <v>80</v>
      </c>
      <c r="B33" s="347" t="s">
        <v>1339</v>
      </c>
      <c r="C33" s="347" t="s">
        <v>1339</v>
      </c>
      <c r="D33" s="347" t="s">
        <v>1377</v>
      </c>
      <c r="E33" s="347" t="s">
        <v>1378</v>
      </c>
      <c r="F33" s="347" t="s">
        <v>1340</v>
      </c>
      <c r="G33" s="347" t="s">
        <v>1340</v>
      </c>
      <c r="H33" s="347" t="s">
        <v>1340</v>
      </c>
      <c r="I33" s="347" t="s">
        <v>1379</v>
      </c>
      <c r="J33" s="347" t="s">
        <v>1380</v>
      </c>
      <c r="K33" s="347" t="s">
        <v>1380</v>
      </c>
      <c r="L33" s="187" t="s">
        <v>1380</v>
      </c>
      <c r="M33" s="347" t="s">
        <v>1379</v>
      </c>
      <c r="N33" s="347" t="s">
        <v>1379</v>
      </c>
      <c r="O33" s="347" t="s">
        <v>1379</v>
      </c>
      <c r="P33" s="347" t="s">
        <v>1380</v>
      </c>
      <c r="Q33" s="347" t="s">
        <v>1361</v>
      </c>
      <c r="R33" s="347" t="s">
        <v>1381</v>
      </c>
      <c r="S33" s="347" t="s">
        <v>1382</v>
      </c>
      <c r="T33" s="366" t="s">
        <v>1344</v>
      </c>
      <c r="U33" s="366" t="s">
        <v>1343</v>
      </c>
      <c r="V33" s="366" t="s">
        <v>1343</v>
      </c>
      <c r="W33" s="366" t="s">
        <v>1344</v>
      </c>
      <c r="X33" s="366" t="s">
        <v>1343</v>
      </c>
      <c r="Y33" s="366" t="s">
        <v>1344</v>
      </c>
      <c r="Z33" s="366" t="s">
        <v>1383</v>
      </c>
      <c r="AA33" s="187" t="s">
        <v>1383</v>
      </c>
      <c r="AB33" s="187" t="s">
        <v>1383</v>
      </c>
      <c r="AC33" s="346" t="s">
        <v>1373</v>
      </c>
      <c r="AD33" s="346" t="s">
        <v>1347</v>
      </c>
      <c r="AE33" s="346" t="s">
        <v>1373</v>
      </c>
      <c r="AF33" s="209"/>
      <c r="AG33" s="347" t="s">
        <v>1339</v>
      </c>
    </row>
    <row r="34" spans="1:33" ht="15.75" thickBot="1">
      <c r="A34" s="310" t="s">
        <v>81</v>
      </c>
      <c r="B34" s="347" t="s">
        <v>1384</v>
      </c>
      <c r="C34" s="347" t="s">
        <v>1384</v>
      </c>
      <c r="D34" s="347" t="s">
        <v>1384</v>
      </c>
      <c r="E34" s="347" t="s">
        <v>1384</v>
      </c>
      <c r="F34" s="347" t="s">
        <v>1384</v>
      </c>
      <c r="G34" s="347" t="s">
        <v>1384</v>
      </c>
      <c r="H34" s="347" t="s">
        <v>1384</v>
      </c>
      <c r="I34" s="347" t="s">
        <v>1384</v>
      </c>
      <c r="J34" s="347" t="s">
        <v>1384</v>
      </c>
      <c r="K34" s="347" t="s">
        <v>1384</v>
      </c>
      <c r="L34" s="187" t="s">
        <v>1384</v>
      </c>
      <c r="M34" s="347" t="s">
        <v>1384</v>
      </c>
      <c r="N34" s="347" t="s">
        <v>1384</v>
      </c>
      <c r="O34" s="347" t="s">
        <v>1384</v>
      </c>
      <c r="P34" s="347" t="s">
        <v>1375</v>
      </c>
      <c r="Q34" s="347" t="s">
        <v>1375</v>
      </c>
      <c r="R34" s="347" t="s">
        <v>1375</v>
      </c>
      <c r="S34" s="347" t="s">
        <v>1375</v>
      </c>
      <c r="T34" s="366" t="s">
        <v>1375</v>
      </c>
      <c r="U34" s="366" t="s">
        <v>1375</v>
      </c>
      <c r="V34" s="366" t="s">
        <v>1375</v>
      </c>
      <c r="W34" s="366" t="s">
        <v>1375</v>
      </c>
      <c r="X34" s="366" t="s">
        <v>1375</v>
      </c>
      <c r="Y34" s="366" t="s">
        <v>1375</v>
      </c>
      <c r="Z34" s="366" t="s">
        <v>1375</v>
      </c>
      <c r="AA34" s="187" t="s">
        <v>1375</v>
      </c>
      <c r="AB34" s="187" t="s">
        <v>1375</v>
      </c>
      <c r="AC34" s="346" t="s">
        <v>1375</v>
      </c>
      <c r="AD34" s="346" t="s">
        <v>1375</v>
      </c>
      <c r="AE34" s="346" t="s">
        <v>1374</v>
      </c>
      <c r="AF34" s="209"/>
      <c r="AG34" s="347" t="s">
        <v>1384</v>
      </c>
    </row>
    <row r="35" spans="1:33">
      <c r="AF35" s="211"/>
    </row>
    <row r="36" spans="1:33">
      <c r="AF36" s="211"/>
    </row>
  </sheetData>
  <mergeCells count="1">
    <mergeCell ref="A1:AG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06BA-6B90-492C-B49D-454215E2339D}">
  <dimension ref="A1:AI36"/>
  <sheetViews>
    <sheetView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9.140625" style="144"/>
    <col min="34" max="34" width="12.85546875" style="144" customWidth="1"/>
    <col min="35" max="16384" width="9.140625" style="144"/>
  </cols>
  <sheetData>
    <row r="1" spans="1:35"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5" ht="15.75">
      <c r="A2" s="280"/>
      <c r="B2" s="281">
        <v>45047</v>
      </c>
      <c r="C2" s="281">
        <v>45048</v>
      </c>
      <c r="D2" s="281">
        <v>45049</v>
      </c>
      <c r="E2" s="281">
        <v>45050</v>
      </c>
      <c r="F2" s="281">
        <v>45051</v>
      </c>
      <c r="G2" s="281">
        <v>45052</v>
      </c>
      <c r="H2" s="281">
        <v>45053</v>
      </c>
      <c r="I2" s="281">
        <v>45054</v>
      </c>
      <c r="J2" s="281">
        <v>45055</v>
      </c>
      <c r="K2" s="281">
        <v>45056</v>
      </c>
      <c r="L2" s="281">
        <v>45057</v>
      </c>
      <c r="M2" s="281">
        <v>45058</v>
      </c>
      <c r="N2" s="281">
        <v>45059</v>
      </c>
      <c r="O2" s="281">
        <v>45060</v>
      </c>
      <c r="P2" s="281">
        <v>45061</v>
      </c>
      <c r="Q2" s="281">
        <v>45062</v>
      </c>
      <c r="R2" s="281">
        <v>45063</v>
      </c>
      <c r="S2" s="281">
        <v>45064</v>
      </c>
      <c r="T2" s="281">
        <v>45065</v>
      </c>
      <c r="U2" s="281">
        <v>45066</v>
      </c>
      <c r="V2" s="281">
        <v>45067</v>
      </c>
      <c r="W2" s="281">
        <v>45068</v>
      </c>
      <c r="X2" s="281">
        <v>45069</v>
      </c>
      <c r="Y2" s="281">
        <v>45070</v>
      </c>
      <c r="Z2" s="281">
        <v>45071</v>
      </c>
      <c r="AA2" s="281">
        <v>45072</v>
      </c>
      <c r="AB2" s="281">
        <v>45073</v>
      </c>
      <c r="AC2" s="281">
        <v>45074</v>
      </c>
      <c r="AD2" s="281">
        <v>45075</v>
      </c>
      <c r="AE2" s="281">
        <v>45076</v>
      </c>
      <c r="AF2" s="281">
        <v>45077</v>
      </c>
      <c r="AG2" s="281"/>
      <c r="AH2" s="281">
        <v>45046</v>
      </c>
    </row>
    <row r="3" spans="1:35"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5" ht="20.100000000000001" customHeight="1">
      <c r="A4" s="285" t="s">
        <v>54</v>
      </c>
      <c r="B4" s="324">
        <v>304338</v>
      </c>
      <c r="C4" s="324">
        <v>304564</v>
      </c>
      <c r="D4" s="324">
        <v>304783</v>
      </c>
      <c r="E4" s="324">
        <v>305004</v>
      </c>
      <c r="F4" s="324">
        <v>305217</v>
      </c>
      <c r="G4" s="324">
        <v>305430</v>
      </c>
      <c r="H4" s="324">
        <v>305646</v>
      </c>
      <c r="I4" s="212">
        <v>305867</v>
      </c>
      <c r="J4" s="324">
        <v>306089</v>
      </c>
      <c r="K4" s="324">
        <v>306311</v>
      </c>
      <c r="L4" s="324">
        <v>306536</v>
      </c>
      <c r="M4" s="324">
        <v>306750</v>
      </c>
      <c r="N4" s="324">
        <v>306968</v>
      </c>
      <c r="O4" s="212">
        <v>307190</v>
      </c>
      <c r="P4" s="212">
        <v>307417</v>
      </c>
      <c r="Q4" s="325">
        <v>307639</v>
      </c>
      <c r="R4" s="325">
        <v>307866</v>
      </c>
      <c r="S4" s="325">
        <v>308090</v>
      </c>
      <c r="T4" s="325">
        <v>308303</v>
      </c>
      <c r="U4" s="325">
        <v>308516</v>
      </c>
      <c r="V4" s="325">
        <v>308740</v>
      </c>
      <c r="W4" s="325">
        <v>308969</v>
      </c>
      <c r="X4" s="325">
        <v>309200</v>
      </c>
      <c r="Y4" s="325">
        <v>309427</v>
      </c>
      <c r="Z4" s="212">
        <v>309654</v>
      </c>
      <c r="AA4" s="212">
        <v>309877</v>
      </c>
      <c r="AB4" s="212">
        <v>310100</v>
      </c>
      <c r="AC4" s="212">
        <v>310322</v>
      </c>
      <c r="AD4" s="212">
        <v>310558</v>
      </c>
      <c r="AE4" s="212">
        <v>310787</v>
      </c>
      <c r="AF4" s="212">
        <v>311010</v>
      </c>
      <c r="AG4" s="287"/>
      <c r="AH4" s="324">
        <v>304113</v>
      </c>
      <c r="AI4" s="288"/>
    </row>
    <row r="5" spans="1:35" ht="20.100000000000001" customHeight="1">
      <c r="A5" s="285" t="s">
        <v>55</v>
      </c>
      <c r="B5" s="324">
        <v>8451759</v>
      </c>
      <c r="C5" s="324">
        <v>8459056</v>
      </c>
      <c r="D5" s="324">
        <v>8465979</v>
      </c>
      <c r="E5" s="324">
        <v>8473069</v>
      </c>
      <c r="F5" s="324">
        <v>8479439</v>
      </c>
      <c r="G5" s="324">
        <v>8485814</v>
      </c>
      <c r="H5" s="324">
        <v>8492372</v>
      </c>
      <c r="I5" s="212">
        <v>8499434</v>
      </c>
      <c r="J5" s="324">
        <v>8506636</v>
      </c>
      <c r="K5" s="324">
        <v>8513567</v>
      </c>
      <c r="L5" s="324">
        <v>8520762</v>
      </c>
      <c r="M5" s="324">
        <v>8527075</v>
      </c>
      <c r="N5" s="324">
        <v>8533389</v>
      </c>
      <c r="O5" s="212">
        <v>8539814</v>
      </c>
      <c r="P5" s="212">
        <v>8546977</v>
      </c>
      <c r="Q5" s="325">
        <v>8554048</v>
      </c>
      <c r="R5" s="325">
        <v>8561174</v>
      </c>
      <c r="S5" s="325">
        <v>8568106</v>
      </c>
      <c r="T5" s="325">
        <v>8574621</v>
      </c>
      <c r="U5" s="325">
        <v>8581137</v>
      </c>
      <c r="V5" s="325">
        <v>8587802</v>
      </c>
      <c r="W5" s="325">
        <v>8595014</v>
      </c>
      <c r="X5" s="325">
        <v>8602103</v>
      </c>
      <c r="Y5" s="325">
        <v>8609353</v>
      </c>
      <c r="Z5" s="212">
        <v>8616622</v>
      </c>
      <c r="AA5" s="212">
        <v>8623430</v>
      </c>
      <c r="AB5" s="212">
        <v>8630239</v>
      </c>
      <c r="AC5" s="212">
        <v>8637007</v>
      </c>
      <c r="AD5" s="212">
        <v>8644499</v>
      </c>
      <c r="AE5" s="212">
        <v>8651803</v>
      </c>
      <c r="AF5" s="212">
        <v>8658561</v>
      </c>
      <c r="AG5" s="287"/>
      <c r="AH5" s="324">
        <v>8444490</v>
      </c>
      <c r="AI5" s="288"/>
    </row>
    <row r="6" spans="1:35" ht="20.100000000000001" customHeight="1">
      <c r="A6" s="285" t="s">
        <v>56</v>
      </c>
      <c r="B6" s="324">
        <v>4048866</v>
      </c>
      <c r="C6" s="324">
        <v>4052996</v>
      </c>
      <c r="D6" s="324">
        <v>4056869</v>
      </c>
      <c r="E6" s="324">
        <v>4060794</v>
      </c>
      <c r="F6" s="324">
        <v>4064284</v>
      </c>
      <c r="G6" s="324">
        <v>4067774</v>
      </c>
      <c r="H6" s="324">
        <v>4071404</v>
      </c>
      <c r="I6" s="212">
        <v>4075226</v>
      </c>
      <c r="J6" s="324">
        <v>4078935</v>
      </c>
      <c r="K6" s="324">
        <v>4082574</v>
      </c>
      <c r="L6" s="324">
        <v>4086394</v>
      </c>
      <c r="M6" s="324">
        <v>4089741</v>
      </c>
      <c r="N6" s="324">
        <v>4093088</v>
      </c>
      <c r="O6" s="212">
        <v>4096629</v>
      </c>
      <c r="P6" s="212">
        <v>4100241</v>
      </c>
      <c r="Q6" s="325">
        <v>4103790</v>
      </c>
      <c r="R6" s="325">
        <v>4107381</v>
      </c>
      <c r="S6" s="325">
        <v>4110832</v>
      </c>
      <c r="T6" s="325">
        <v>4113827</v>
      </c>
      <c r="U6" s="325">
        <v>4116822</v>
      </c>
      <c r="V6" s="325">
        <v>4120037</v>
      </c>
      <c r="W6" s="325">
        <v>4123689</v>
      </c>
      <c r="X6" s="325">
        <v>4127276</v>
      </c>
      <c r="Y6" s="325">
        <v>4130827</v>
      </c>
      <c r="Z6" s="212">
        <v>4134345</v>
      </c>
      <c r="AA6" s="212">
        <v>4137530</v>
      </c>
      <c r="AB6" s="212">
        <v>4140715</v>
      </c>
      <c r="AC6" s="212">
        <v>4143855</v>
      </c>
      <c r="AD6" s="212">
        <v>4147663</v>
      </c>
      <c r="AE6" s="212">
        <v>4151414</v>
      </c>
      <c r="AF6" s="212">
        <v>4154906</v>
      </c>
      <c r="AG6" s="287"/>
      <c r="AH6" s="324">
        <v>4044838</v>
      </c>
      <c r="AI6" s="288"/>
    </row>
    <row r="7" spans="1:35" ht="20.100000000000001" customHeight="1">
      <c r="A7" s="285" t="s">
        <v>57</v>
      </c>
      <c r="B7" s="324">
        <v>9225518</v>
      </c>
      <c r="C7" s="324">
        <v>9239379</v>
      </c>
      <c r="D7" s="324">
        <v>9252552</v>
      </c>
      <c r="E7" s="324">
        <v>9265631</v>
      </c>
      <c r="F7" s="324">
        <v>9274634</v>
      </c>
      <c r="G7" s="324">
        <v>9283637</v>
      </c>
      <c r="H7" s="324">
        <v>9292779</v>
      </c>
      <c r="I7" s="212">
        <v>9302611</v>
      </c>
      <c r="J7" s="324">
        <v>9312066</v>
      </c>
      <c r="K7" s="324">
        <v>9321574</v>
      </c>
      <c r="L7" s="324">
        <v>9330884</v>
      </c>
      <c r="M7" s="324">
        <v>9339646</v>
      </c>
      <c r="N7" s="324">
        <v>9348408</v>
      </c>
      <c r="O7" s="212">
        <v>9348537</v>
      </c>
      <c r="P7" s="212">
        <v>9349076</v>
      </c>
      <c r="Q7" s="325">
        <v>9349551</v>
      </c>
      <c r="R7" s="325">
        <v>9349629</v>
      </c>
      <c r="S7" s="325">
        <v>9349706</v>
      </c>
      <c r="T7" s="325">
        <v>9349782</v>
      </c>
      <c r="U7" s="325">
        <v>9349859</v>
      </c>
      <c r="V7" s="325">
        <v>9350090</v>
      </c>
      <c r="W7" s="325">
        <v>9350833</v>
      </c>
      <c r="X7" s="325">
        <v>9351066</v>
      </c>
      <c r="Y7" s="325">
        <v>9351143</v>
      </c>
      <c r="Z7" s="212">
        <v>9351219</v>
      </c>
      <c r="AA7" s="212">
        <v>9351971</v>
      </c>
      <c r="AB7" s="212">
        <v>9352724</v>
      </c>
      <c r="AC7" s="212">
        <v>9361859</v>
      </c>
      <c r="AD7" s="212">
        <v>9371776</v>
      </c>
      <c r="AE7" s="212">
        <v>9382661</v>
      </c>
      <c r="AF7" s="212">
        <v>9392973</v>
      </c>
      <c r="AG7" s="287"/>
      <c r="AH7" s="324">
        <v>9211868</v>
      </c>
      <c r="AI7" s="288"/>
    </row>
    <row r="8" spans="1:35" ht="20.100000000000001" customHeight="1">
      <c r="A8" s="285" t="s">
        <v>58</v>
      </c>
      <c r="B8" s="324">
        <v>2975243</v>
      </c>
      <c r="C8" s="324">
        <v>2975243</v>
      </c>
      <c r="D8" s="324">
        <v>2975243</v>
      </c>
      <c r="E8" s="324">
        <v>2975243</v>
      </c>
      <c r="F8" s="324">
        <v>2975517</v>
      </c>
      <c r="G8" s="324">
        <v>2975792</v>
      </c>
      <c r="H8" s="324">
        <v>2975921</v>
      </c>
      <c r="I8" s="212">
        <v>2975921</v>
      </c>
      <c r="J8" s="324">
        <v>2976429</v>
      </c>
      <c r="K8" s="324">
        <v>2976750</v>
      </c>
      <c r="L8" s="324">
        <v>2976750</v>
      </c>
      <c r="M8" s="324">
        <v>2976971</v>
      </c>
      <c r="N8" s="324">
        <v>2977190</v>
      </c>
      <c r="O8" s="212">
        <v>2980474</v>
      </c>
      <c r="P8" s="212">
        <v>2983691</v>
      </c>
      <c r="Q8" s="325">
        <v>2986707</v>
      </c>
      <c r="R8" s="325">
        <v>2989747</v>
      </c>
      <c r="S8" s="325">
        <v>2992754</v>
      </c>
      <c r="T8" s="325">
        <v>2995751</v>
      </c>
      <c r="U8" s="325">
        <v>2998749</v>
      </c>
      <c r="V8" s="325">
        <v>3002127</v>
      </c>
      <c r="W8" s="325">
        <v>3005779</v>
      </c>
      <c r="X8" s="325">
        <v>3009338</v>
      </c>
      <c r="Y8" s="325">
        <v>3012782</v>
      </c>
      <c r="Z8" s="212">
        <v>3016070</v>
      </c>
      <c r="AA8" s="212">
        <v>3019148</v>
      </c>
      <c r="AB8" s="212">
        <v>3022227</v>
      </c>
      <c r="AC8" s="212">
        <v>3022227</v>
      </c>
      <c r="AD8" s="212">
        <v>3022227</v>
      </c>
      <c r="AE8" s="212">
        <v>3022227</v>
      </c>
      <c r="AF8" s="212">
        <v>3022444</v>
      </c>
      <c r="AG8" s="287"/>
      <c r="AH8" s="324">
        <v>2975243</v>
      </c>
      <c r="AI8" s="288"/>
    </row>
    <row r="9" spans="1:35" ht="20.100000000000001" customHeight="1">
      <c r="A9" s="285" t="s">
        <v>59</v>
      </c>
      <c r="B9" s="326">
        <v>19272362</v>
      </c>
      <c r="C9" s="326">
        <v>19284525</v>
      </c>
      <c r="D9" s="326">
        <v>19296317</v>
      </c>
      <c r="E9" s="326">
        <v>19308225</v>
      </c>
      <c r="F9" s="326">
        <v>19316458</v>
      </c>
      <c r="G9" s="326">
        <v>19324692</v>
      </c>
      <c r="H9" s="326">
        <v>19333009</v>
      </c>
      <c r="I9" s="214">
        <v>19341427</v>
      </c>
      <c r="J9" s="326">
        <v>19350827</v>
      </c>
      <c r="K9" s="326">
        <v>19359952</v>
      </c>
      <c r="L9" s="326">
        <v>19369327</v>
      </c>
      <c r="M9" s="326">
        <v>19378342</v>
      </c>
      <c r="N9" s="326">
        <v>19387358</v>
      </c>
      <c r="O9" s="214">
        <v>19397104</v>
      </c>
      <c r="P9" s="214">
        <v>19406957</v>
      </c>
      <c r="Q9" s="327">
        <v>19416479</v>
      </c>
      <c r="R9" s="327">
        <v>19425674</v>
      </c>
      <c r="S9" s="327">
        <v>19434832</v>
      </c>
      <c r="T9" s="327">
        <v>19443745</v>
      </c>
      <c r="U9" s="327">
        <v>19452658</v>
      </c>
      <c r="V9" s="327">
        <v>19462256</v>
      </c>
      <c r="W9" s="327">
        <v>19472417</v>
      </c>
      <c r="X9" s="327">
        <v>19482188</v>
      </c>
      <c r="Y9" s="327">
        <v>19491641</v>
      </c>
      <c r="Z9" s="214">
        <v>19501174</v>
      </c>
      <c r="AA9" s="214">
        <v>19510633</v>
      </c>
      <c r="AB9" s="214">
        <v>19520093</v>
      </c>
      <c r="AC9" s="214">
        <v>19529289</v>
      </c>
      <c r="AD9" s="214">
        <v>19538808</v>
      </c>
      <c r="AE9" s="214">
        <v>19548438</v>
      </c>
      <c r="AF9" s="214">
        <v>19558769</v>
      </c>
      <c r="AG9" s="290"/>
      <c r="AH9" s="326">
        <v>19260139</v>
      </c>
      <c r="AI9" s="288"/>
    </row>
    <row r="10" spans="1:35" ht="20.100000000000001" customHeight="1">
      <c r="A10" s="285" t="s">
        <v>60</v>
      </c>
      <c r="B10" s="324">
        <v>6054707</v>
      </c>
      <c r="C10" s="324">
        <v>6058934</v>
      </c>
      <c r="D10" s="324">
        <v>6062970</v>
      </c>
      <c r="E10" s="324">
        <v>6067052</v>
      </c>
      <c r="F10" s="324">
        <v>6070140</v>
      </c>
      <c r="G10" s="324">
        <v>6073228</v>
      </c>
      <c r="H10" s="324">
        <v>6076596</v>
      </c>
      <c r="I10" s="212">
        <v>6080500</v>
      </c>
      <c r="J10" s="324">
        <v>6084477</v>
      </c>
      <c r="K10" s="324">
        <v>6088540</v>
      </c>
      <c r="L10" s="324">
        <v>6092999</v>
      </c>
      <c r="M10" s="324">
        <v>6096023</v>
      </c>
      <c r="N10" s="324">
        <v>6099047</v>
      </c>
      <c r="O10" s="212">
        <v>6102582</v>
      </c>
      <c r="P10" s="212">
        <v>6106677</v>
      </c>
      <c r="Q10" s="325">
        <v>6110932</v>
      </c>
      <c r="R10" s="325">
        <v>6115095</v>
      </c>
      <c r="S10" s="325">
        <v>6119334</v>
      </c>
      <c r="T10" s="325">
        <v>6122613</v>
      </c>
      <c r="U10" s="325">
        <v>6125893</v>
      </c>
      <c r="V10" s="325">
        <v>6129534</v>
      </c>
      <c r="W10" s="325">
        <v>6134028</v>
      </c>
      <c r="X10" s="325">
        <v>6138344</v>
      </c>
      <c r="Y10" s="325">
        <v>6142731</v>
      </c>
      <c r="Z10" s="212">
        <v>6147054</v>
      </c>
      <c r="AA10" s="212">
        <v>6150516</v>
      </c>
      <c r="AB10" s="212">
        <v>6153979</v>
      </c>
      <c r="AC10" s="212">
        <v>6157646</v>
      </c>
      <c r="AD10" s="212">
        <v>6162119</v>
      </c>
      <c r="AE10" s="212">
        <v>6166481</v>
      </c>
      <c r="AF10" s="212">
        <v>6171425</v>
      </c>
      <c r="AG10" s="287"/>
      <c r="AH10" s="324">
        <v>6050584</v>
      </c>
      <c r="AI10" s="288"/>
    </row>
    <row r="11" spans="1:35" ht="22.5" customHeight="1">
      <c r="A11" s="285" t="s">
        <v>61</v>
      </c>
      <c r="B11" s="324">
        <v>239061</v>
      </c>
      <c r="C11" s="324">
        <v>239242</v>
      </c>
      <c r="D11" s="324">
        <v>239412</v>
      </c>
      <c r="E11" s="324">
        <v>239585</v>
      </c>
      <c r="F11" s="324">
        <v>239738</v>
      </c>
      <c r="G11" s="324">
        <v>239891</v>
      </c>
      <c r="H11" s="324">
        <v>240049</v>
      </c>
      <c r="I11" s="212">
        <v>240212</v>
      </c>
      <c r="J11" s="324">
        <v>240375</v>
      </c>
      <c r="K11" s="324">
        <v>240539</v>
      </c>
      <c r="L11" s="324">
        <v>240705</v>
      </c>
      <c r="M11" s="324">
        <v>240850</v>
      </c>
      <c r="N11" s="324">
        <v>240997</v>
      </c>
      <c r="O11" s="212">
        <v>241150</v>
      </c>
      <c r="P11" s="212">
        <v>241320</v>
      </c>
      <c r="Q11" s="325">
        <v>241485</v>
      </c>
      <c r="R11" s="325">
        <v>241658</v>
      </c>
      <c r="S11" s="325">
        <v>241828</v>
      </c>
      <c r="T11" s="325">
        <v>241978</v>
      </c>
      <c r="U11" s="325">
        <v>242128</v>
      </c>
      <c r="V11" s="325">
        <v>242289</v>
      </c>
      <c r="W11" s="325">
        <v>242463</v>
      </c>
      <c r="X11" s="325">
        <v>242633</v>
      </c>
      <c r="Y11" s="325">
        <v>242800</v>
      </c>
      <c r="Z11" s="212">
        <v>242965</v>
      </c>
      <c r="AA11" s="212">
        <v>243114</v>
      </c>
      <c r="AB11" s="212">
        <v>243264</v>
      </c>
      <c r="AC11" s="212">
        <v>243414</v>
      </c>
      <c r="AD11" s="212">
        <v>243587</v>
      </c>
      <c r="AE11" s="212">
        <v>243750</v>
      </c>
      <c r="AF11" s="212">
        <v>243911</v>
      </c>
      <c r="AG11" s="287"/>
      <c r="AH11" s="324">
        <v>238882</v>
      </c>
      <c r="AI11" s="288"/>
    </row>
    <row r="12" spans="1:35" s="294" customFormat="1" ht="18" customHeight="1">
      <c r="A12" s="291" t="s">
        <v>62</v>
      </c>
      <c r="B12" s="328"/>
      <c r="C12" s="328"/>
      <c r="D12" s="328"/>
      <c r="E12" s="328"/>
      <c r="F12" s="328"/>
      <c r="G12" s="328"/>
      <c r="H12" s="328"/>
      <c r="I12" s="162"/>
      <c r="J12" s="328"/>
      <c r="K12" s="328"/>
      <c r="L12" s="328"/>
      <c r="M12" s="328"/>
      <c r="N12" s="328"/>
      <c r="O12" s="162"/>
      <c r="P12" s="162"/>
      <c r="Q12" s="265"/>
      <c r="R12" s="218"/>
      <c r="S12" s="218"/>
      <c r="T12" s="218"/>
      <c r="U12" s="218"/>
      <c r="V12" s="218"/>
      <c r="W12" s="218"/>
      <c r="X12" s="218"/>
      <c r="Y12" s="218"/>
      <c r="Z12" s="162"/>
      <c r="AA12" s="162"/>
      <c r="AB12" s="162"/>
      <c r="AC12" s="162"/>
      <c r="AD12" s="162"/>
      <c r="AE12" s="162"/>
      <c r="AF12" s="162"/>
      <c r="AG12" s="293"/>
      <c r="AH12" s="328"/>
    </row>
    <row r="13" spans="1:35">
      <c r="A13" s="282" t="s">
        <v>63</v>
      </c>
      <c r="B13" s="329" t="s">
        <v>64</v>
      </c>
      <c r="C13" s="329" t="s">
        <v>64</v>
      </c>
      <c r="D13" s="329" t="s">
        <v>64</v>
      </c>
      <c r="E13" s="329" t="s">
        <v>64</v>
      </c>
      <c r="F13" s="329" t="s">
        <v>64</v>
      </c>
      <c r="G13" s="329" t="s">
        <v>64</v>
      </c>
      <c r="H13" s="329" t="s">
        <v>64</v>
      </c>
      <c r="I13" s="181" t="s">
        <v>64</v>
      </c>
      <c r="J13" s="329" t="s">
        <v>64</v>
      </c>
      <c r="K13" s="329" t="s">
        <v>64</v>
      </c>
      <c r="L13" s="329" t="s">
        <v>64</v>
      </c>
      <c r="M13" s="329" t="s">
        <v>64</v>
      </c>
      <c r="N13" s="329" t="s">
        <v>64</v>
      </c>
      <c r="O13" s="181" t="s">
        <v>64</v>
      </c>
      <c r="P13" s="181" t="s">
        <v>64</v>
      </c>
      <c r="Q13" s="330" t="s">
        <v>1350</v>
      </c>
      <c r="R13" s="330" t="s">
        <v>1350</v>
      </c>
      <c r="S13" s="330" t="s">
        <v>1350</v>
      </c>
      <c r="T13" s="330" t="s">
        <v>1350</v>
      </c>
      <c r="U13" s="330" t="s">
        <v>1350</v>
      </c>
      <c r="V13" s="330" t="s">
        <v>1350</v>
      </c>
      <c r="W13" s="330" t="s">
        <v>1350</v>
      </c>
      <c r="X13" s="330" t="s">
        <v>1350</v>
      </c>
      <c r="Y13" s="330" t="s">
        <v>1350</v>
      </c>
      <c r="Z13" s="181" t="s">
        <v>64</v>
      </c>
      <c r="AA13" s="181" t="s">
        <v>64</v>
      </c>
      <c r="AB13" s="181" t="s">
        <v>64</v>
      </c>
      <c r="AC13" s="181" t="s">
        <v>64</v>
      </c>
      <c r="AD13" s="181" t="s">
        <v>64</v>
      </c>
      <c r="AE13" s="181" t="s">
        <v>64</v>
      </c>
      <c r="AF13" s="181" t="s">
        <v>64</v>
      </c>
      <c r="AG13" s="296"/>
      <c r="AH13" s="329" t="s">
        <v>64</v>
      </c>
    </row>
    <row r="14" spans="1:35">
      <c r="A14" s="282" t="s">
        <v>995</v>
      </c>
      <c r="B14" s="331">
        <v>299278.11</v>
      </c>
      <c r="C14" s="331">
        <v>299278.11</v>
      </c>
      <c r="D14" s="331">
        <v>299278.11</v>
      </c>
      <c r="E14" s="331">
        <v>299278.11</v>
      </c>
      <c r="F14" s="331">
        <v>299278.11</v>
      </c>
      <c r="G14" s="331">
        <v>300329.21999999997</v>
      </c>
      <c r="H14" s="331">
        <v>300329.21999999997</v>
      </c>
      <c r="I14" s="182">
        <v>300329.21999999997</v>
      </c>
      <c r="J14" s="331">
        <v>300329.21999999997</v>
      </c>
      <c r="K14" s="331">
        <v>300329.21999999997</v>
      </c>
      <c r="L14" s="331">
        <v>300329.21999999997</v>
      </c>
      <c r="M14" s="331">
        <v>300329.21999999997</v>
      </c>
      <c r="N14" s="331">
        <v>301756.33</v>
      </c>
      <c r="O14" s="182">
        <v>301756.33</v>
      </c>
      <c r="P14" s="182">
        <v>301756.33</v>
      </c>
      <c r="Q14" s="332">
        <v>301756.33</v>
      </c>
      <c r="R14" s="332">
        <v>301756.33</v>
      </c>
      <c r="S14" s="332">
        <v>301756.33</v>
      </c>
      <c r="T14" s="332">
        <v>301756.33</v>
      </c>
      <c r="U14" s="332">
        <v>302315.99</v>
      </c>
      <c r="V14" s="332">
        <v>302315.99</v>
      </c>
      <c r="W14" s="332">
        <v>302315.99</v>
      </c>
      <c r="X14" s="332">
        <v>302315.99</v>
      </c>
      <c r="Y14" s="332">
        <v>302315.99</v>
      </c>
      <c r="Z14" s="182">
        <v>302315.99</v>
      </c>
      <c r="AA14" s="182">
        <v>302315.99</v>
      </c>
      <c r="AB14" s="182">
        <v>303471.12</v>
      </c>
      <c r="AC14" s="182">
        <v>303471.12</v>
      </c>
      <c r="AD14" s="182">
        <v>303471.12</v>
      </c>
      <c r="AE14" s="182">
        <v>303471.12</v>
      </c>
      <c r="AF14" s="182">
        <v>303471.12</v>
      </c>
      <c r="AG14" s="319">
        <f>AF14-AH14</f>
        <v>4193.0100000000093</v>
      </c>
      <c r="AH14" s="331">
        <v>299278.11</v>
      </c>
      <c r="AI14" s="299">
        <v>4193.01</v>
      </c>
    </row>
    <row r="15" spans="1:35" ht="25.5">
      <c r="A15" s="282" t="s">
        <v>67</v>
      </c>
      <c r="B15" s="333">
        <v>4955</v>
      </c>
      <c r="C15" s="333">
        <v>4955</v>
      </c>
      <c r="D15" s="333">
        <v>4955</v>
      </c>
      <c r="E15" s="333">
        <v>4955</v>
      </c>
      <c r="F15" s="333">
        <v>4955</v>
      </c>
      <c r="G15" s="333">
        <v>5365</v>
      </c>
      <c r="H15" s="333">
        <v>5365</v>
      </c>
      <c r="I15" s="183">
        <v>5365</v>
      </c>
      <c r="J15" s="333">
        <v>5365</v>
      </c>
      <c r="K15" s="333">
        <v>5365</v>
      </c>
      <c r="L15" s="333">
        <v>5365</v>
      </c>
      <c r="M15" s="333">
        <v>5365</v>
      </c>
      <c r="N15" s="333">
        <v>5365</v>
      </c>
      <c r="O15" s="183">
        <v>5365</v>
      </c>
      <c r="P15" s="183">
        <v>5365</v>
      </c>
      <c r="Q15" s="334">
        <v>5365</v>
      </c>
      <c r="R15" s="334">
        <v>5365</v>
      </c>
      <c r="S15" s="334">
        <v>5365</v>
      </c>
      <c r="T15" s="334">
        <v>5365</v>
      </c>
      <c r="U15" s="334">
        <v>5365</v>
      </c>
      <c r="V15" s="334">
        <v>5365</v>
      </c>
      <c r="W15" s="334">
        <v>5365</v>
      </c>
      <c r="X15" s="334">
        <v>5365</v>
      </c>
      <c r="Y15" s="334">
        <v>5365</v>
      </c>
      <c r="Z15" s="183">
        <v>5365</v>
      </c>
      <c r="AA15" s="183">
        <v>5365</v>
      </c>
      <c r="AB15" s="183">
        <v>5929</v>
      </c>
      <c r="AC15" s="183">
        <v>5929</v>
      </c>
      <c r="AD15" s="183">
        <v>5929</v>
      </c>
      <c r="AE15" s="183">
        <v>5929</v>
      </c>
      <c r="AF15" s="183">
        <v>5929</v>
      </c>
      <c r="AG15" s="320"/>
      <c r="AH15" s="333">
        <v>4955</v>
      </c>
    </row>
    <row r="16" spans="1:35" ht="25.5">
      <c r="A16" s="282" t="s">
        <v>68</v>
      </c>
      <c r="B16" s="335">
        <v>8547</v>
      </c>
      <c r="C16" s="335">
        <v>8547</v>
      </c>
      <c r="D16" s="335">
        <v>8547</v>
      </c>
      <c r="E16" s="335">
        <v>8547</v>
      </c>
      <c r="F16" s="335">
        <v>8547</v>
      </c>
      <c r="G16" s="335">
        <v>8689</v>
      </c>
      <c r="H16" s="335">
        <v>8689</v>
      </c>
      <c r="I16" s="336">
        <v>8689</v>
      </c>
      <c r="J16" s="335">
        <v>8689</v>
      </c>
      <c r="K16" s="335">
        <v>8689</v>
      </c>
      <c r="L16" s="335">
        <v>8689</v>
      </c>
      <c r="M16" s="335">
        <v>8689</v>
      </c>
      <c r="N16" s="335">
        <v>8887</v>
      </c>
      <c r="O16" s="336">
        <v>8887</v>
      </c>
      <c r="P16" s="336">
        <v>8887</v>
      </c>
      <c r="Q16" s="334">
        <v>8887</v>
      </c>
      <c r="R16" s="334">
        <v>8887</v>
      </c>
      <c r="S16" s="334">
        <v>8887</v>
      </c>
      <c r="T16" s="334">
        <v>8887</v>
      </c>
      <c r="U16" s="334">
        <v>8887</v>
      </c>
      <c r="V16" s="334">
        <v>8887</v>
      </c>
      <c r="W16" s="334">
        <v>8887</v>
      </c>
      <c r="X16" s="334">
        <v>8887</v>
      </c>
      <c r="Y16" s="334">
        <v>8887</v>
      </c>
      <c r="Z16" s="336">
        <v>8887</v>
      </c>
      <c r="AA16" s="336">
        <v>8887</v>
      </c>
      <c r="AB16" s="336">
        <v>8963</v>
      </c>
      <c r="AC16" s="336">
        <v>8963</v>
      </c>
      <c r="AD16" s="336">
        <v>8963</v>
      </c>
      <c r="AE16" s="336">
        <v>8963</v>
      </c>
      <c r="AF16" s="336">
        <v>8963</v>
      </c>
      <c r="AG16" s="320"/>
      <c r="AH16" s="335">
        <v>8547</v>
      </c>
    </row>
    <row r="17" spans="1:35" ht="20.100000000000001" customHeight="1">
      <c r="A17" s="303"/>
      <c r="B17" s="328"/>
      <c r="C17" s="328"/>
      <c r="D17" s="328"/>
      <c r="E17" s="328"/>
      <c r="F17" s="328"/>
      <c r="G17" s="328"/>
      <c r="H17" s="328"/>
      <c r="I17" s="162"/>
      <c r="J17" s="328"/>
      <c r="K17" s="328"/>
      <c r="L17" s="328"/>
      <c r="M17" s="328"/>
      <c r="N17" s="328"/>
      <c r="O17" s="162"/>
      <c r="P17" s="162"/>
      <c r="Q17" s="265"/>
      <c r="R17" s="218"/>
      <c r="S17" s="218"/>
      <c r="T17" s="218"/>
      <c r="U17" s="218"/>
      <c r="V17" s="218"/>
      <c r="W17" s="218"/>
      <c r="X17" s="218"/>
      <c r="Y17" s="218"/>
      <c r="Z17" s="162"/>
      <c r="AA17" s="162"/>
      <c r="AB17" s="162"/>
      <c r="AC17" s="162"/>
      <c r="AD17" s="162"/>
      <c r="AE17" s="162"/>
      <c r="AF17" s="162"/>
      <c r="AG17" s="304"/>
      <c r="AH17" s="328"/>
    </row>
    <row r="18" spans="1:35">
      <c r="A18" s="282" t="s">
        <v>69</v>
      </c>
      <c r="B18" s="329" t="s">
        <v>106</v>
      </c>
      <c r="C18" s="329" t="s">
        <v>106</v>
      </c>
      <c r="D18" s="329" t="s">
        <v>106</v>
      </c>
      <c r="E18" s="329" t="s">
        <v>106</v>
      </c>
      <c r="F18" s="329" t="s">
        <v>106</v>
      </c>
      <c r="G18" s="329" t="s">
        <v>106</v>
      </c>
      <c r="H18" s="329" t="s">
        <v>106</v>
      </c>
      <c r="I18" s="181" t="s">
        <v>106</v>
      </c>
      <c r="J18" s="329" t="s">
        <v>106</v>
      </c>
      <c r="K18" s="329" t="s">
        <v>106</v>
      </c>
      <c r="L18" s="329" t="s">
        <v>106</v>
      </c>
      <c r="M18" s="329" t="s">
        <v>106</v>
      </c>
      <c r="N18" s="329" t="s">
        <v>106</v>
      </c>
      <c r="O18" s="181" t="s">
        <v>106</v>
      </c>
      <c r="P18" s="181" t="s">
        <v>106</v>
      </c>
      <c r="Q18" s="330" t="s">
        <v>1350</v>
      </c>
      <c r="R18" s="330" t="s">
        <v>1350</v>
      </c>
      <c r="S18" s="330" t="s">
        <v>1350</v>
      </c>
      <c r="T18" s="330" t="s">
        <v>1350</v>
      </c>
      <c r="U18" s="330" t="s">
        <v>1350</v>
      </c>
      <c r="V18" s="330" t="s">
        <v>1350</v>
      </c>
      <c r="W18" s="330" t="s">
        <v>1350</v>
      </c>
      <c r="X18" s="330" t="s">
        <v>1350</v>
      </c>
      <c r="Y18" s="330" t="s">
        <v>1350</v>
      </c>
      <c r="Z18" s="181" t="s">
        <v>106</v>
      </c>
      <c r="AA18" s="181" t="s">
        <v>106</v>
      </c>
      <c r="AB18" s="181" t="s">
        <v>106</v>
      </c>
      <c r="AC18" s="181" t="s">
        <v>106</v>
      </c>
      <c r="AD18" s="181" t="s">
        <v>106</v>
      </c>
      <c r="AE18" s="181" t="s">
        <v>106</v>
      </c>
      <c r="AF18" s="181" t="s">
        <v>106</v>
      </c>
      <c r="AG18" s="296"/>
      <c r="AH18" s="329" t="s">
        <v>106</v>
      </c>
    </row>
    <row r="19" spans="1:35" ht="25.5">
      <c r="A19" s="282" t="s">
        <v>70</v>
      </c>
      <c r="B19" s="337">
        <v>72680.100000000006</v>
      </c>
      <c r="C19" s="337">
        <v>72706.100000000006</v>
      </c>
      <c r="D19" s="337">
        <v>72732.7</v>
      </c>
      <c r="E19" s="337">
        <v>72757.899999999994</v>
      </c>
      <c r="F19" s="337">
        <v>72781.3</v>
      </c>
      <c r="G19" s="337">
        <v>72781.3</v>
      </c>
      <c r="H19" s="337">
        <v>72798.8</v>
      </c>
      <c r="I19" s="186">
        <v>72818.100000000006</v>
      </c>
      <c r="J19" s="337">
        <v>72841.2</v>
      </c>
      <c r="K19" s="337">
        <v>72861.8</v>
      </c>
      <c r="L19" s="337">
        <v>72880.100000000006</v>
      </c>
      <c r="M19" s="337">
        <v>72897.399999999994</v>
      </c>
      <c r="N19" s="337">
        <v>72897.399999999994</v>
      </c>
      <c r="O19" s="186">
        <v>72910.7</v>
      </c>
      <c r="P19" s="186">
        <v>72939.5</v>
      </c>
      <c r="Q19" s="338">
        <v>72967.199999999997</v>
      </c>
      <c r="R19" s="338">
        <v>72993.8</v>
      </c>
      <c r="S19" s="338">
        <v>73023.100000000006</v>
      </c>
      <c r="T19" s="338">
        <v>73047.8</v>
      </c>
      <c r="U19" s="338">
        <v>73047.8</v>
      </c>
      <c r="V19" s="338">
        <v>73067.100000000006</v>
      </c>
      <c r="W19" s="338">
        <v>73095.600000000006</v>
      </c>
      <c r="X19" s="338">
        <v>73135.7</v>
      </c>
      <c r="Y19" s="338">
        <v>73167.600000000006</v>
      </c>
      <c r="Z19" s="186">
        <v>73195.8</v>
      </c>
      <c r="AA19" s="186">
        <v>73221.100000000006</v>
      </c>
      <c r="AB19" s="186">
        <v>73221.8</v>
      </c>
      <c r="AC19" s="186">
        <v>73237.399999999994</v>
      </c>
      <c r="AD19" s="186">
        <v>73261.600000000006</v>
      </c>
      <c r="AE19" s="186">
        <v>73287.399999999994</v>
      </c>
      <c r="AF19" s="186">
        <v>73315.399999999994</v>
      </c>
      <c r="AG19" s="321">
        <f>AF19-AH19</f>
        <v>662.69999999999709</v>
      </c>
      <c r="AH19" s="337">
        <v>72652.7</v>
      </c>
      <c r="AI19" s="307">
        <v>663</v>
      </c>
    </row>
    <row r="20" spans="1:35" ht="25.5">
      <c r="A20" s="282" t="s">
        <v>71</v>
      </c>
      <c r="B20" s="333" t="s">
        <v>1351</v>
      </c>
      <c r="C20" s="333" t="s">
        <v>1351</v>
      </c>
      <c r="D20" s="333" t="s">
        <v>1351</v>
      </c>
      <c r="E20" s="333" t="s">
        <v>1351</v>
      </c>
      <c r="F20" s="333" t="s">
        <v>1351</v>
      </c>
      <c r="G20" s="333" t="s">
        <v>1351</v>
      </c>
      <c r="H20" s="333" t="s">
        <v>1351</v>
      </c>
      <c r="I20" s="183" t="s">
        <v>1351</v>
      </c>
      <c r="J20" s="333" t="s">
        <v>1351</v>
      </c>
      <c r="K20" s="333" t="s">
        <v>1351</v>
      </c>
      <c r="L20" s="333" t="s">
        <v>1351</v>
      </c>
      <c r="M20" s="333" t="s">
        <v>1351</v>
      </c>
      <c r="N20" s="333" t="s">
        <v>1351</v>
      </c>
      <c r="O20" s="183" t="s">
        <v>1351</v>
      </c>
      <c r="P20" s="183" t="s">
        <v>1351</v>
      </c>
      <c r="Q20" s="339" t="s">
        <v>1352</v>
      </c>
      <c r="R20" s="339" t="s">
        <v>1352</v>
      </c>
      <c r="S20" s="339" t="s">
        <v>1352</v>
      </c>
      <c r="T20" s="339" t="s">
        <v>1352</v>
      </c>
      <c r="U20" s="339" t="s">
        <v>1352</v>
      </c>
      <c r="V20" s="339" t="s">
        <v>1352</v>
      </c>
      <c r="W20" s="339" t="s">
        <v>1352</v>
      </c>
      <c r="X20" s="339" t="s">
        <v>1352</v>
      </c>
      <c r="Y20" s="339" t="s">
        <v>1352</v>
      </c>
      <c r="Z20" s="183" t="s">
        <v>1351</v>
      </c>
      <c r="AA20" s="183" t="s">
        <v>1351</v>
      </c>
      <c r="AB20" s="183" t="s">
        <v>1351</v>
      </c>
      <c r="AC20" s="183" t="s">
        <v>1351</v>
      </c>
      <c r="AD20" s="183" t="s">
        <v>1351</v>
      </c>
      <c r="AE20" s="183" t="s">
        <v>1351</v>
      </c>
      <c r="AF20" s="183" t="s">
        <v>1351</v>
      </c>
      <c r="AG20" s="209"/>
      <c r="AH20" s="333" t="s">
        <v>1351</v>
      </c>
    </row>
    <row r="21" spans="1:35">
      <c r="A21" s="282" t="s">
        <v>72</v>
      </c>
      <c r="B21" s="333">
        <v>137707</v>
      </c>
      <c r="C21" s="333">
        <v>137707</v>
      </c>
      <c r="D21" s="333">
        <v>137707</v>
      </c>
      <c r="E21" s="333">
        <v>137707</v>
      </c>
      <c r="F21" s="333">
        <v>137707</v>
      </c>
      <c r="G21" s="333">
        <v>138641</v>
      </c>
      <c r="H21" s="333">
        <v>138641</v>
      </c>
      <c r="I21" s="183">
        <v>138641</v>
      </c>
      <c r="J21" s="333">
        <v>138641</v>
      </c>
      <c r="K21" s="333">
        <v>138641</v>
      </c>
      <c r="L21" s="333">
        <v>138641</v>
      </c>
      <c r="M21" s="333">
        <v>138641</v>
      </c>
      <c r="N21" s="333">
        <v>139473</v>
      </c>
      <c r="O21" s="183">
        <v>139473</v>
      </c>
      <c r="P21" s="183">
        <v>139473</v>
      </c>
      <c r="Q21" s="334">
        <v>139473</v>
      </c>
      <c r="R21" s="334">
        <v>139473</v>
      </c>
      <c r="S21" s="334">
        <v>139473</v>
      </c>
      <c r="T21" s="334">
        <v>139473</v>
      </c>
      <c r="U21" s="334">
        <v>140410</v>
      </c>
      <c r="V21" s="334">
        <v>140410</v>
      </c>
      <c r="W21" s="334">
        <v>140410</v>
      </c>
      <c r="X21" s="334">
        <v>140410</v>
      </c>
      <c r="Y21" s="334">
        <v>140410</v>
      </c>
      <c r="Z21" s="183">
        <v>140410</v>
      </c>
      <c r="AA21" s="183">
        <v>140410</v>
      </c>
      <c r="AB21" s="183">
        <v>141447</v>
      </c>
      <c r="AC21" s="183">
        <v>141447</v>
      </c>
      <c r="AD21" s="183">
        <v>141447</v>
      </c>
      <c r="AE21" s="183">
        <v>141447</v>
      </c>
      <c r="AF21" s="183">
        <v>141447</v>
      </c>
      <c r="AG21" s="321"/>
      <c r="AH21" s="333">
        <v>137707</v>
      </c>
    </row>
    <row r="22" spans="1:35">
      <c r="A22" s="282" t="s">
        <v>73</v>
      </c>
      <c r="B22" s="340">
        <v>18080.400000000001</v>
      </c>
      <c r="C22" s="340">
        <v>18091.5</v>
      </c>
      <c r="D22" s="340">
        <v>18102.3</v>
      </c>
      <c r="E22" s="340">
        <v>18113.5</v>
      </c>
      <c r="F22" s="340">
        <v>18123.900000000001</v>
      </c>
      <c r="G22" s="340">
        <v>18132.5</v>
      </c>
      <c r="H22" s="340">
        <v>18141.5</v>
      </c>
      <c r="I22" s="322">
        <v>18149.2</v>
      </c>
      <c r="J22" s="340">
        <v>18160.400000000001</v>
      </c>
      <c r="K22" s="340">
        <v>18170.8</v>
      </c>
      <c r="L22" s="340">
        <v>18180.8</v>
      </c>
      <c r="M22" s="340">
        <v>18190.8</v>
      </c>
      <c r="N22" s="340">
        <v>18200.599999999999</v>
      </c>
      <c r="O22" s="322">
        <v>18212.599999999999</v>
      </c>
      <c r="P22" s="322">
        <v>18223.2</v>
      </c>
      <c r="Q22" s="338">
        <v>18233.099999999999</v>
      </c>
      <c r="R22" s="338">
        <v>18242.400000000001</v>
      </c>
      <c r="S22" s="338">
        <v>18252.900000000001</v>
      </c>
      <c r="T22" s="338">
        <v>18262.7</v>
      </c>
      <c r="U22" s="338">
        <v>18272.3</v>
      </c>
      <c r="V22" s="338">
        <v>18280.8</v>
      </c>
      <c r="W22" s="338">
        <v>18291.599999999999</v>
      </c>
      <c r="X22" s="338">
        <v>18302.099999999999</v>
      </c>
      <c r="Y22" s="338">
        <v>18312.5</v>
      </c>
      <c r="Z22" s="322">
        <v>18324.3</v>
      </c>
      <c r="AA22" s="322">
        <v>18336.2</v>
      </c>
      <c r="AB22" s="322">
        <v>18347.099999999999</v>
      </c>
      <c r="AC22" s="322">
        <v>18359.3</v>
      </c>
      <c r="AD22" s="322">
        <v>18370.900000000001</v>
      </c>
      <c r="AE22" s="322">
        <v>18383.099999999999</v>
      </c>
      <c r="AF22" s="322">
        <v>18396.2</v>
      </c>
      <c r="AG22" s="321">
        <f>AF22-AH22</f>
        <v>329.40000000000146</v>
      </c>
      <c r="AH22" s="340">
        <v>18066.8</v>
      </c>
      <c r="AI22" s="144">
        <v>329</v>
      </c>
    </row>
    <row r="23" spans="1:35">
      <c r="A23" s="309" t="s">
        <v>136</v>
      </c>
      <c r="B23" s="333">
        <v>7734</v>
      </c>
      <c r="C23" s="333">
        <v>7734</v>
      </c>
      <c r="D23" s="333">
        <v>7734</v>
      </c>
      <c r="E23" s="333">
        <v>7734</v>
      </c>
      <c r="F23" s="333">
        <v>7734</v>
      </c>
      <c r="G23" s="333">
        <v>7791</v>
      </c>
      <c r="H23" s="333">
        <v>7791</v>
      </c>
      <c r="I23" s="183">
        <v>7791</v>
      </c>
      <c r="J23" s="333">
        <v>7791</v>
      </c>
      <c r="K23" s="333">
        <v>7791</v>
      </c>
      <c r="L23" s="333">
        <v>7791</v>
      </c>
      <c r="M23" s="333">
        <v>7791</v>
      </c>
      <c r="N23" s="333">
        <v>7842</v>
      </c>
      <c r="O23" s="183">
        <v>7842</v>
      </c>
      <c r="P23" s="183">
        <v>7842</v>
      </c>
      <c r="Q23" s="334">
        <v>7842</v>
      </c>
      <c r="R23" s="334">
        <v>7842</v>
      </c>
      <c r="S23" s="334">
        <v>7842</v>
      </c>
      <c r="T23" s="334">
        <v>7842</v>
      </c>
      <c r="U23" s="334">
        <v>7900</v>
      </c>
      <c r="V23" s="334">
        <v>7900</v>
      </c>
      <c r="W23" s="334">
        <v>7900</v>
      </c>
      <c r="X23" s="334">
        <v>7900</v>
      </c>
      <c r="Y23" s="334">
        <v>7900</v>
      </c>
      <c r="Z23" s="183">
        <v>7900</v>
      </c>
      <c r="AA23" s="183">
        <v>7900</v>
      </c>
      <c r="AB23" s="183">
        <v>7956</v>
      </c>
      <c r="AC23" s="183">
        <v>7956</v>
      </c>
      <c r="AD23" s="183">
        <v>7956</v>
      </c>
      <c r="AE23" s="183">
        <v>7956</v>
      </c>
      <c r="AF23" s="183">
        <v>7956</v>
      </c>
      <c r="AG23" s="323">
        <f>AF23-AH23</f>
        <v>222</v>
      </c>
      <c r="AH23" s="333">
        <v>7734</v>
      </c>
      <c r="AI23" s="144">
        <v>222</v>
      </c>
    </row>
    <row r="24" spans="1:35">
      <c r="A24" s="309" t="s">
        <v>139</v>
      </c>
      <c r="B24" s="333">
        <v>5119</v>
      </c>
      <c r="C24" s="333">
        <v>5119</v>
      </c>
      <c r="D24" s="333">
        <v>5119</v>
      </c>
      <c r="E24" s="333">
        <v>5119</v>
      </c>
      <c r="F24" s="333">
        <v>5119</v>
      </c>
      <c r="G24" s="333">
        <v>5148</v>
      </c>
      <c r="H24" s="333">
        <v>5148</v>
      </c>
      <c r="I24" s="183">
        <v>5148</v>
      </c>
      <c r="J24" s="333">
        <v>5148</v>
      </c>
      <c r="K24" s="333">
        <v>5148</v>
      </c>
      <c r="L24" s="333">
        <v>5148</v>
      </c>
      <c r="M24" s="333">
        <v>5148</v>
      </c>
      <c r="N24" s="333">
        <v>5195</v>
      </c>
      <c r="O24" s="183">
        <v>5195</v>
      </c>
      <c r="P24" s="183">
        <v>5195</v>
      </c>
      <c r="Q24" s="334">
        <v>5195</v>
      </c>
      <c r="R24" s="334">
        <v>5195</v>
      </c>
      <c r="S24" s="334">
        <v>5195</v>
      </c>
      <c r="T24" s="334">
        <v>5195</v>
      </c>
      <c r="U24" s="334">
        <v>5248</v>
      </c>
      <c r="V24" s="334">
        <v>5248</v>
      </c>
      <c r="W24" s="334">
        <v>5248</v>
      </c>
      <c r="X24" s="334">
        <v>5248</v>
      </c>
      <c r="Y24" s="334">
        <v>5248</v>
      </c>
      <c r="Z24" s="183">
        <v>5248</v>
      </c>
      <c r="AA24" s="183">
        <v>5248</v>
      </c>
      <c r="AB24" s="183">
        <v>5303</v>
      </c>
      <c r="AC24" s="183">
        <v>5303</v>
      </c>
      <c r="AD24" s="183">
        <v>5303</v>
      </c>
      <c r="AE24" s="183">
        <v>5303</v>
      </c>
      <c r="AF24" s="183">
        <v>5303</v>
      </c>
      <c r="AG24" s="323">
        <f t="shared" ref="AG24:AG29" si="0">AF24-AH24</f>
        <v>184</v>
      </c>
      <c r="AH24" s="333">
        <v>5119</v>
      </c>
      <c r="AI24" s="144">
        <v>184</v>
      </c>
    </row>
    <row r="25" spans="1:35">
      <c r="A25" s="309" t="s">
        <v>142</v>
      </c>
      <c r="B25" s="333">
        <v>2110</v>
      </c>
      <c r="C25" s="333">
        <v>2110</v>
      </c>
      <c r="D25" s="333">
        <v>2110</v>
      </c>
      <c r="E25" s="333">
        <v>2110</v>
      </c>
      <c r="F25" s="333">
        <v>2110</v>
      </c>
      <c r="G25" s="333">
        <v>2124</v>
      </c>
      <c r="H25" s="333">
        <v>2124</v>
      </c>
      <c r="I25" s="183">
        <v>2124</v>
      </c>
      <c r="J25" s="333">
        <v>2124</v>
      </c>
      <c r="K25" s="333">
        <v>2124</v>
      </c>
      <c r="L25" s="333">
        <v>2124</v>
      </c>
      <c r="M25" s="333">
        <v>2124</v>
      </c>
      <c r="N25" s="333">
        <v>2142</v>
      </c>
      <c r="O25" s="183">
        <v>2142</v>
      </c>
      <c r="P25" s="183">
        <v>2142</v>
      </c>
      <c r="Q25" s="334">
        <v>2142</v>
      </c>
      <c r="R25" s="334">
        <v>2142</v>
      </c>
      <c r="S25" s="334">
        <v>2142</v>
      </c>
      <c r="T25" s="334">
        <v>2142</v>
      </c>
      <c r="U25" s="334">
        <v>2159</v>
      </c>
      <c r="V25" s="334">
        <v>2159</v>
      </c>
      <c r="W25" s="334">
        <v>2159</v>
      </c>
      <c r="X25" s="334">
        <v>2159</v>
      </c>
      <c r="Y25" s="334">
        <v>2159</v>
      </c>
      <c r="Z25" s="183">
        <v>2159</v>
      </c>
      <c r="AA25" s="183">
        <v>2159</v>
      </c>
      <c r="AB25" s="183">
        <v>2179</v>
      </c>
      <c r="AC25" s="183">
        <v>2179</v>
      </c>
      <c r="AD25" s="183">
        <v>2179</v>
      </c>
      <c r="AE25" s="183">
        <v>2179</v>
      </c>
      <c r="AF25" s="183">
        <v>2179</v>
      </c>
      <c r="AG25" s="323">
        <f t="shared" si="0"/>
        <v>69</v>
      </c>
      <c r="AH25" s="333">
        <v>2110</v>
      </c>
      <c r="AI25" s="144">
        <v>69</v>
      </c>
    </row>
    <row r="26" spans="1:35">
      <c r="A26" s="309" t="s">
        <v>145</v>
      </c>
      <c r="B26" s="333">
        <v>958</v>
      </c>
      <c r="C26" s="333">
        <v>958</v>
      </c>
      <c r="D26" s="333">
        <v>958</v>
      </c>
      <c r="E26" s="333">
        <v>958</v>
      </c>
      <c r="F26" s="333">
        <v>958</v>
      </c>
      <c r="G26" s="333">
        <v>995</v>
      </c>
      <c r="H26" s="333">
        <v>995</v>
      </c>
      <c r="I26" s="183">
        <v>995</v>
      </c>
      <c r="J26" s="333">
        <v>995</v>
      </c>
      <c r="K26" s="333">
        <v>995</v>
      </c>
      <c r="L26" s="333">
        <v>995</v>
      </c>
      <c r="M26" s="333">
        <v>995</v>
      </c>
      <c r="N26" s="333">
        <v>1091</v>
      </c>
      <c r="O26" s="183">
        <v>1091</v>
      </c>
      <c r="P26" s="183">
        <v>1091</v>
      </c>
      <c r="Q26" s="334">
        <v>1091</v>
      </c>
      <c r="R26" s="334">
        <v>1091</v>
      </c>
      <c r="S26" s="334">
        <v>1091</v>
      </c>
      <c r="T26" s="334">
        <v>1091</v>
      </c>
      <c r="U26" s="334">
        <v>1129</v>
      </c>
      <c r="V26" s="334">
        <v>1129</v>
      </c>
      <c r="W26" s="334">
        <v>1129</v>
      </c>
      <c r="X26" s="334">
        <v>1129</v>
      </c>
      <c r="Y26" s="334">
        <v>1129</v>
      </c>
      <c r="Z26" s="183">
        <v>1129</v>
      </c>
      <c r="AA26" s="183">
        <v>1129</v>
      </c>
      <c r="AB26" s="183">
        <v>1143</v>
      </c>
      <c r="AC26" s="183">
        <v>1143</v>
      </c>
      <c r="AD26" s="183">
        <v>1143</v>
      </c>
      <c r="AE26" s="183">
        <v>1143</v>
      </c>
      <c r="AF26" s="183">
        <v>1143</v>
      </c>
      <c r="AG26" s="323">
        <f t="shared" si="0"/>
        <v>185</v>
      </c>
      <c r="AH26" s="333">
        <v>958</v>
      </c>
      <c r="AI26" s="144">
        <v>185</v>
      </c>
    </row>
    <row r="27" spans="1:35">
      <c r="A27" s="309" t="s">
        <v>148</v>
      </c>
      <c r="B27" s="333">
        <v>7842</v>
      </c>
      <c r="C27" s="333">
        <v>7842</v>
      </c>
      <c r="D27" s="333">
        <v>7842</v>
      </c>
      <c r="E27" s="333">
        <v>7842</v>
      </c>
      <c r="F27" s="333">
        <v>7842</v>
      </c>
      <c r="G27" s="333">
        <v>7897</v>
      </c>
      <c r="H27" s="333">
        <v>7897</v>
      </c>
      <c r="I27" s="183">
        <v>7897</v>
      </c>
      <c r="J27" s="333">
        <v>7897</v>
      </c>
      <c r="K27" s="333">
        <v>7897</v>
      </c>
      <c r="L27" s="333">
        <v>7897</v>
      </c>
      <c r="M27" s="333">
        <v>7897</v>
      </c>
      <c r="N27" s="333">
        <v>7946</v>
      </c>
      <c r="O27" s="183">
        <v>7946</v>
      </c>
      <c r="P27" s="183">
        <v>7946</v>
      </c>
      <c r="Q27" s="334">
        <v>7946</v>
      </c>
      <c r="R27" s="334">
        <v>7946</v>
      </c>
      <c r="S27" s="334">
        <v>7946</v>
      </c>
      <c r="T27" s="334">
        <v>7946</v>
      </c>
      <c r="U27" s="334">
        <v>8010</v>
      </c>
      <c r="V27" s="334">
        <v>8010</v>
      </c>
      <c r="W27" s="334">
        <v>8010</v>
      </c>
      <c r="X27" s="334">
        <v>8010</v>
      </c>
      <c r="Y27" s="334">
        <v>8010</v>
      </c>
      <c r="Z27" s="183">
        <v>8010</v>
      </c>
      <c r="AA27" s="183">
        <v>8010</v>
      </c>
      <c r="AB27" s="183">
        <v>8093</v>
      </c>
      <c r="AC27" s="183">
        <v>8093</v>
      </c>
      <c r="AD27" s="183">
        <v>8093</v>
      </c>
      <c r="AE27" s="183">
        <v>8093</v>
      </c>
      <c r="AF27" s="183">
        <v>8093</v>
      </c>
      <c r="AG27" s="323">
        <f t="shared" si="0"/>
        <v>251</v>
      </c>
      <c r="AH27" s="333">
        <v>7842</v>
      </c>
      <c r="AI27" s="144">
        <v>251</v>
      </c>
    </row>
    <row r="28" spans="1:35">
      <c r="A28" s="309" t="s">
        <v>151</v>
      </c>
      <c r="B28" s="333">
        <v>1321</v>
      </c>
      <c r="C28" s="333">
        <v>1321</v>
      </c>
      <c r="D28" s="333">
        <v>1321</v>
      </c>
      <c r="E28" s="333">
        <v>1321</v>
      </c>
      <c r="F28" s="333">
        <v>1321</v>
      </c>
      <c r="G28" s="333">
        <v>1332</v>
      </c>
      <c r="H28" s="333">
        <v>1332</v>
      </c>
      <c r="I28" s="183">
        <v>1332</v>
      </c>
      <c r="J28" s="333">
        <v>1332</v>
      </c>
      <c r="K28" s="333">
        <v>1332</v>
      </c>
      <c r="L28" s="333">
        <v>1332</v>
      </c>
      <c r="M28" s="333">
        <v>1332</v>
      </c>
      <c r="N28" s="333">
        <v>1332</v>
      </c>
      <c r="O28" s="183">
        <v>1332</v>
      </c>
      <c r="P28" s="183">
        <v>1332</v>
      </c>
      <c r="Q28" s="334">
        <v>1332</v>
      </c>
      <c r="R28" s="334">
        <v>1332</v>
      </c>
      <c r="S28" s="334">
        <v>1332</v>
      </c>
      <c r="T28" s="334">
        <v>1332</v>
      </c>
      <c r="U28" s="334">
        <v>1330</v>
      </c>
      <c r="V28" s="334">
        <v>1330</v>
      </c>
      <c r="W28" s="334">
        <v>1330</v>
      </c>
      <c r="X28" s="334">
        <v>1330</v>
      </c>
      <c r="Y28" s="334">
        <v>1330</v>
      </c>
      <c r="Z28" s="183">
        <v>1330</v>
      </c>
      <c r="AA28" s="183">
        <v>1330</v>
      </c>
      <c r="AB28" s="183">
        <v>1330</v>
      </c>
      <c r="AC28" s="183">
        <v>1330</v>
      </c>
      <c r="AD28" s="183">
        <v>1330</v>
      </c>
      <c r="AE28" s="183">
        <v>1330</v>
      </c>
      <c r="AF28" s="183">
        <v>1330</v>
      </c>
      <c r="AG28" s="323">
        <f t="shared" si="0"/>
        <v>9</v>
      </c>
      <c r="AH28" s="333">
        <v>1321</v>
      </c>
      <c r="AI28" s="144">
        <v>9</v>
      </c>
    </row>
    <row r="29" spans="1:35">
      <c r="A29" s="309" t="s">
        <v>154</v>
      </c>
      <c r="B29" s="333">
        <v>671</v>
      </c>
      <c r="C29" s="333">
        <v>671</v>
      </c>
      <c r="D29" s="333">
        <v>671</v>
      </c>
      <c r="E29" s="333">
        <v>671</v>
      </c>
      <c r="F29" s="333">
        <v>671</v>
      </c>
      <c r="G29" s="333">
        <v>675</v>
      </c>
      <c r="H29" s="333">
        <v>675</v>
      </c>
      <c r="I29" s="183">
        <v>675</v>
      </c>
      <c r="J29" s="333">
        <v>675</v>
      </c>
      <c r="K29" s="333">
        <v>675</v>
      </c>
      <c r="L29" s="333">
        <v>675</v>
      </c>
      <c r="M29" s="333">
        <v>675</v>
      </c>
      <c r="N29" s="333">
        <v>679</v>
      </c>
      <c r="O29" s="183">
        <v>679</v>
      </c>
      <c r="P29" s="183">
        <v>679</v>
      </c>
      <c r="Q29" s="334">
        <v>679</v>
      </c>
      <c r="R29" s="334">
        <v>679</v>
      </c>
      <c r="S29" s="334">
        <v>679</v>
      </c>
      <c r="T29" s="334">
        <v>679</v>
      </c>
      <c r="U29" s="334">
        <v>682</v>
      </c>
      <c r="V29" s="334">
        <v>682</v>
      </c>
      <c r="W29" s="334">
        <v>682</v>
      </c>
      <c r="X29" s="334">
        <v>682</v>
      </c>
      <c r="Y29" s="334">
        <v>682</v>
      </c>
      <c r="Z29" s="183">
        <v>682</v>
      </c>
      <c r="AA29" s="183">
        <v>682</v>
      </c>
      <c r="AB29" s="183">
        <v>686</v>
      </c>
      <c r="AC29" s="183">
        <v>686</v>
      </c>
      <c r="AD29" s="183">
        <v>686</v>
      </c>
      <c r="AE29" s="183">
        <v>686</v>
      </c>
      <c r="AF29" s="183">
        <v>686</v>
      </c>
      <c r="AG29" s="323">
        <f t="shared" si="0"/>
        <v>15</v>
      </c>
      <c r="AH29" s="333">
        <v>671</v>
      </c>
      <c r="AI29" s="144">
        <v>15</v>
      </c>
    </row>
    <row r="30" spans="1:35">
      <c r="A30" s="303"/>
      <c r="B30" s="328"/>
      <c r="C30" s="328"/>
      <c r="D30" s="328"/>
      <c r="E30" s="328"/>
      <c r="F30" s="328"/>
      <c r="G30" s="328"/>
      <c r="H30" s="328"/>
      <c r="I30" s="162"/>
      <c r="J30" s="328"/>
      <c r="K30" s="328"/>
      <c r="L30" s="328"/>
      <c r="M30" s="328"/>
      <c r="N30" s="328"/>
      <c r="O30" s="162"/>
      <c r="P30" s="162"/>
      <c r="Q30" s="341"/>
      <c r="R30" s="218"/>
      <c r="S30" s="218"/>
      <c r="T30" s="218"/>
      <c r="U30" s="218"/>
      <c r="V30" s="218"/>
      <c r="W30" s="218"/>
      <c r="X30" s="218"/>
      <c r="Y30" s="218"/>
      <c r="Z30" s="162"/>
      <c r="AA30" s="162"/>
      <c r="AB30" s="162"/>
      <c r="AC30" s="162"/>
      <c r="AD30" s="162"/>
      <c r="AE30" s="162"/>
      <c r="AF30" s="162"/>
      <c r="AG30" s="304"/>
      <c r="AH30" s="328"/>
    </row>
    <row r="31" spans="1:35">
      <c r="A31" s="282" t="s">
        <v>74</v>
      </c>
      <c r="B31" s="329" t="s">
        <v>157</v>
      </c>
      <c r="C31" s="329" t="s">
        <v>157</v>
      </c>
      <c r="D31" s="329" t="s">
        <v>157</v>
      </c>
      <c r="E31" s="329" t="s">
        <v>157</v>
      </c>
      <c r="F31" s="329" t="s">
        <v>157</v>
      </c>
      <c r="G31" s="329" t="s">
        <v>157</v>
      </c>
      <c r="H31" s="329" t="s">
        <v>157</v>
      </c>
      <c r="I31" s="181" t="s">
        <v>157</v>
      </c>
      <c r="J31" s="329" t="s">
        <v>157</v>
      </c>
      <c r="K31" s="329" t="s">
        <v>157</v>
      </c>
      <c r="L31" s="329" t="s">
        <v>157</v>
      </c>
      <c r="M31" s="329" t="s">
        <v>157</v>
      </c>
      <c r="N31" s="329" t="s">
        <v>157</v>
      </c>
      <c r="O31" s="181" t="s">
        <v>157</v>
      </c>
      <c r="P31" s="181" t="s">
        <v>157</v>
      </c>
      <c r="Q31" s="342" t="s">
        <v>157</v>
      </c>
      <c r="R31" s="330" t="s">
        <v>1353</v>
      </c>
      <c r="S31" s="330" t="s">
        <v>1353</v>
      </c>
      <c r="T31" s="330" t="s">
        <v>1353</v>
      </c>
      <c r="U31" s="330" t="s">
        <v>1353</v>
      </c>
      <c r="V31" s="330" t="s">
        <v>1353</v>
      </c>
      <c r="W31" s="330" t="s">
        <v>1353</v>
      </c>
      <c r="X31" s="330" t="s">
        <v>1353</v>
      </c>
      <c r="Y31" s="330" t="s">
        <v>1353</v>
      </c>
      <c r="Z31" s="181" t="s">
        <v>157</v>
      </c>
      <c r="AA31" s="181" t="s">
        <v>157</v>
      </c>
      <c r="AB31" s="181" t="s">
        <v>157</v>
      </c>
      <c r="AC31" s="181" t="s">
        <v>157</v>
      </c>
      <c r="AD31" s="181" t="s">
        <v>157</v>
      </c>
      <c r="AE31" s="181" t="s">
        <v>157</v>
      </c>
      <c r="AF31" s="181" t="s">
        <v>157</v>
      </c>
      <c r="AG31" s="296"/>
      <c r="AH31" s="329" t="s">
        <v>157</v>
      </c>
    </row>
    <row r="32" spans="1:35" ht="25.5">
      <c r="A32" s="282" t="s">
        <v>77</v>
      </c>
      <c r="B32" s="343" t="s">
        <v>78</v>
      </c>
      <c r="C32" s="343" t="s">
        <v>78</v>
      </c>
      <c r="D32" s="343" t="s">
        <v>78</v>
      </c>
      <c r="E32" s="343" t="s">
        <v>78</v>
      </c>
      <c r="F32" s="343" t="s">
        <v>78</v>
      </c>
      <c r="G32" s="343" t="s">
        <v>78</v>
      </c>
      <c r="H32" s="343" t="s">
        <v>78</v>
      </c>
      <c r="I32" s="190" t="s">
        <v>78</v>
      </c>
      <c r="J32" s="343" t="s">
        <v>78</v>
      </c>
      <c r="K32" s="343" t="s">
        <v>78</v>
      </c>
      <c r="L32" s="343" t="s">
        <v>78</v>
      </c>
      <c r="M32" s="343" t="s">
        <v>78</v>
      </c>
      <c r="N32" s="343" t="s">
        <v>78</v>
      </c>
      <c r="O32" s="190" t="s">
        <v>78</v>
      </c>
      <c r="P32" s="190" t="s">
        <v>78</v>
      </c>
      <c r="Q32" s="344" t="s">
        <v>78</v>
      </c>
      <c r="R32" s="345" t="s">
        <v>1354</v>
      </c>
      <c r="S32" s="345" t="s">
        <v>1354</v>
      </c>
      <c r="T32" s="345" t="s">
        <v>1354</v>
      </c>
      <c r="U32" s="345" t="s">
        <v>1354</v>
      </c>
      <c r="V32" s="345" t="s">
        <v>1354</v>
      </c>
      <c r="W32" s="345" t="s">
        <v>1354</v>
      </c>
      <c r="X32" s="345" t="s">
        <v>1354</v>
      </c>
      <c r="Y32" s="345" t="s">
        <v>1354</v>
      </c>
      <c r="Z32" s="190" t="s">
        <v>78</v>
      </c>
      <c r="AA32" s="190" t="s">
        <v>78</v>
      </c>
      <c r="AB32" s="190" t="s">
        <v>78</v>
      </c>
      <c r="AC32" s="190" t="s">
        <v>78</v>
      </c>
      <c r="AD32" s="190" t="s">
        <v>78</v>
      </c>
      <c r="AE32" s="190" t="s">
        <v>78</v>
      </c>
      <c r="AF32" s="190" t="s">
        <v>78</v>
      </c>
      <c r="AG32" s="209"/>
      <c r="AH32" s="343" t="s">
        <v>78</v>
      </c>
    </row>
    <row r="33" spans="1:34" ht="25.5">
      <c r="A33" s="282" t="s">
        <v>80</v>
      </c>
      <c r="B33" s="346" t="s">
        <v>1347</v>
      </c>
      <c r="C33" s="346" t="s">
        <v>1355</v>
      </c>
      <c r="D33" s="346" t="s">
        <v>1349</v>
      </c>
      <c r="E33" s="346" t="s">
        <v>1328</v>
      </c>
      <c r="F33" s="346" t="s">
        <v>1328</v>
      </c>
      <c r="G33" s="346" t="s">
        <v>1356</v>
      </c>
      <c r="H33" s="346" t="s">
        <v>1357</v>
      </c>
      <c r="I33" s="187" t="s">
        <v>1309</v>
      </c>
      <c r="J33" s="346" t="s">
        <v>1309</v>
      </c>
      <c r="K33" s="346" t="s">
        <v>1309</v>
      </c>
      <c r="L33" s="346" t="s">
        <v>1358</v>
      </c>
      <c r="M33" s="346" t="s">
        <v>1358</v>
      </c>
      <c r="N33" s="346" t="s">
        <v>1312</v>
      </c>
      <c r="O33" s="187" t="s">
        <v>1359</v>
      </c>
      <c r="P33" s="187" t="s">
        <v>1360</v>
      </c>
      <c r="Q33" s="347" t="s">
        <v>1361</v>
      </c>
      <c r="R33" s="345" t="s">
        <v>1362</v>
      </c>
      <c r="S33" s="345" t="s">
        <v>1363</v>
      </c>
      <c r="T33" s="345" t="s">
        <v>1363</v>
      </c>
      <c r="U33" s="345" t="s">
        <v>1364</v>
      </c>
      <c r="V33" s="345" t="s">
        <v>1365</v>
      </c>
      <c r="W33" s="345" t="s">
        <v>1364</v>
      </c>
      <c r="X33" s="345" t="s">
        <v>1365</v>
      </c>
      <c r="Y33" s="345" t="s">
        <v>1366</v>
      </c>
      <c r="Z33" s="187" t="s">
        <v>1367</v>
      </c>
      <c r="AA33" s="187" t="s">
        <v>1367</v>
      </c>
      <c r="AB33" s="187" t="s">
        <v>1368</v>
      </c>
      <c r="AC33" s="187" t="s">
        <v>1369</v>
      </c>
      <c r="AD33" s="187" t="s">
        <v>1370</v>
      </c>
      <c r="AE33" s="187" t="s">
        <v>1371</v>
      </c>
      <c r="AF33" s="187" t="s">
        <v>1372</v>
      </c>
      <c r="AG33" s="209"/>
      <c r="AH33" s="346" t="s">
        <v>1373</v>
      </c>
    </row>
    <row r="34" spans="1:34" ht="15.75" thickBot="1">
      <c r="A34" s="310" t="s">
        <v>81</v>
      </c>
      <c r="B34" s="346" t="s">
        <v>1374</v>
      </c>
      <c r="C34" s="346" t="s">
        <v>1374</v>
      </c>
      <c r="D34" s="346" t="s">
        <v>1374</v>
      </c>
      <c r="E34" s="346" t="s">
        <v>1374</v>
      </c>
      <c r="F34" s="346" t="s">
        <v>1374</v>
      </c>
      <c r="G34" s="346" t="s">
        <v>1374</v>
      </c>
      <c r="H34" s="346" t="s">
        <v>1374</v>
      </c>
      <c r="I34" s="187" t="s">
        <v>1374</v>
      </c>
      <c r="J34" s="346" t="s">
        <v>1374</v>
      </c>
      <c r="K34" s="346" t="s">
        <v>1374</v>
      </c>
      <c r="L34" s="346" t="s">
        <v>1374</v>
      </c>
      <c r="M34" s="346" t="s">
        <v>1374</v>
      </c>
      <c r="N34" s="346" t="s">
        <v>1374</v>
      </c>
      <c r="O34" s="187" t="s">
        <v>1374</v>
      </c>
      <c r="P34" s="187" t="s">
        <v>1374</v>
      </c>
      <c r="Q34" s="347" t="s">
        <v>1375</v>
      </c>
      <c r="R34" s="345" t="s">
        <v>1376</v>
      </c>
      <c r="S34" s="345" t="s">
        <v>1376</v>
      </c>
      <c r="T34" s="345" t="s">
        <v>1376</v>
      </c>
      <c r="U34" s="345" t="s">
        <v>1376</v>
      </c>
      <c r="V34" s="345" t="s">
        <v>1376</v>
      </c>
      <c r="W34" s="345" t="s">
        <v>1376</v>
      </c>
      <c r="X34" s="345" t="s">
        <v>1376</v>
      </c>
      <c r="Y34" s="345" t="s">
        <v>1376</v>
      </c>
      <c r="Z34" s="187" t="s">
        <v>1374</v>
      </c>
      <c r="AA34" s="187" t="s">
        <v>1374</v>
      </c>
      <c r="AB34" s="187" t="s">
        <v>1374</v>
      </c>
      <c r="AC34" s="187" t="s">
        <v>1374</v>
      </c>
      <c r="AD34" s="187" t="s">
        <v>1374</v>
      </c>
      <c r="AE34" s="187" t="s">
        <v>1374</v>
      </c>
      <c r="AF34" s="187" t="s">
        <v>1374</v>
      </c>
      <c r="AG34" s="209"/>
      <c r="AH34" s="346" t="s">
        <v>1374</v>
      </c>
    </row>
    <row r="35" spans="1:34">
      <c r="AG35" s="211"/>
    </row>
    <row r="36" spans="1:34">
      <c r="AG36" s="211"/>
    </row>
  </sheetData>
  <mergeCells count="1">
    <mergeCell ref="A1:AH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957B-6F2B-4622-A974-45D6BD87DFE9}">
  <dimension ref="A1:AM36"/>
  <sheetViews>
    <sheetView topLeftCell="O1" workbookViewId="0">
      <selection activeCell="AI22" sqref="AI22"/>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1" width="12.85546875" style="144" customWidth="1"/>
    <col min="32" max="33" width="9.140625" style="144"/>
    <col min="34" max="34" width="12.85546875" style="144" customWidth="1"/>
    <col min="35" max="35" width="11" style="144" customWidth="1"/>
    <col min="36" max="36" width="11.42578125" style="144" customWidth="1"/>
    <col min="37" max="16384" width="9.140625" style="144"/>
  </cols>
  <sheetData>
    <row r="1" spans="1:39"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9" ht="15.75">
      <c r="A2" s="280"/>
      <c r="B2" s="281">
        <v>44713</v>
      </c>
      <c r="C2" s="281">
        <v>44714</v>
      </c>
      <c r="D2" s="281">
        <v>44715</v>
      </c>
      <c r="E2" s="281">
        <v>44716</v>
      </c>
      <c r="F2" s="281">
        <v>44717</v>
      </c>
      <c r="G2" s="281">
        <v>44718</v>
      </c>
      <c r="H2" s="281">
        <v>44719</v>
      </c>
      <c r="I2" s="281">
        <v>44720</v>
      </c>
      <c r="J2" s="281">
        <v>44721</v>
      </c>
      <c r="K2" s="281">
        <v>44722</v>
      </c>
      <c r="L2" s="281">
        <v>44723</v>
      </c>
      <c r="M2" s="281">
        <v>44724</v>
      </c>
      <c r="N2" s="281">
        <v>44725</v>
      </c>
      <c r="O2" s="281">
        <v>44726</v>
      </c>
      <c r="P2" s="281">
        <v>44727</v>
      </c>
      <c r="Q2" s="281">
        <v>44728</v>
      </c>
      <c r="R2" s="281">
        <v>44729</v>
      </c>
      <c r="S2" s="281">
        <v>44730</v>
      </c>
      <c r="T2" s="281">
        <v>44731</v>
      </c>
      <c r="U2" s="281">
        <v>44732</v>
      </c>
      <c r="V2" s="281">
        <v>44733</v>
      </c>
      <c r="W2" s="281">
        <v>44734</v>
      </c>
      <c r="X2" s="281">
        <v>44735</v>
      </c>
      <c r="Y2" s="281">
        <v>44736</v>
      </c>
      <c r="Z2" s="281">
        <v>44737</v>
      </c>
      <c r="AA2" s="281">
        <v>44738</v>
      </c>
      <c r="AB2" s="281">
        <v>44739</v>
      </c>
      <c r="AC2" s="281">
        <v>44740</v>
      </c>
      <c r="AD2" s="281">
        <v>44741</v>
      </c>
      <c r="AE2" s="281">
        <v>44742</v>
      </c>
      <c r="AF2" s="281"/>
      <c r="AG2" s="281"/>
      <c r="AH2" s="281">
        <v>44712</v>
      </c>
    </row>
    <row r="3" spans="1:39"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71"/>
      <c r="AG3" s="317"/>
      <c r="AH3" s="283" t="s">
        <v>53</v>
      </c>
    </row>
    <row r="4" spans="1:39" ht="20.100000000000001" customHeight="1">
      <c r="A4" s="285" t="s">
        <v>54</v>
      </c>
      <c r="B4" s="212">
        <v>232351</v>
      </c>
      <c r="C4" s="212">
        <v>232562</v>
      </c>
      <c r="D4" s="212">
        <v>232775</v>
      </c>
      <c r="E4" s="212">
        <v>232970</v>
      </c>
      <c r="F4" s="212">
        <v>233182</v>
      </c>
      <c r="G4" s="212">
        <v>233396</v>
      </c>
      <c r="H4" s="212">
        <v>233614</v>
      </c>
      <c r="I4" s="212">
        <v>233832</v>
      </c>
      <c r="J4" s="212">
        <v>234055</v>
      </c>
      <c r="K4" s="212">
        <v>234273</v>
      </c>
      <c r="L4" s="212">
        <v>234480</v>
      </c>
      <c r="M4" s="212">
        <v>234696</v>
      </c>
      <c r="N4" s="212">
        <v>234921</v>
      </c>
      <c r="O4" s="212">
        <v>235138</v>
      </c>
      <c r="P4" s="212">
        <v>235359</v>
      </c>
      <c r="Q4" s="212">
        <v>235578</v>
      </c>
      <c r="R4" s="212">
        <v>235797</v>
      </c>
      <c r="S4" s="212">
        <v>236002</v>
      </c>
      <c r="T4" s="212">
        <v>236210</v>
      </c>
      <c r="U4" s="212">
        <v>236434</v>
      </c>
      <c r="V4" s="212">
        <v>236656</v>
      </c>
      <c r="W4" s="212">
        <v>236885</v>
      </c>
      <c r="X4" s="212">
        <v>237108</v>
      </c>
      <c r="Y4" s="212">
        <v>237327</v>
      </c>
      <c r="Z4" s="212">
        <v>237541</v>
      </c>
      <c r="AA4" s="212">
        <v>237769</v>
      </c>
      <c r="AB4" s="212">
        <v>237998</v>
      </c>
      <c r="AC4" s="212">
        <v>238221</v>
      </c>
      <c r="AD4" s="212">
        <v>238446</v>
      </c>
      <c r="AE4" s="212">
        <v>238666</v>
      </c>
      <c r="AF4" s="287"/>
      <c r="AG4" s="287"/>
      <c r="AH4" s="212">
        <v>232135</v>
      </c>
      <c r="AI4" s="318"/>
      <c r="AJ4" s="318"/>
      <c r="AM4" s="288"/>
    </row>
    <row r="5" spans="1:39" ht="20.100000000000001" customHeight="1">
      <c r="A5" s="285" t="s">
        <v>55</v>
      </c>
      <c r="B5" s="212">
        <v>6011113</v>
      </c>
      <c r="C5" s="212">
        <v>6018346</v>
      </c>
      <c r="D5" s="212">
        <v>6025367</v>
      </c>
      <c r="E5" s="212">
        <v>6031379</v>
      </c>
      <c r="F5" s="212">
        <v>6038610</v>
      </c>
      <c r="G5" s="212">
        <v>6045938</v>
      </c>
      <c r="H5" s="212">
        <v>6053346</v>
      </c>
      <c r="I5" s="212">
        <v>6060754</v>
      </c>
      <c r="J5" s="212">
        <v>6068043</v>
      </c>
      <c r="K5" s="212">
        <v>6075061</v>
      </c>
      <c r="L5" s="212">
        <v>6081697</v>
      </c>
      <c r="M5" s="212">
        <v>6088629</v>
      </c>
      <c r="N5" s="212">
        <v>6096240</v>
      </c>
      <c r="O5" s="212">
        <v>6103168</v>
      </c>
      <c r="P5" s="212">
        <v>6110323</v>
      </c>
      <c r="Q5" s="212">
        <v>6117422</v>
      </c>
      <c r="R5" s="212">
        <v>6124654</v>
      </c>
      <c r="S5" s="212">
        <v>6131269</v>
      </c>
      <c r="T5" s="212">
        <v>6138157</v>
      </c>
      <c r="U5" s="212">
        <v>6145609</v>
      </c>
      <c r="V5" s="212">
        <v>6152965</v>
      </c>
      <c r="W5" s="212">
        <v>6160622</v>
      </c>
      <c r="X5" s="212">
        <v>6168214</v>
      </c>
      <c r="Y5" s="212">
        <v>6175386</v>
      </c>
      <c r="Z5" s="212">
        <v>6182170</v>
      </c>
      <c r="AA5" s="212">
        <v>6189318</v>
      </c>
      <c r="AB5" s="212">
        <v>6196901</v>
      </c>
      <c r="AC5" s="212">
        <v>6204252</v>
      </c>
      <c r="AD5" s="212">
        <v>6211592</v>
      </c>
      <c r="AE5" s="212">
        <v>6219224</v>
      </c>
      <c r="AF5" s="287"/>
      <c r="AG5" s="287"/>
      <c r="AH5" s="212">
        <v>6003897</v>
      </c>
      <c r="AI5" s="318"/>
      <c r="AJ5" s="318"/>
      <c r="AM5" s="288"/>
    </row>
    <row r="6" spans="1:39" ht="20.100000000000001" customHeight="1">
      <c r="A6" s="285" t="s">
        <v>56</v>
      </c>
      <c r="B6" s="212">
        <v>2920533</v>
      </c>
      <c r="C6" s="212">
        <v>2924068</v>
      </c>
      <c r="D6" s="212">
        <v>2928014</v>
      </c>
      <c r="E6" s="212">
        <v>2931242</v>
      </c>
      <c r="F6" s="212">
        <v>2934609</v>
      </c>
      <c r="G6" s="212">
        <v>2938125</v>
      </c>
      <c r="H6" s="212">
        <v>2941678</v>
      </c>
      <c r="I6" s="212">
        <v>2945231</v>
      </c>
      <c r="J6" s="212">
        <v>2949065</v>
      </c>
      <c r="K6" s="212">
        <v>2952526</v>
      </c>
      <c r="L6" s="212">
        <v>2955694</v>
      </c>
      <c r="M6" s="212">
        <v>2959239</v>
      </c>
      <c r="N6" s="212">
        <v>2963029</v>
      </c>
      <c r="O6" s="212">
        <v>2966713</v>
      </c>
      <c r="P6" s="212">
        <v>2970379</v>
      </c>
      <c r="Q6" s="212">
        <v>2974072</v>
      </c>
      <c r="R6" s="212">
        <v>2977550</v>
      </c>
      <c r="S6" s="212">
        <v>2980714</v>
      </c>
      <c r="T6" s="212">
        <v>2983988</v>
      </c>
      <c r="U6" s="212">
        <v>2987512</v>
      </c>
      <c r="V6" s="212">
        <v>2991075</v>
      </c>
      <c r="W6" s="212">
        <v>2994929</v>
      </c>
      <c r="X6" s="212">
        <v>2998425</v>
      </c>
      <c r="Y6" s="212">
        <v>3001774</v>
      </c>
      <c r="Z6" s="212">
        <v>3004930</v>
      </c>
      <c r="AA6" s="212">
        <v>3008291</v>
      </c>
      <c r="AB6" s="212">
        <v>3011808</v>
      </c>
      <c r="AC6" s="212">
        <v>3015277</v>
      </c>
      <c r="AD6" s="212">
        <v>3018723</v>
      </c>
      <c r="AE6" s="212">
        <v>3022204</v>
      </c>
      <c r="AF6" s="287"/>
      <c r="AG6" s="287"/>
      <c r="AH6" s="212">
        <v>2916892</v>
      </c>
      <c r="AI6" s="318"/>
      <c r="AJ6" s="318"/>
      <c r="AM6" s="288"/>
    </row>
    <row r="7" spans="1:39" ht="20.100000000000001" customHeight="1">
      <c r="A7" s="285" t="s">
        <v>57</v>
      </c>
      <c r="B7" s="212">
        <v>7211783</v>
      </c>
      <c r="C7" s="212">
        <v>7218309</v>
      </c>
      <c r="D7" s="212">
        <v>7223729</v>
      </c>
      <c r="E7" s="212">
        <v>7230370</v>
      </c>
      <c r="F7" s="212">
        <v>7243007</v>
      </c>
      <c r="G7" s="212">
        <v>7255499</v>
      </c>
      <c r="H7" s="212">
        <v>7268486</v>
      </c>
      <c r="I7" s="212">
        <v>7281473</v>
      </c>
      <c r="J7" s="212">
        <v>7291239</v>
      </c>
      <c r="K7" s="212">
        <v>7302034</v>
      </c>
      <c r="L7" s="212">
        <v>7313788</v>
      </c>
      <c r="M7" s="212">
        <v>7320543</v>
      </c>
      <c r="N7" s="212">
        <v>7327706</v>
      </c>
      <c r="O7" s="212">
        <v>7335280</v>
      </c>
      <c r="P7" s="212">
        <v>7342836</v>
      </c>
      <c r="Q7" s="212">
        <v>7349875</v>
      </c>
      <c r="R7" s="212">
        <v>7356673</v>
      </c>
      <c r="S7" s="212">
        <v>7362245</v>
      </c>
      <c r="T7" s="212">
        <v>7362320</v>
      </c>
      <c r="U7" s="212">
        <v>7362394</v>
      </c>
      <c r="V7" s="212">
        <v>7362470</v>
      </c>
      <c r="W7" s="212">
        <v>7362548</v>
      </c>
      <c r="X7" s="212">
        <v>7362626</v>
      </c>
      <c r="Y7" s="212">
        <v>7362703</v>
      </c>
      <c r="Z7" s="212">
        <v>7363731</v>
      </c>
      <c r="AA7" s="212">
        <v>7370902</v>
      </c>
      <c r="AB7" s="212">
        <v>7378073</v>
      </c>
      <c r="AC7" s="212">
        <v>7385018</v>
      </c>
      <c r="AD7" s="212">
        <v>7392013</v>
      </c>
      <c r="AE7" s="212">
        <v>7399265</v>
      </c>
      <c r="AF7" s="287"/>
      <c r="AG7" s="287"/>
      <c r="AH7" s="212">
        <v>7205366</v>
      </c>
      <c r="AI7" s="318"/>
      <c r="AJ7" s="318"/>
      <c r="AM7" s="288"/>
    </row>
    <row r="8" spans="1:39" ht="20.100000000000001" customHeight="1">
      <c r="A8" s="285" t="s">
        <v>58</v>
      </c>
      <c r="B8" s="212">
        <v>2349901</v>
      </c>
      <c r="C8" s="212">
        <v>2351937</v>
      </c>
      <c r="D8" s="212">
        <v>2353637</v>
      </c>
      <c r="E8" s="212">
        <v>2355230</v>
      </c>
      <c r="F8" s="212">
        <v>2355230</v>
      </c>
      <c r="G8" s="212">
        <v>2355230</v>
      </c>
      <c r="H8" s="212">
        <v>2355230</v>
      </c>
      <c r="I8" s="212">
        <v>2355230</v>
      </c>
      <c r="J8" s="212">
        <v>2356543</v>
      </c>
      <c r="K8" s="212">
        <v>2357155</v>
      </c>
      <c r="L8" s="212">
        <v>2357424</v>
      </c>
      <c r="M8" s="212">
        <v>2359559</v>
      </c>
      <c r="N8" s="212">
        <v>2361821</v>
      </c>
      <c r="O8" s="212">
        <v>2364192</v>
      </c>
      <c r="P8" s="212">
        <v>2366580</v>
      </c>
      <c r="Q8" s="212">
        <v>2368797</v>
      </c>
      <c r="R8" s="212">
        <v>2370938</v>
      </c>
      <c r="S8" s="212">
        <v>2373301</v>
      </c>
      <c r="T8" s="212">
        <v>2377718</v>
      </c>
      <c r="U8" s="212">
        <v>2382342</v>
      </c>
      <c r="V8" s="212">
        <v>2386864</v>
      </c>
      <c r="W8" s="212">
        <v>2391479</v>
      </c>
      <c r="X8" s="212">
        <v>2396521</v>
      </c>
      <c r="Y8" s="212">
        <v>2401920</v>
      </c>
      <c r="Z8" s="212">
        <v>2406699</v>
      </c>
      <c r="AA8" s="212">
        <v>2408915</v>
      </c>
      <c r="AB8" s="212">
        <v>2411142</v>
      </c>
      <c r="AC8" s="212">
        <v>2413310</v>
      </c>
      <c r="AD8" s="212">
        <v>2415451</v>
      </c>
      <c r="AE8" s="212">
        <v>2417664</v>
      </c>
      <c r="AF8" s="287"/>
      <c r="AG8" s="287"/>
      <c r="AH8" s="212">
        <v>2347897</v>
      </c>
      <c r="AI8" s="318"/>
      <c r="AJ8" s="318"/>
      <c r="AM8" s="288"/>
    </row>
    <row r="9" spans="1:39" ht="20.100000000000001" customHeight="1">
      <c r="A9" s="285" t="s">
        <v>59</v>
      </c>
      <c r="B9" s="214">
        <v>15328566</v>
      </c>
      <c r="C9" s="214">
        <v>15341072</v>
      </c>
      <c r="D9" s="214">
        <v>15351304</v>
      </c>
      <c r="E9" s="214">
        <v>15362935</v>
      </c>
      <c r="F9" s="214">
        <v>15375372</v>
      </c>
      <c r="G9" s="214">
        <v>15387966</v>
      </c>
      <c r="H9" s="214">
        <v>15400908</v>
      </c>
      <c r="I9" s="214">
        <v>15413850</v>
      </c>
      <c r="J9" s="214">
        <v>15426883</v>
      </c>
      <c r="K9" s="214">
        <v>15439195</v>
      </c>
      <c r="L9" s="214">
        <v>15451249</v>
      </c>
      <c r="M9" s="214">
        <v>15463746</v>
      </c>
      <c r="N9" s="214">
        <v>15476847</v>
      </c>
      <c r="O9" s="214">
        <v>15490146</v>
      </c>
      <c r="P9" s="214">
        <v>15503653</v>
      </c>
      <c r="Q9" s="214">
        <v>15516779</v>
      </c>
      <c r="R9" s="214">
        <v>15529565</v>
      </c>
      <c r="S9" s="214">
        <v>15541857</v>
      </c>
      <c r="T9" s="214">
        <v>15554647</v>
      </c>
      <c r="U9" s="214">
        <v>15567949</v>
      </c>
      <c r="V9" s="214">
        <v>15580983</v>
      </c>
      <c r="W9" s="214">
        <v>15594134</v>
      </c>
      <c r="X9" s="214">
        <v>15607825</v>
      </c>
      <c r="Y9" s="214">
        <v>15621538</v>
      </c>
      <c r="Z9" s="214">
        <v>15635069</v>
      </c>
      <c r="AA9" s="214">
        <v>15648307</v>
      </c>
      <c r="AB9" s="214">
        <v>15661578</v>
      </c>
      <c r="AC9" s="214">
        <v>15674445</v>
      </c>
      <c r="AD9" s="214">
        <v>15687231</v>
      </c>
      <c r="AE9" s="214">
        <v>15699988</v>
      </c>
      <c r="AF9" s="290"/>
      <c r="AG9" s="290"/>
      <c r="AH9" s="214">
        <v>15316090</v>
      </c>
      <c r="AI9" s="318"/>
      <c r="AJ9" s="318"/>
      <c r="AM9" s="288"/>
    </row>
    <row r="10" spans="1:39" ht="20.100000000000001" customHeight="1">
      <c r="A10" s="285" t="s">
        <v>60</v>
      </c>
      <c r="B10" s="212">
        <v>4776327</v>
      </c>
      <c r="C10" s="212">
        <v>4780747</v>
      </c>
      <c r="D10" s="212">
        <v>4784420</v>
      </c>
      <c r="E10" s="212">
        <v>4787073</v>
      </c>
      <c r="F10" s="212">
        <v>4790985</v>
      </c>
      <c r="G10" s="212">
        <v>4795439</v>
      </c>
      <c r="H10" s="212">
        <v>4799799</v>
      </c>
      <c r="I10" s="212">
        <v>4804159</v>
      </c>
      <c r="J10" s="212">
        <v>4808956</v>
      </c>
      <c r="K10" s="212">
        <v>4813391</v>
      </c>
      <c r="L10" s="212">
        <v>4817160</v>
      </c>
      <c r="M10" s="212">
        <v>4821066</v>
      </c>
      <c r="N10" s="212">
        <v>4825751</v>
      </c>
      <c r="O10" s="212">
        <v>4830131</v>
      </c>
      <c r="P10" s="212">
        <v>4834723</v>
      </c>
      <c r="Q10" s="212">
        <v>4839224</v>
      </c>
      <c r="R10" s="212">
        <v>4843755</v>
      </c>
      <c r="S10" s="212">
        <v>4847540</v>
      </c>
      <c r="T10" s="212">
        <v>4851375</v>
      </c>
      <c r="U10" s="212">
        <v>4855961</v>
      </c>
      <c r="V10" s="212">
        <v>4860547</v>
      </c>
      <c r="W10" s="212">
        <v>4865251</v>
      </c>
      <c r="X10" s="212">
        <v>4869938</v>
      </c>
      <c r="Y10" s="212">
        <v>4874139</v>
      </c>
      <c r="Z10" s="212">
        <v>4877627</v>
      </c>
      <c r="AA10" s="212">
        <v>4881548</v>
      </c>
      <c r="AB10" s="212">
        <v>4886248</v>
      </c>
      <c r="AC10" s="212">
        <v>4890949</v>
      </c>
      <c r="AD10" s="212">
        <v>4895610</v>
      </c>
      <c r="AE10" s="212">
        <v>4900197</v>
      </c>
      <c r="AF10" s="287"/>
      <c r="AG10" s="287"/>
      <c r="AH10" s="212">
        <v>4771996</v>
      </c>
      <c r="AI10" s="318"/>
      <c r="AJ10" s="318"/>
      <c r="AM10" s="288"/>
    </row>
    <row r="11" spans="1:39" ht="22.5" customHeight="1">
      <c r="A11" s="285" t="s">
        <v>61</v>
      </c>
      <c r="B11" s="212">
        <v>183431</v>
      </c>
      <c r="C11" s="212">
        <v>183570</v>
      </c>
      <c r="D11" s="212">
        <v>183699</v>
      </c>
      <c r="E11" s="212">
        <v>183795</v>
      </c>
      <c r="F11" s="212">
        <v>183931</v>
      </c>
      <c r="G11" s="212">
        <v>184070</v>
      </c>
      <c r="H11" s="212">
        <v>184210</v>
      </c>
      <c r="I11" s="212">
        <v>184350</v>
      </c>
      <c r="J11" s="212">
        <v>184491</v>
      </c>
      <c r="K11" s="212">
        <v>184622</v>
      </c>
      <c r="L11" s="212">
        <v>184737</v>
      </c>
      <c r="M11" s="212">
        <v>184880</v>
      </c>
      <c r="N11" s="212">
        <v>185043</v>
      </c>
      <c r="O11" s="212">
        <v>185200</v>
      </c>
      <c r="P11" s="212">
        <v>185374</v>
      </c>
      <c r="Q11" s="212">
        <v>185546</v>
      </c>
      <c r="R11" s="212">
        <v>185705</v>
      </c>
      <c r="S11" s="212">
        <v>185848</v>
      </c>
      <c r="T11" s="212">
        <v>186007</v>
      </c>
      <c r="U11" s="212">
        <v>186182</v>
      </c>
      <c r="V11" s="212">
        <v>186354</v>
      </c>
      <c r="W11" s="212">
        <v>186529</v>
      </c>
      <c r="X11" s="212">
        <v>186700</v>
      </c>
      <c r="Y11" s="212">
        <v>186865</v>
      </c>
      <c r="Z11" s="212">
        <v>187019</v>
      </c>
      <c r="AA11" s="212">
        <v>187190</v>
      </c>
      <c r="AB11" s="212">
        <v>187362</v>
      </c>
      <c r="AC11" s="212">
        <v>187535</v>
      </c>
      <c r="AD11" s="212">
        <v>187702</v>
      </c>
      <c r="AE11" s="212">
        <v>187867</v>
      </c>
      <c r="AF11" s="287"/>
      <c r="AG11" s="287"/>
      <c r="AH11" s="212">
        <v>183291</v>
      </c>
      <c r="AI11" s="318"/>
      <c r="AJ11" s="318"/>
      <c r="AM11" s="288"/>
    </row>
    <row r="12" spans="1:39" s="294" customFormat="1" ht="18" customHeight="1">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293"/>
      <c r="AG12" s="293"/>
      <c r="AH12" s="162"/>
    </row>
    <row r="13" spans="1:39" ht="25.5">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296"/>
      <c r="AG13" s="296"/>
      <c r="AH13" s="181" t="s">
        <v>106</v>
      </c>
    </row>
    <row r="14" spans="1:39">
      <c r="A14" s="282" t="s">
        <v>66</v>
      </c>
      <c r="B14" s="182">
        <v>24554.959999999999</v>
      </c>
      <c r="C14" s="182">
        <v>24554.959999999999</v>
      </c>
      <c r="D14" s="182">
        <v>24554.959999999999</v>
      </c>
      <c r="E14" s="182">
        <v>246957.22</v>
      </c>
      <c r="F14" s="182">
        <v>246957.22</v>
      </c>
      <c r="G14" s="182">
        <v>246957.22</v>
      </c>
      <c r="H14" s="182">
        <v>246957.22</v>
      </c>
      <c r="I14" s="182">
        <v>246957.22</v>
      </c>
      <c r="J14" s="182">
        <v>246957.22</v>
      </c>
      <c r="K14" s="182">
        <v>246957.22</v>
      </c>
      <c r="L14" s="182">
        <v>248496.71</v>
      </c>
      <c r="M14" s="182">
        <v>248496.71</v>
      </c>
      <c r="N14" s="182">
        <v>248496.71</v>
      </c>
      <c r="O14" s="182">
        <v>248496.71</v>
      </c>
      <c r="P14" s="182">
        <v>248496.71</v>
      </c>
      <c r="Q14" s="182">
        <v>248496.71</v>
      </c>
      <c r="R14" s="182">
        <v>248496.71</v>
      </c>
      <c r="S14" s="182">
        <v>250250.51</v>
      </c>
      <c r="T14" s="182">
        <v>250250.51</v>
      </c>
      <c r="U14" s="182">
        <v>250250.51</v>
      </c>
      <c r="V14" s="182">
        <v>250250.51</v>
      </c>
      <c r="W14" s="182">
        <v>250250.51</v>
      </c>
      <c r="X14" s="182">
        <v>250250.51</v>
      </c>
      <c r="Y14" s="182">
        <v>250250.51</v>
      </c>
      <c r="Z14" s="182">
        <v>251973.84</v>
      </c>
      <c r="AA14" s="182">
        <v>251973.84</v>
      </c>
      <c r="AB14" s="182">
        <v>251973.84</v>
      </c>
      <c r="AC14" s="182">
        <v>251973.84</v>
      </c>
      <c r="AD14" s="182">
        <v>251973.84</v>
      </c>
      <c r="AE14" s="182">
        <v>251973.84</v>
      </c>
      <c r="AF14" s="319"/>
      <c r="AG14" s="319"/>
      <c r="AH14" s="182">
        <v>24554.959999999999</v>
      </c>
    </row>
    <row r="15" spans="1:39" ht="25.5">
      <c r="A15" s="282" t="s">
        <v>67</v>
      </c>
      <c r="B15" s="183">
        <v>1402</v>
      </c>
      <c r="C15" s="183">
        <v>1402</v>
      </c>
      <c r="D15" s="183">
        <v>1402</v>
      </c>
      <c r="E15" s="183">
        <v>1406</v>
      </c>
      <c r="F15" s="183">
        <v>1406</v>
      </c>
      <c r="G15" s="183">
        <v>1406</v>
      </c>
      <c r="H15" s="183">
        <v>1428</v>
      </c>
      <c r="I15" s="183">
        <v>1429</v>
      </c>
      <c r="J15" s="183">
        <v>1430</v>
      </c>
      <c r="K15" s="183">
        <v>1430</v>
      </c>
      <c r="L15" s="183">
        <v>1431</v>
      </c>
      <c r="M15" s="183">
        <v>1432</v>
      </c>
      <c r="N15" s="183">
        <v>1432</v>
      </c>
      <c r="O15" s="183">
        <v>1434</v>
      </c>
      <c r="P15" s="183">
        <v>1434</v>
      </c>
      <c r="Q15" s="183">
        <v>1435</v>
      </c>
      <c r="R15" s="183">
        <v>1435</v>
      </c>
      <c r="S15" s="183">
        <v>1436</v>
      </c>
      <c r="T15" s="183">
        <v>1436</v>
      </c>
      <c r="U15" s="183">
        <v>1437</v>
      </c>
      <c r="V15" s="183">
        <v>1437</v>
      </c>
      <c r="W15" s="183">
        <v>1438</v>
      </c>
      <c r="X15" s="183">
        <v>1438</v>
      </c>
      <c r="Y15" s="183">
        <v>1439</v>
      </c>
      <c r="Z15" s="183">
        <v>1439</v>
      </c>
      <c r="AA15" s="183">
        <v>1439</v>
      </c>
      <c r="AB15" s="183">
        <v>1439</v>
      </c>
      <c r="AC15" s="183">
        <v>1470</v>
      </c>
      <c r="AD15" s="183">
        <v>1473</v>
      </c>
      <c r="AE15" s="183">
        <v>1476</v>
      </c>
      <c r="AF15" s="320"/>
      <c r="AG15" s="320"/>
      <c r="AH15" s="183">
        <v>1402</v>
      </c>
    </row>
    <row r="16" spans="1:39" ht="25.5">
      <c r="A16" s="282" t="s">
        <v>68</v>
      </c>
      <c r="B16" s="183">
        <v>4590</v>
      </c>
      <c r="C16" s="183">
        <v>4590</v>
      </c>
      <c r="D16" s="183">
        <v>4590</v>
      </c>
      <c r="E16" s="183">
        <v>4590</v>
      </c>
      <c r="F16" s="183">
        <v>4590</v>
      </c>
      <c r="G16" s="183">
        <v>4590</v>
      </c>
      <c r="H16" s="183">
        <v>4590</v>
      </c>
      <c r="I16" s="183">
        <v>4590</v>
      </c>
      <c r="J16" s="183">
        <v>4590</v>
      </c>
      <c r="K16" s="183">
        <v>4590</v>
      </c>
      <c r="L16" s="183">
        <v>4590</v>
      </c>
      <c r="M16" s="183">
        <v>4590</v>
      </c>
      <c r="N16" s="183">
        <v>4590</v>
      </c>
      <c r="O16" s="183">
        <v>4590</v>
      </c>
      <c r="P16" s="183">
        <v>4590</v>
      </c>
      <c r="Q16" s="183">
        <v>4590</v>
      </c>
      <c r="R16" s="183">
        <v>4590</v>
      </c>
      <c r="S16" s="183">
        <v>4590</v>
      </c>
      <c r="T16" s="183">
        <v>4590</v>
      </c>
      <c r="U16" s="183">
        <v>4590</v>
      </c>
      <c r="V16" s="183">
        <v>4590</v>
      </c>
      <c r="W16" s="183">
        <v>4590</v>
      </c>
      <c r="X16" s="183">
        <v>4590</v>
      </c>
      <c r="Y16" s="183">
        <v>4590</v>
      </c>
      <c r="Z16" s="183">
        <v>4590</v>
      </c>
      <c r="AA16" s="183">
        <v>4590</v>
      </c>
      <c r="AB16" s="183">
        <v>4590</v>
      </c>
      <c r="AC16" s="183">
        <v>4590</v>
      </c>
      <c r="AD16" s="183">
        <v>4590</v>
      </c>
      <c r="AE16" s="183">
        <v>4590</v>
      </c>
      <c r="AF16" s="320"/>
      <c r="AG16" s="320"/>
      <c r="AH16" s="183">
        <v>4590</v>
      </c>
    </row>
    <row r="17" spans="1:35" ht="20.100000000000001" customHeight="1">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304"/>
      <c r="AG17" s="304"/>
      <c r="AH17" s="162"/>
    </row>
    <row r="18" spans="1:35">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296"/>
      <c r="AG18" s="296"/>
      <c r="AH18" s="181" t="s">
        <v>106</v>
      </c>
    </row>
    <row r="19" spans="1:35" ht="25.5">
      <c r="A19" s="282" t="s">
        <v>70</v>
      </c>
      <c r="B19" s="186">
        <v>62228.4</v>
      </c>
      <c r="C19" s="186">
        <v>62281.599999999999</v>
      </c>
      <c r="D19" s="186">
        <v>62336.1</v>
      </c>
      <c r="E19" s="186">
        <v>62361.599999999999</v>
      </c>
      <c r="F19" s="186">
        <v>62400.5</v>
      </c>
      <c r="G19" s="186">
        <v>62460.2</v>
      </c>
      <c r="H19" s="186">
        <v>62519.6</v>
      </c>
      <c r="I19" s="186">
        <v>62579.9</v>
      </c>
      <c r="J19" s="186">
        <v>62635.5</v>
      </c>
      <c r="K19" s="186">
        <v>62689.1</v>
      </c>
      <c r="L19" s="186">
        <v>62727.4</v>
      </c>
      <c r="M19" s="186">
        <v>62781.599999999999</v>
      </c>
      <c r="N19" s="186">
        <v>62841.599999999999</v>
      </c>
      <c r="O19" s="186">
        <v>62893.2</v>
      </c>
      <c r="P19" s="186">
        <v>62947.1</v>
      </c>
      <c r="Q19" s="186">
        <v>63002.6</v>
      </c>
      <c r="R19" s="186">
        <v>63064.3</v>
      </c>
      <c r="S19" s="186">
        <v>63099.3</v>
      </c>
      <c r="T19" s="186">
        <v>63152.7</v>
      </c>
      <c r="U19" s="186">
        <v>63231.4</v>
      </c>
      <c r="V19" s="186">
        <v>63296.3</v>
      </c>
      <c r="W19" s="186">
        <v>63353.4</v>
      </c>
      <c r="X19" s="186">
        <v>63408.5</v>
      </c>
      <c r="Y19" s="186">
        <v>63466.8</v>
      </c>
      <c r="Z19" s="186">
        <v>63507.1</v>
      </c>
      <c r="AA19" s="186">
        <v>63562.7</v>
      </c>
      <c r="AB19" s="186">
        <v>63630.7</v>
      </c>
      <c r="AC19" s="186">
        <v>63686.400000000001</v>
      </c>
      <c r="AD19" s="186">
        <v>63748.1</v>
      </c>
      <c r="AE19" s="186">
        <v>63803.7</v>
      </c>
      <c r="AF19" s="321"/>
      <c r="AG19" s="321"/>
      <c r="AH19" s="186">
        <v>62158.3</v>
      </c>
      <c r="AI19" s="307"/>
    </row>
    <row r="20" spans="1:35" ht="25.5">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209"/>
      <c r="AG20" s="209"/>
      <c r="AH20" s="183" t="s">
        <v>1307</v>
      </c>
      <c r="AI20" s="307"/>
    </row>
    <row r="21" spans="1:35" ht="25.5">
      <c r="A21" s="282" t="s">
        <v>72</v>
      </c>
      <c r="B21" s="183">
        <v>89211</v>
      </c>
      <c r="C21" s="183">
        <v>89211</v>
      </c>
      <c r="D21" s="183">
        <v>89211</v>
      </c>
      <c r="E21" s="183">
        <v>90566</v>
      </c>
      <c r="F21" s="183">
        <v>90566</v>
      </c>
      <c r="G21" s="183">
        <v>90566</v>
      </c>
      <c r="H21" s="183">
        <v>90566</v>
      </c>
      <c r="I21" s="183">
        <v>90566</v>
      </c>
      <c r="J21" s="183">
        <v>90566</v>
      </c>
      <c r="K21" s="183">
        <v>90566</v>
      </c>
      <c r="L21" s="183">
        <v>92026</v>
      </c>
      <c r="M21" s="183">
        <v>92026</v>
      </c>
      <c r="N21" s="183">
        <v>92026</v>
      </c>
      <c r="O21" s="183">
        <v>92026</v>
      </c>
      <c r="P21" s="183">
        <v>92026</v>
      </c>
      <c r="Q21" s="183">
        <v>92026</v>
      </c>
      <c r="R21" s="183">
        <v>92026</v>
      </c>
      <c r="S21" s="183">
        <v>93473</v>
      </c>
      <c r="T21" s="183">
        <v>93473</v>
      </c>
      <c r="U21" s="183">
        <v>93473</v>
      </c>
      <c r="V21" s="183">
        <v>93473</v>
      </c>
      <c r="W21" s="183">
        <v>93473</v>
      </c>
      <c r="X21" s="183">
        <v>93473</v>
      </c>
      <c r="Y21" s="183">
        <v>93473</v>
      </c>
      <c r="Z21" s="183">
        <v>95031</v>
      </c>
      <c r="AA21" s="183">
        <v>95031</v>
      </c>
      <c r="AB21" s="183">
        <v>95031</v>
      </c>
      <c r="AC21" s="183">
        <v>95031</v>
      </c>
      <c r="AD21" s="183">
        <v>95031</v>
      </c>
      <c r="AE21" s="183">
        <v>95031</v>
      </c>
      <c r="AF21" s="321"/>
      <c r="AG21" s="321"/>
      <c r="AH21" s="183">
        <v>89211</v>
      </c>
      <c r="AI21" s="307"/>
    </row>
    <row r="22" spans="1:35" ht="25.5">
      <c r="A22" s="282" t="s">
        <v>73</v>
      </c>
      <c r="B22" s="183">
        <v>146705</v>
      </c>
      <c r="C22" s="183">
        <v>146815</v>
      </c>
      <c r="D22" s="183">
        <v>146915</v>
      </c>
      <c r="E22" s="183">
        <v>147001</v>
      </c>
      <c r="F22" s="183">
        <v>147108</v>
      </c>
      <c r="G22" s="183">
        <v>147228</v>
      </c>
      <c r="H22" s="183">
        <v>147359</v>
      </c>
      <c r="I22" s="183">
        <v>147488</v>
      </c>
      <c r="J22" s="183">
        <v>147619</v>
      </c>
      <c r="K22" s="322">
        <v>14774.6</v>
      </c>
      <c r="L22" s="322">
        <v>14787.5</v>
      </c>
      <c r="M22" s="322">
        <v>14800.7</v>
      </c>
      <c r="N22" s="322">
        <v>14814.1</v>
      </c>
      <c r="O22" s="322">
        <v>148276</v>
      </c>
      <c r="P22" s="322">
        <v>148415</v>
      </c>
      <c r="Q22" s="322">
        <v>148565</v>
      </c>
      <c r="R22" s="322">
        <v>14869.9</v>
      </c>
      <c r="S22" s="322">
        <v>148818</v>
      </c>
      <c r="T22" s="322">
        <v>148947</v>
      </c>
      <c r="U22" s="322">
        <v>149086</v>
      </c>
      <c r="V22" s="322">
        <v>149221</v>
      </c>
      <c r="W22" s="322">
        <v>149372</v>
      </c>
      <c r="X22" s="322">
        <v>149515</v>
      </c>
      <c r="Y22" s="322">
        <v>149651</v>
      </c>
      <c r="Z22" s="322">
        <v>149797</v>
      </c>
      <c r="AA22" s="322">
        <v>149942</v>
      </c>
      <c r="AB22" s="322">
        <v>150086</v>
      </c>
      <c r="AC22" s="322">
        <v>150232</v>
      </c>
      <c r="AD22" s="322">
        <v>150363</v>
      </c>
      <c r="AE22" s="322">
        <v>150494</v>
      </c>
      <c r="AF22" s="321">
        <f>AE22-AH22</f>
        <v>3903</v>
      </c>
      <c r="AG22" s="321"/>
      <c r="AH22" s="183">
        <v>146591</v>
      </c>
      <c r="AI22" s="307">
        <v>3903</v>
      </c>
    </row>
    <row r="23" spans="1:35">
      <c r="A23" s="309" t="s">
        <v>136</v>
      </c>
      <c r="B23" s="183">
        <v>3278</v>
      </c>
      <c r="C23" s="183">
        <v>3278</v>
      </c>
      <c r="D23" s="183">
        <v>3278</v>
      </c>
      <c r="E23" s="183">
        <v>3332</v>
      </c>
      <c r="F23" s="183">
        <v>3332</v>
      </c>
      <c r="G23" s="183">
        <v>3332</v>
      </c>
      <c r="H23" s="183">
        <v>3332</v>
      </c>
      <c r="I23" s="183">
        <v>3332</v>
      </c>
      <c r="J23" s="183">
        <v>3332</v>
      </c>
      <c r="K23" s="183">
        <v>3332</v>
      </c>
      <c r="L23" s="183">
        <v>3397</v>
      </c>
      <c r="M23" s="183">
        <v>3397</v>
      </c>
      <c r="N23" s="183">
        <v>3397</v>
      </c>
      <c r="O23" s="183">
        <v>3397</v>
      </c>
      <c r="P23" s="183">
        <v>3397</v>
      </c>
      <c r="Q23" s="183">
        <v>3397</v>
      </c>
      <c r="R23" s="183">
        <v>3397</v>
      </c>
      <c r="S23" s="183">
        <v>3484</v>
      </c>
      <c r="T23" s="183">
        <v>3484</v>
      </c>
      <c r="U23" s="183">
        <v>3484</v>
      </c>
      <c r="V23" s="183">
        <v>3484</v>
      </c>
      <c r="W23" s="183">
        <v>3484</v>
      </c>
      <c r="X23" s="183">
        <v>3484</v>
      </c>
      <c r="Y23" s="183">
        <v>3484</v>
      </c>
      <c r="Z23" s="183">
        <v>3542</v>
      </c>
      <c r="AA23" s="183">
        <v>3542</v>
      </c>
      <c r="AB23" s="183">
        <v>3542</v>
      </c>
      <c r="AC23" s="183">
        <v>3542</v>
      </c>
      <c r="AD23" s="183">
        <v>3542</v>
      </c>
      <c r="AE23" s="183">
        <v>3542</v>
      </c>
      <c r="AF23" s="323">
        <f>AE23-B23</f>
        <v>264</v>
      </c>
      <c r="AG23" s="208">
        <v>264</v>
      </c>
      <c r="AH23" s="183">
        <v>3278</v>
      </c>
      <c r="AI23" s="307"/>
    </row>
    <row r="24" spans="1:35">
      <c r="A24" s="309" t="s">
        <v>139</v>
      </c>
      <c r="B24" s="183">
        <v>3379</v>
      </c>
      <c r="C24" s="183">
        <v>3379</v>
      </c>
      <c r="D24" s="183">
        <v>3379</v>
      </c>
      <c r="E24" s="183">
        <v>3413</v>
      </c>
      <c r="F24" s="183">
        <v>3413</v>
      </c>
      <c r="G24" s="183">
        <v>3413</v>
      </c>
      <c r="H24" s="183">
        <v>3413</v>
      </c>
      <c r="I24" s="183">
        <v>3413</v>
      </c>
      <c r="J24" s="183">
        <v>3413</v>
      </c>
      <c r="K24" s="183">
        <v>3413</v>
      </c>
      <c r="L24" s="183">
        <v>3455</v>
      </c>
      <c r="M24" s="183">
        <v>3455</v>
      </c>
      <c r="N24" s="183">
        <v>3455</v>
      </c>
      <c r="O24" s="183">
        <v>3455</v>
      </c>
      <c r="P24" s="183">
        <v>3455</v>
      </c>
      <c r="Q24" s="183">
        <v>3455</v>
      </c>
      <c r="R24" s="183">
        <v>3455</v>
      </c>
      <c r="S24" s="183">
        <v>3512</v>
      </c>
      <c r="T24" s="183">
        <v>3512</v>
      </c>
      <c r="U24" s="183">
        <v>3512</v>
      </c>
      <c r="V24" s="183">
        <v>3512</v>
      </c>
      <c r="W24" s="183">
        <v>3512</v>
      </c>
      <c r="X24" s="183">
        <v>3512</v>
      </c>
      <c r="Y24" s="183">
        <v>3512</v>
      </c>
      <c r="Z24" s="183">
        <v>3570</v>
      </c>
      <c r="AA24" s="183">
        <v>3570</v>
      </c>
      <c r="AB24" s="183">
        <v>3570</v>
      </c>
      <c r="AC24" s="183">
        <v>3570</v>
      </c>
      <c r="AD24" s="183">
        <v>3570</v>
      </c>
      <c r="AE24" s="183">
        <v>3570</v>
      </c>
      <c r="AF24" s="323">
        <f t="shared" ref="AF24:AF29" si="0">AE24-B24</f>
        <v>191</v>
      </c>
      <c r="AG24" s="208">
        <v>191</v>
      </c>
      <c r="AH24" s="183">
        <v>3379</v>
      </c>
      <c r="AI24" s="307"/>
    </row>
    <row r="25" spans="1:35">
      <c r="A25" s="309" t="s">
        <v>142</v>
      </c>
      <c r="B25" s="183">
        <v>1295</v>
      </c>
      <c r="C25" s="183">
        <v>1295</v>
      </c>
      <c r="D25" s="183">
        <v>1295</v>
      </c>
      <c r="E25" s="183">
        <v>1317</v>
      </c>
      <c r="F25" s="183">
        <v>1317</v>
      </c>
      <c r="G25" s="183">
        <v>1317</v>
      </c>
      <c r="H25" s="183">
        <v>1317</v>
      </c>
      <c r="I25" s="183">
        <v>1317</v>
      </c>
      <c r="J25" s="183">
        <v>1317</v>
      </c>
      <c r="K25" s="183">
        <v>1317</v>
      </c>
      <c r="L25" s="183">
        <v>1341</v>
      </c>
      <c r="M25" s="183">
        <v>1341</v>
      </c>
      <c r="N25" s="183">
        <v>1341</v>
      </c>
      <c r="O25" s="183">
        <v>1341</v>
      </c>
      <c r="P25" s="183">
        <v>1341</v>
      </c>
      <c r="Q25" s="183">
        <v>1341</v>
      </c>
      <c r="R25" s="183">
        <v>1341</v>
      </c>
      <c r="S25" s="183">
        <v>1367</v>
      </c>
      <c r="T25" s="183">
        <v>1367</v>
      </c>
      <c r="U25" s="183">
        <v>1367</v>
      </c>
      <c r="V25" s="183">
        <v>1367</v>
      </c>
      <c r="W25" s="183">
        <v>1367</v>
      </c>
      <c r="X25" s="183">
        <v>1367</v>
      </c>
      <c r="Y25" s="183">
        <v>1367</v>
      </c>
      <c r="Z25" s="183">
        <v>1388</v>
      </c>
      <c r="AA25" s="183">
        <v>1388</v>
      </c>
      <c r="AB25" s="183">
        <v>1388</v>
      </c>
      <c r="AC25" s="183">
        <v>1388</v>
      </c>
      <c r="AD25" s="183">
        <v>1388</v>
      </c>
      <c r="AE25" s="183">
        <v>1388</v>
      </c>
      <c r="AF25" s="323">
        <f t="shared" si="0"/>
        <v>93</v>
      </c>
      <c r="AG25" s="208">
        <v>93</v>
      </c>
      <c r="AH25" s="183">
        <v>1295</v>
      </c>
      <c r="AI25" s="307"/>
    </row>
    <row r="26" spans="1:35">
      <c r="A26" s="309" t="s">
        <v>145</v>
      </c>
      <c r="B26" s="183">
        <v>207</v>
      </c>
      <c r="C26" s="183">
        <v>207</v>
      </c>
      <c r="D26" s="183">
        <v>207</v>
      </c>
      <c r="E26" s="183">
        <v>214</v>
      </c>
      <c r="F26" s="183">
        <v>214</v>
      </c>
      <c r="G26" s="183">
        <v>214</v>
      </c>
      <c r="H26" s="183">
        <v>214</v>
      </c>
      <c r="I26" s="183">
        <v>214</v>
      </c>
      <c r="J26" s="183">
        <v>214</v>
      </c>
      <c r="K26" s="183">
        <v>214</v>
      </c>
      <c r="L26" s="183">
        <v>219</v>
      </c>
      <c r="M26" s="183">
        <v>219</v>
      </c>
      <c r="N26" s="183">
        <v>219</v>
      </c>
      <c r="O26" s="183">
        <v>219</v>
      </c>
      <c r="P26" s="183">
        <v>219</v>
      </c>
      <c r="Q26" s="183">
        <v>219</v>
      </c>
      <c r="R26" s="183">
        <v>219</v>
      </c>
      <c r="S26" s="183">
        <v>233</v>
      </c>
      <c r="T26" s="183">
        <v>233</v>
      </c>
      <c r="U26" s="183">
        <v>233</v>
      </c>
      <c r="V26" s="183">
        <v>233</v>
      </c>
      <c r="W26" s="183">
        <v>233</v>
      </c>
      <c r="X26" s="183">
        <v>233</v>
      </c>
      <c r="Y26" s="183">
        <v>233</v>
      </c>
      <c r="Z26" s="183">
        <v>280</v>
      </c>
      <c r="AA26" s="183">
        <v>280</v>
      </c>
      <c r="AB26" s="183">
        <v>280</v>
      </c>
      <c r="AC26" s="183">
        <v>280</v>
      </c>
      <c r="AD26" s="183">
        <v>280</v>
      </c>
      <c r="AE26" s="183">
        <v>280</v>
      </c>
      <c r="AF26" s="323">
        <f t="shared" si="0"/>
        <v>73</v>
      </c>
      <c r="AG26" s="208">
        <v>73</v>
      </c>
      <c r="AH26" s="183">
        <v>207</v>
      </c>
      <c r="AI26" s="307"/>
    </row>
    <row r="27" spans="1:35">
      <c r="A27" s="309" t="s">
        <v>148</v>
      </c>
      <c r="B27" s="183">
        <v>3808</v>
      </c>
      <c r="C27" s="183">
        <v>3808</v>
      </c>
      <c r="D27" s="183">
        <v>3808</v>
      </c>
      <c r="E27" s="183">
        <v>3879</v>
      </c>
      <c r="F27" s="183">
        <v>3879</v>
      </c>
      <c r="G27" s="183">
        <v>3879</v>
      </c>
      <c r="H27" s="183">
        <v>3879</v>
      </c>
      <c r="I27" s="183">
        <v>3879</v>
      </c>
      <c r="J27" s="183">
        <v>3879</v>
      </c>
      <c r="K27" s="183">
        <v>3879</v>
      </c>
      <c r="L27" s="183">
        <v>3936</v>
      </c>
      <c r="M27" s="183">
        <v>3936</v>
      </c>
      <c r="N27" s="183">
        <v>3936</v>
      </c>
      <c r="O27" s="183">
        <v>3936</v>
      </c>
      <c r="P27" s="183">
        <v>3936</v>
      </c>
      <c r="Q27" s="183">
        <v>3936</v>
      </c>
      <c r="R27" s="183">
        <v>3936</v>
      </c>
      <c r="S27" s="183">
        <v>4050</v>
      </c>
      <c r="T27" s="183">
        <v>4050</v>
      </c>
      <c r="U27" s="183">
        <v>4050</v>
      </c>
      <c r="V27" s="183">
        <v>4050</v>
      </c>
      <c r="W27" s="183">
        <v>4050</v>
      </c>
      <c r="X27" s="183">
        <v>4050</v>
      </c>
      <c r="Y27" s="183">
        <v>4050</v>
      </c>
      <c r="Z27" s="183">
        <v>4162</v>
      </c>
      <c r="AA27" s="183">
        <v>4162</v>
      </c>
      <c r="AB27" s="183">
        <v>4162</v>
      </c>
      <c r="AC27" s="183">
        <v>4162</v>
      </c>
      <c r="AD27" s="183">
        <v>4162</v>
      </c>
      <c r="AE27" s="183">
        <v>4162</v>
      </c>
      <c r="AF27" s="323">
        <f t="shared" si="0"/>
        <v>354</v>
      </c>
      <c r="AG27" s="208">
        <v>354</v>
      </c>
      <c r="AH27" s="183">
        <v>3808</v>
      </c>
      <c r="AI27" s="307"/>
    </row>
    <row r="28" spans="1:35">
      <c r="A28" s="309" t="s">
        <v>151</v>
      </c>
      <c r="B28" s="183">
        <v>779</v>
      </c>
      <c r="C28" s="183">
        <v>779</v>
      </c>
      <c r="D28" s="183">
        <v>779</v>
      </c>
      <c r="E28" s="183">
        <v>792</v>
      </c>
      <c r="F28" s="183">
        <v>792</v>
      </c>
      <c r="G28" s="183">
        <v>792</v>
      </c>
      <c r="H28" s="183">
        <v>792</v>
      </c>
      <c r="I28" s="183">
        <v>792</v>
      </c>
      <c r="J28" s="183">
        <v>792</v>
      </c>
      <c r="K28" s="183">
        <v>792</v>
      </c>
      <c r="L28" s="183">
        <v>804</v>
      </c>
      <c r="M28" s="183">
        <v>804</v>
      </c>
      <c r="N28" s="183">
        <v>804</v>
      </c>
      <c r="O28" s="183">
        <v>804</v>
      </c>
      <c r="P28" s="183">
        <v>804</v>
      </c>
      <c r="Q28" s="183">
        <v>804</v>
      </c>
      <c r="R28" s="183">
        <v>804</v>
      </c>
      <c r="S28" s="183">
        <v>817</v>
      </c>
      <c r="T28" s="183">
        <v>817</v>
      </c>
      <c r="U28" s="183">
        <v>817</v>
      </c>
      <c r="V28" s="183">
        <v>817</v>
      </c>
      <c r="W28" s="183">
        <v>817</v>
      </c>
      <c r="X28" s="183">
        <v>817</v>
      </c>
      <c r="Y28" s="183">
        <v>817</v>
      </c>
      <c r="Z28" s="183">
        <v>829</v>
      </c>
      <c r="AA28" s="183">
        <v>829</v>
      </c>
      <c r="AB28" s="183">
        <v>829</v>
      </c>
      <c r="AC28" s="183">
        <v>829</v>
      </c>
      <c r="AD28" s="183">
        <v>829</v>
      </c>
      <c r="AE28" s="183">
        <v>829</v>
      </c>
      <c r="AF28" s="323">
        <f t="shared" si="0"/>
        <v>50</v>
      </c>
      <c r="AG28" s="208">
        <v>50</v>
      </c>
      <c r="AH28" s="183">
        <v>779</v>
      </c>
      <c r="AI28" s="307"/>
    </row>
    <row r="29" spans="1:35">
      <c r="A29" s="309" t="s">
        <v>154</v>
      </c>
      <c r="B29" s="183">
        <v>351</v>
      </c>
      <c r="C29" s="183">
        <v>351</v>
      </c>
      <c r="D29" s="183">
        <v>351</v>
      </c>
      <c r="E29" s="183">
        <v>357</v>
      </c>
      <c r="F29" s="183">
        <v>357</v>
      </c>
      <c r="G29" s="183">
        <v>357</v>
      </c>
      <c r="H29" s="183">
        <v>357</v>
      </c>
      <c r="I29" s="183">
        <v>357</v>
      </c>
      <c r="J29" s="183">
        <v>357</v>
      </c>
      <c r="K29" s="183">
        <v>357</v>
      </c>
      <c r="L29" s="183">
        <v>364</v>
      </c>
      <c r="M29" s="183">
        <v>364</v>
      </c>
      <c r="N29" s="183">
        <v>364</v>
      </c>
      <c r="O29" s="183">
        <v>364</v>
      </c>
      <c r="P29" s="183">
        <v>364</v>
      </c>
      <c r="Q29" s="183">
        <v>364</v>
      </c>
      <c r="R29" s="183">
        <v>364</v>
      </c>
      <c r="S29" s="183">
        <v>370</v>
      </c>
      <c r="T29" s="183">
        <v>370</v>
      </c>
      <c r="U29" s="183">
        <v>370</v>
      </c>
      <c r="V29" s="183">
        <v>370</v>
      </c>
      <c r="W29" s="183">
        <v>370</v>
      </c>
      <c r="X29" s="183">
        <v>370</v>
      </c>
      <c r="Y29" s="183">
        <v>370</v>
      </c>
      <c r="Z29" s="183">
        <v>377</v>
      </c>
      <c r="AA29" s="183">
        <v>377</v>
      </c>
      <c r="AB29" s="183">
        <v>377</v>
      </c>
      <c r="AC29" s="183">
        <v>377</v>
      </c>
      <c r="AD29" s="183">
        <v>377</v>
      </c>
      <c r="AE29" s="183">
        <v>377</v>
      </c>
      <c r="AF29" s="323">
        <f t="shared" si="0"/>
        <v>26</v>
      </c>
      <c r="AG29" s="208">
        <v>26</v>
      </c>
      <c r="AH29" s="183">
        <v>351</v>
      </c>
      <c r="AI29" s="307"/>
    </row>
    <row r="30" spans="1:35">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304"/>
      <c r="AG30" s="304"/>
      <c r="AH30" s="162"/>
      <c r="AI30" s="307"/>
    </row>
    <row r="31" spans="1:35">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296"/>
      <c r="AG31" s="296"/>
      <c r="AH31" s="181" t="s">
        <v>157</v>
      </c>
      <c r="AI31" s="307"/>
    </row>
    <row r="32" spans="1:35" ht="25.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209"/>
      <c r="AG32" s="209"/>
      <c r="AH32" s="190" t="s">
        <v>78</v>
      </c>
      <c r="AI32" s="307"/>
    </row>
    <row r="33" spans="1:35" ht="25.5">
      <c r="A33" s="282" t="s">
        <v>80</v>
      </c>
      <c r="B33" s="187" t="s">
        <v>1330</v>
      </c>
      <c r="C33" s="187" t="s">
        <v>1331</v>
      </c>
      <c r="D33" s="187" t="s">
        <v>1332</v>
      </c>
      <c r="E33" s="187" t="s">
        <v>1331</v>
      </c>
      <c r="F33" s="187" t="s">
        <v>1333</v>
      </c>
      <c r="G33" s="187" t="s">
        <v>1334</v>
      </c>
      <c r="H33" s="187" t="s">
        <v>1335</v>
      </c>
      <c r="I33" s="187" t="s">
        <v>1335</v>
      </c>
      <c r="J33" s="187" t="s">
        <v>1336</v>
      </c>
      <c r="K33" s="187" t="s">
        <v>603</v>
      </c>
      <c r="L33" s="187" t="s">
        <v>1337</v>
      </c>
      <c r="M33" s="187" t="s">
        <v>603</v>
      </c>
      <c r="N33" s="187" t="s">
        <v>1338</v>
      </c>
      <c r="O33" s="187" t="s">
        <v>580</v>
      </c>
      <c r="P33" s="187" t="s">
        <v>1339</v>
      </c>
      <c r="Q33" s="187" t="s">
        <v>580</v>
      </c>
      <c r="R33" s="187" t="s">
        <v>1340</v>
      </c>
      <c r="S33" s="187" t="s">
        <v>1340</v>
      </c>
      <c r="T33" s="187" t="s">
        <v>1341</v>
      </c>
      <c r="U33" s="187" t="s">
        <v>1342</v>
      </c>
      <c r="V33" s="187" t="s">
        <v>1343</v>
      </c>
      <c r="W33" s="187" t="s">
        <v>1344</v>
      </c>
      <c r="X33" s="187" t="s">
        <v>1344</v>
      </c>
      <c r="Y33" s="187" t="s">
        <v>1345</v>
      </c>
      <c r="Z33" s="187" t="s">
        <v>1346</v>
      </c>
      <c r="AA33" s="187" t="s">
        <v>1347</v>
      </c>
      <c r="AB33" s="187" t="s">
        <v>1347</v>
      </c>
      <c r="AC33" s="187" t="s">
        <v>1348</v>
      </c>
      <c r="AD33" s="187" t="s">
        <v>1349</v>
      </c>
      <c r="AE33" s="187" t="s">
        <v>1328</v>
      </c>
      <c r="AF33" s="209"/>
      <c r="AG33" s="209"/>
      <c r="AH33" s="187" t="s">
        <v>627</v>
      </c>
      <c r="AI33" s="307"/>
    </row>
    <row r="34" spans="1:35" ht="15.75" thickBot="1">
      <c r="A34" s="310" t="s">
        <v>81</v>
      </c>
      <c r="B34" s="187" t="s">
        <v>1329</v>
      </c>
      <c r="C34" s="187" t="s">
        <v>1329</v>
      </c>
      <c r="D34" s="187" t="s">
        <v>1329</v>
      </c>
      <c r="E34" s="187" t="s">
        <v>1329</v>
      </c>
      <c r="F34" s="187" t="s">
        <v>1329</v>
      </c>
      <c r="G34" s="187" t="s">
        <v>1329</v>
      </c>
      <c r="H34" s="187" t="s">
        <v>1329</v>
      </c>
      <c r="I34" s="187" t="s">
        <v>1329</v>
      </c>
      <c r="J34" s="187" t="s">
        <v>1329</v>
      </c>
      <c r="K34" s="187" t="s">
        <v>1329</v>
      </c>
      <c r="L34" s="187" t="s">
        <v>1329</v>
      </c>
      <c r="M34" s="187" t="s">
        <v>1329</v>
      </c>
      <c r="N34" s="187" t="s">
        <v>1329</v>
      </c>
      <c r="O34" s="187" t="s">
        <v>1329</v>
      </c>
      <c r="P34" s="187" t="s">
        <v>1329</v>
      </c>
      <c r="Q34" s="187" t="s">
        <v>1329</v>
      </c>
      <c r="R34" s="187" t="s">
        <v>1329</v>
      </c>
      <c r="S34" s="187" t="s">
        <v>1329</v>
      </c>
      <c r="T34" s="187" t="s">
        <v>1329</v>
      </c>
      <c r="U34" s="187" t="s">
        <v>1329</v>
      </c>
      <c r="V34" s="187" t="s">
        <v>1329</v>
      </c>
      <c r="W34" s="187" t="s">
        <v>1329</v>
      </c>
      <c r="X34" s="187" t="s">
        <v>1329</v>
      </c>
      <c r="Y34" s="187" t="s">
        <v>1329</v>
      </c>
      <c r="Z34" s="187" t="s">
        <v>1329</v>
      </c>
      <c r="AA34" s="187" t="s">
        <v>1329</v>
      </c>
      <c r="AB34" s="187" t="s">
        <v>1329</v>
      </c>
      <c r="AC34" s="187" t="s">
        <v>1329</v>
      </c>
      <c r="AD34" s="187" t="s">
        <v>1329</v>
      </c>
      <c r="AE34" s="187" t="s">
        <v>1329</v>
      </c>
      <c r="AF34" s="209"/>
      <c r="AG34" s="209"/>
      <c r="AH34" s="187" t="s">
        <v>1329</v>
      </c>
      <c r="AI34" s="307"/>
    </row>
    <row r="35" spans="1:35">
      <c r="AF35" s="211"/>
      <c r="AG35" s="211"/>
    </row>
    <row r="36" spans="1:35">
      <c r="AF36" s="211"/>
      <c r="AG36" s="211"/>
    </row>
  </sheetData>
  <mergeCells count="1">
    <mergeCell ref="A1:AH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7E16-377F-4B47-A8D3-21BFEEACCDAB}">
  <dimension ref="A1:AN36"/>
  <sheetViews>
    <sheetView topLeftCell="S1" workbookViewId="0">
      <selection activeCell="AJ22" sqref="AJ22"/>
    </sheetView>
  </sheetViews>
  <sheetFormatPr defaultColWidth="9.140625" defaultRowHeight="15"/>
  <cols>
    <col min="1" max="1" width="30.42578125" style="144" customWidth="1"/>
    <col min="2" max="2" width="13" style="144" customWidth="1"/>
    <col min="3" max="21" width="12.85546875" style="144" customWidth="1"/>
    <col min="22" max="22" width="12.85546875" style="312" customWidth="1"/>
    <col min="23" max="32" width="12.85546875" style="144" customWidth="1"/>
    <col min="33" max="34" width="9.140625" style="144"/>
    <col min="35" max="35" width="12.85546875" style="144" customWidth="1"/>
    <col min="36" max="36" width="11" style="144" customWidth="1"/>
    <col min="37" max="37" width="11.42578125" style="144" customWidth="1"/>
    <col min="38" max="16384" width="9.140625" style="144"/>
  </cols>
  <sheetData>
    <row r="1" spans="1:40"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row>
    <row r="2" spans="1:40" ht="15.75">
      <c r="A2" s="280"/>
      <c r="B2" s="281">
        <v>44743</v>
      </c>
      <c r="C2" s="281">
        <v>44744</v>
      </c>
      <c r="D2" s="281">
        <v>44745</v>
      </c>
      <c r="E2" s="281">
        <v>44746</v>
      </c>
      <c r="F2" s="281">
        <v>44747</v>
      </c>
      <c r="G2" s="281">
        <v>44748</v>
      </c>
      <c r="H2" s="281">
        <v>44749</v>
      </c>
      <c r="I2" s="281">
        <v>44750</v>
      </c>
      <c r="J2" s="281">
        <v>44751</v>
      </c>
      <c r="K2" s="281">
        <v>44752</v>
      </c>
      <c r="L2" s="281">
        <v>44753</v>
      </c>
      <c r="M2" s="281">
        <v>44754</v>
      </c>
      <c r="N2" s="281">
        <v>44755</v>
      </c>
      <c r="O2" s="281">
        <v>44756</v>
      </c>
      <c r="P2" s="281">
        <v>44757</v>
      </c>
      <c r="Q2" s="281">
        <v>44758</v>
      </c>
      <c r="R2" s="281">
        <v>44759</v>
      </c>
      <c r="S2" s="281">
        <v>44760</v>
      </c>
      <c r="T2" s="281">
        <v>44761</v>
      </c>
      <c r="U2" s="281">
        <v>44762</v>
      </c>
      <c r="V2" s="281">
        <v>44763</v>
      </c>
      <c r="W2" s="281">
        <v>44764</v>
      </c>
      <c r="X2" s="281">
        <v>44765</v>
      </c>
      <c r="Y2" s="281">
        <v>44766</v>
      </c>
      <c r="Z2" s="281">
        <v>44767</v>
      </c>
      <c r="AA2" s="281">
        <v>44768</v>
      </c>
      <c r="AB2" s="281">
        <v>44769</v>
      </c>
      <c r="AC2" s="281">
        <v>44770</v>
      </c>
      <c r="AD2" s="281">
        <v>44771</v>
      </c>
      <c r="AE2" s="281">
        <v>44772</v>
      </c>
      <c r="AF2" s="281">
        <v>44773</v>
      </c>
      <c r="AG2" s="281"/>
      <c r="AH2" s="281"/>
      <c r="AI2" s="281">
        <v>44742</v>
      </c>
    </row>
    <row r="3" spans="1:40"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53</v>
      </c>
      <c r="AD3" s="283" t="s">
        <v>52</v>
      </c>
      <c r="AE3" s="283" t="s">
        <v>52</v>
      </c>
      <c r="AF3" s="283" t="s">
        <v>52</v>
      </c>
      <c r="AG3" s="271"/>
      <c r="AH3" s="317"/>
      <c r="AI3" s="283" t="s">
        <v>52</v>
      </c>
    </row>
    <row r="4" spans="1:40" ht="20.100000000000001" customHeight="1">
      <c r="A4" s="285" t="s">
        <v>54</v>
      </c>
      <c r="B4" s="212">
        <v>238881</v>
      </c>
      <c r="C4" s="212">
        <v>239093</v>
      </c>
      <c r="D4" s="212">
        <v>239310</v>
      </c>
      <c r="E4" s="212">
        <v>239532</v>
      </c>
      <c r="F4" s="212">
        <v>239753</v>
      </c>
      <c r="G4" s="212">
        <v>239977</v>
      </c>
      <c r="H4" s="212">
        <v>240199</v>
      </c>
      <c r="I4" s="212">
        <v>240414</v>
      </c>
      <c r="J4" s="212">
        <v>240619</v>
      </c>
      <c r="K4" s="212">
        <v>240830</v>
      </c>
      <c r="L4" s="212">
        <v>241045</v>
      </c>
      <c r="M4" s="212">
        <v>241261</v>
      </c>
      <c r="N4" s="212">
        <v>241478</v>
      </c>
      <c r="O4" s="212">
        <v>241697</v>
      </c>
      <c r="P4" s="212">
        <v>241913</v>
      </c>
      <c r="Q4" s="212">
        <v>242122</v>
      </c>
      <c r="R4" s="212">
        <v>242336</v>
      </c>
      <c r="S4" s="212">
        <v>242562</v>
      </c>
      <c r="T4" s="212">
        <v>242785</v>
      </c>
      <c r="U4" s="212">
        <v>243009</v>
      </c>
      <c r="V4" s="212">
        <v>243241</v>
      </c>
      <c r="W4" s="212">
        <v>243451</v>
      </c>
      <c r="X4" s="212">
        <v>243660</v>
      </c>
      <c r="Y4" s="212">
        <v>243881</v>
      </c>
      <c r="Z4" s="212">
        <v>244099</v>
      </c>
      <c r="AA4" s="212">
        <v>244321</v>
      </c>
      <c r="AB4" s="212">
        <v>244545</v>
      </c>
      <c r="AC4" s="212">
        <v>244766</v>
      </c>
      <c r="AD4" s="212">
        <v>244982</v>
      </c>
      <c r="AE4" s="212">
        <v>245184</v>
      </c>
      <c r="AF4" s="212">
        <v>245405</v>
      </c>
      <c r="AG4" s="287"/>
      <c r="AH4" s="287"/>
      <c r="AI4" s="212">
        <v>238666</v>
      </c>
      <c r="AJ4" s="318"/>
      <c r="AK4" s="318"/>
      <c r="AN4" s="288"/>
    </row>
    <row r="5" spans="1:40" ht="20.100000000000001" customHeight="1">
      <c r="A5" s="285" t="s">
        <v>55</v>
      </c>
      <c r="B5" s="212">
        <v>6227058</v>
      </c>
      <c r="C5" s="212">
        <v>6234638</v>
      </c>
      <c r="D5" s="212">
        <v>6241955</v>
      </c>
      <c r="E5" s="212">
        <v>6249336</v>
      </c>
      <c r="F5" s="212">
        <v>6256787</v>
      </c>
      <c r="G5" s="212">
        <v>6264317</v>
      </c>
      <c r="H5" s="212">
        <v>6271638</v>
      </c>
      <c r="I5" s="212">
        <v>6278708</v>
      </c>
      <c r="J5" s="212">
        <v>6285423</v>
      </c>
      <c r="K5" s="212">
        <v>6292293</v>
      </c>
      <c r="L5" s="212">
        <v>6299828</v>
      </c>
      <c r="M5" s="212">
        <v>6307298</v>
      </c>
      <c r="N5" s="212">
        <v>6315019</v>
      </c>
      <c r="O5" s="212">
        <v>6322821</v>
      </c>
      <c r="P5" s="212">
        <v>6330365</v>
      </c>
      <c r="Q5" s="212">
        <v>6337470</v>
      </c>
      <c r="R5" s="212">
        <v>6344620</v>
      </c>
      <c r="S5" s="212">
        <v>6352243</v>
      </c>
      <c r="T5" s="212">
        <v>6359697</v>
      </c>
      <c r="U5" s="212">
        <v>6367499</v>
      </c>
      <c r="V5" s="212">
        <v>6375398</v>
      </c>
      <c r="W5" s="212">
        <v>6382466</v>
      </c>
      <c r="X5" s="212">
        <v>6389454</v>
      </c>
      <c r="Y5" s="212">
        <v>6397948</v>
      </c>
      <c r="Z5" s="212">
        <v>6403968</v>
      </c>
      <c r="AA5" s="212">
        <v>6411663</v>
      </c>
      <c r="AB5" s="212">
        <v>6419489</v>
      </c>
      <c r="AC5" s="212">
        <v>6427224</v>
      </c>
      <c r="AD5" s="212">
        <v>6434474</v>
      </c>
      <c r="AE5" s="212">
        <v>6441106</v>
      </c>
      <c r="AF5" s="212">
        <v>6448127</v>
      </c>
      <c r="AG5" s="287"/>
      <c r="AH5" s="287"/>
      <c r="AI5" s="212">
        <v>6219224</v>
      </c>
      <c r="AJ5" s="318"/>
      <c r="AK5" s="318"/>
      <c r="AN5" s="288"/>
    </row>
    <row r="6" spans="1:40" ht="20.100000000000001" customHeight="1">
      <c r="A6" s="285" t="s">
        <v>56</v>
      </c>
      <c r="B6" s="212">
        <v>3025759</v>
      </c>
      <c r="C6" s="212">
        <v>3028976</v>
      </c>
      <c r="D6" s="212">
        <v>3032245</v>
      </c>
      <c r="E6" s="212">
        <v>3035864</v>
      </c>
      <c r="F6" s="212">
        <v>3039433</v>
      </c>
      <c r="G6" s="212">
        <v>3043004</v>
      </c>
      <c r="H6" s="212">
        <v>3046471</v>
      </c>
      <c r="I6" s="212">
        <v>3049697</v>
      </c>
      <c r="J6" s="212">
        <v>3052757</v>
      </c>
      <c r="K6" s="212">
        <v>3055901</v>
      </c>
      <c r="L6" s="212">
        <v>3059040</v>
      </c>
      <c r="M6" s="212">
        <v>3062235</v>
      </c>
      <c r="N6" s="212">
        <v>3065514</v>
      </c>
      <c r="O6" s="212">
        <v>3068781</v>
      </c>
      <c r="P6" s="212">
        <v>3072077</v>
      </c>
      <c r="Q6" s="212">
        <v>3075275</v>
      </c>
      <c r="R6" s="212">
        <v>3078513</v>
      </c>
      <c r="S6" s="212">
        <v>3082058</v>
      </c>
      <c r="T6" s="212">
        <v>3085542</v>
      </c>
      <c r="U6" s="212">
        <v>3088972</v>
      </c>
      <c r="V6" s="212">
        <v>3092635</v>
      </c>
      <c r="W6" s="212">
        <v>3095896</v>
      </c>
      <c r="X6" s="212">
        <v>3099066</v>
      </c>
      <c r="Y6" s="212">
        <v>3102418</v>
      </c>
      <c r="Z6" s="212">
        <v>3105796</v>
      </c>
      <c r="AA6" s="212">
        <v>3109234</v>
      </c>
      <c r="AB6" s="212">
        <v>3112664</v>
      </c>
      <c r="AC6" s="212">
        <v>3116057</v>
      </c>
      <c r="AD6" s="212">
        <v>3119403</v>
      </c>
      <c r="AE6" s="212">
        <v>3122499</v>
      </c>
      <c r="AF6" s="212">
        <v>3125948</v>
      </c>
      <c r="AG6" s="287"/>
      <c r="AH6" s="287"/>
      <c r="AI6" s="212">
        <v>3022204</v>
      </c>
      <c r="AJ6" s="318"/>
      <c r="AK6" s="318"/>
      <c r="AN6" s="288"/>
    </row>
    <row r="7" spans="1:40" ht="20.100000000000001" customHeight="1">
      <c r="A7" s="285" t="s">
        <v>57</v>
      </c>
      <c r="B7" s="212">
        <v>7410482</v>
      </c>
      <c r="C7" s="212">
        <v>7423667</v>
      </c>
      <c r="D7" s="212">
        <v>7437099</v>
      </c>
      <c r="E7" s="212">
        <v>7450753</v>
      </c>
      <c r="F7" s="212">
        <v>7464707</v>
      </c>
      <c r="G7" s="212">
        <v>7479013</v>
      </c>
      <c r="H7" s="212">
        <v>7493376</v>
      </c>
      <c r="I7" s="212">
        <v>7508290</v>
      </c>
      <c r="J7" s="212">
        <v>7521562</v>
      </c>
      <c r="K7" s="212">
        <v>7528455</v>
      </c>
      <c r="L7" s="212">
        <v>7535599</v>
      </c>
      <c r="M7" s="212">
        <v>7542917</v>
      </c>
      <c r="N7" s="212">
        <v>7550283</v>
      </c>
      <c r="O7" s="212">
        <v>7557190</v>
      </c>
      <c r="P7" s="212">
        <v>7564796</v>
      </c>
      <c r="Q7" s="212">
        <v>7571242</v>
      </c>
      <c r="R7" s="212">
        <v>7571319</v>
      </c>
      <c r="S7" s="212">
        <v>7571435</v>
      </c>
      <c r="T7" s="212">
        <v>7571512</v>
      </c>
      <c r="U7" s="212">
        <v>7571590</v>
      </c>
      <c r="V7" s="212">
        <v>7571671</v>
      </c>
      <c r="W7" s="212">
        <v>7571746</v>
      </c>
      <c r="X7" s="212">
        <v>7573125</v>
      </c>
      <c r="Y7" s="212">
        <v>7581342</v>
      </c>
      <c r="Z7" s="212">
        <v>7589940</v>
      </c>
      <c r="AA7" s="212">
        <v>7598435</v>
      </c>
      <c r="AB7" s="212">
        <v>7607702</v>
      </c>
      <c r="AC7" s="212">
        <v>7616407</v>
      </c>
      <c r="AD7" s="212">
        <v>7624847</v>
      </c>
      <c r="AE7" s="212">
        <v>7634324</v>
      </c>
      <c r="AF7" s="212">
        <v>7650169</v>
      </c>
      <c r="AG7" s="287"/>
      <c r="AH7" s="287"/>
      <c r="AI7" s="212">
        <v>7399265</v>
      </c>
      <c r="AJ7" s="318"/>
      <c r="AK7" s="318"/>
      <c r="AN7" s="288"/>
    </row>
    <row r="8" spans="1:40" ht="20.100000000000001" customHeight="1">
      <c r="A8" s="285" t="s">
        <v>58</v>
      </c>
      <c r="B8" s="212">
        <v>2418397</v>
      </c>
      <c r="C8" s="212">
        <v>2418397</v>
      </c>
      <c r="D8" s="212">
        <v>2418397</v>
      </c>
      <c r="E8" s="212">
        <v>2418397</v>
      </c>
      <c r="F8" s="212">
        <v>2418397</v>
      </c>
      <c r="G8" s="212">
        <v>2418397</v>
      </c>
      <c r="H8" s="212">
        <v>2418397</v>
      </c>
      <c r="I8" s="212">
        <v>2418397</v>
      </c>
      <c r="J8" s="212">
        <v>2418686</v>
      </c>
      <c r="K8" s="212">
        <v>2420674</v>
      </c>
      <c r="L8" s="212">
        <v>2422951</v>
      </c>
      <c r="M8" s="212">
        <v>2425275</v>
      </c>
      <c r="N8" s="212">
        <v>2427621</v>
      </c>
      <c r="O8" s="212">
        <v>2429826</v>
      </c>
      <c r="P8" s="212">
        <v>2432245</v>
      </c>
      <c r="Q8" s="212">
        <v>2434984</v>
      </c>
      <c r="R8" s="212">
        <v>2440670</v>
      </c>
      <c r="S8" s="212">
        <v>2446560</v>
      </c>
      <c r="T8" s="212">
        <v>2451916</v>
      </c>
      <c r="U8" s="212">
        <v>2457793</v>
      </c>
      <c r="V8" s="212">
        <v>2464158</v>
      </c>
      <c r="W8" s="212">
        <v>2470041</v>
      </c>
      <c r="X8" s="212">
        <v>2475747</v>
      </c>
      <c r="Y8" s="212">
        <v>2478250</v>
      </c>
      <c r="Z8" s="212">
        <v>2480867</v>
      </c>
      <c r="AA8" s="212">
        <v>2483487</v>
      </c>
      <c r="AB8" s="212">
        <v>2486305</v>
      </c>
      <c r="AC8" s="212">
        <v>2488968</v>
      </c>
      <c r="AD8" s="212">
        <v>2491507</v>
      </c>
      <c r="AE8" s="212">
        <v>2493724</v>
      </c>
      <c r="AF8" s="212">
        <v>2494433</v>
      </c>
      <c r="AG8" s="287"/>
      <c r="AH8" s="287"/>
      <c r="AI8" s="212">
        <v>2417664</v>
      </c>
      <c r="AJ8" s="318"/>
      <c r="AK8" s="318"/>
      <c r="AN8" s="288"/>
    </row>
    <row r="9" spans="1:40" ht="20.100000000000001" customHeight="1">
      <c r="A9" s="285" t="s">
        <v>59</v>
      </c>
      <c r="B9" s="214">
        <v>15712452</v>
      </c>
      <c r="C9" s="214">
        <v>15724777</v>
      </c>
      <c r="D9" s="214">
        <v>15737118</v>
      </c>
      <c r="E9" s="214">
        <v>15749541</v>
      </c>
      <c r="F9" s="214">
        <v>15762339</v>
      </c>
      <c r="G9" s="214">
        <v>15775586</v>
      </c>
      <c r="H9" s="214">
        <v>15788765</v>
      </c>
      <c r="I9" s="214">
        <v>15802207</v>
      </c>
      <c r="J9" s="214">
        <v>15815220</v>
      </c>
      <c r="K9" s="214">
        <v>15827813</v>
      </c>
      <c r="L9" s="214">
        <v>15840902</v>
      </c>
      <c r="M9" s="214">
        <v>15854304</v>
      </c>
      <c r="N9" s="214">
        <v>15867626</v>
      </c>
      <c r="O9" s="214">
        <v>15880973</v>
      </c>
      <c r="P9" s="214">
        <v>15894350</v>
      </c>
      <c r="Q9" s="214">
        <v>15907682</v>
      </c>
      <c r="R9" s="214">
        <v>15921383</v>
      </c>
      <c r="S9" s="214">
        <v>15935504</v>
      </c>
      <c r="T9" s="214">
        <v>15949253</v>
      </c>
      <c r="U9" s="214">
        <v>15962990</v>
      </c>
      <c r="V9" s="214">
        <v>15977950</v>
      </c>
      <c r="W9" s="214">
        <v>15991443</v>
      </c>
      <c r="X9" s="214">
        <v>16005313</v>
      </c>
      <c r="Y9" s="214">
        <v>16019362</v>
      </c>
      <c r="Z9" s="214">
        <v>16033400</v>
      </c>
      <c r="AA9" s="214">
        <v>16047527</v>
      </c>
      <c r="AB9" s="214">
        <v>16061776</v>
      </c>
      <c r="AC9" s="214">
        <v>16075568</v>
      </c>
      <c r="AD9" s="214">
        <v>16089278</v>
      </c>
      <c r="AE9" s="214">
        <v>16102394</v>
      </c>
      <c r="AF9" s="214">
        <v>16116265</v>
      </c>
      <c r="AG9" s="290"/>
      <c r="AH9" s="290"/>
      <c r="AI9" s="214">
        <v>15699988</v>
      </c>
      <c r="AJ9" s="318"/>
      <c r="AK9" s="318"/>
      <c r="AN9" s="288"/>
    </row>
    <row r="10" spans="1:40" ht="20.100000000000001" customHeight="1">
      <c r="A10" s="285" t="s">
        <v>60</v>
      </c>
      <c r="B10" s="212">
        <v>4904647</v>
      </c>
      <c r="C10" s="212">
        <v>4908580</v>
      </c>
      <c r="D10" s="212">
        <v>4912533</v>
      </c>
      <c r="E10" s="212">
        <v>4917114</v>
      </c>
      <c r="F10" s="212">
        <v>4921723</v>
      </c>
      <c r="G10" s="212">
        <v>4926320</v>
      </c>
      <c r="H10" s="212">
        <v>4930052</v>
      </c>
      <c r="I10" s="212">
        <v>4934702</v>
      </c>
      <c r="J10" s="212">
        <v>4937753</v>
      </c>
      <c r="K10" s="212">
        <v>4940965</v>
      </c>
      <c r="L10" s="212">
        <v>4944405</v>
      </c>
      <c r="M10" s="212">
        <v>4947844</v>
      </c>
      <c r="N10" s="212">
        <v>4951353</v>
      </c>
      <c r="O10" s="212">
        <v>4954944</v>
      </c>
      <c r="P10" s="212">
        <v>4958376</v>
      </c>
      <c r="Q10" s="212">
        <v>4961628</v>
      </c>
      <c r="R10" s="212">
        <v>4965652</v>
      </c>
      <c r="S10" s="212">
        <v>4970393</v>
      </c>
      <c r="T10" s="212">
        <v>4975051</v>
      </c>
      <c r="U10" s="212">
        <v>4979739</v>
      </c>
      <c r="V10" s="212">
        <v>4984678</v>
      </c>
      <c r="W10" s="212">
        <v>4988857</v>
      </c>
      <c r="X10" s="212">
        <v>4992685</v>
      </c>
      <c r="Y10" s="212">
        <v>4996715</v>
      </c>
      <c r="Z10" s="212">
        <v>5001259</v>
      </c>
      <c r="AA10" s="212">
        <v>5005832</v>
      </c>
      <c r="AB10" s="212">
        <v>5010485</v>
      </c>
      <c r="AC10" s="212">
        <v>5015016</v>
      </c>
      <c r="AD10" s="212">
        <v>5019287</v>
      </c>
      <c r="AE10" s="212">
        <v>5022883</v>
      </c>
      <c r="AF10" s="212">
        <v>5026963</v>
      </c>
      <c r="AG10" s="287"/>
      <c r="AH10" s="287"/>
      <c r="AI10" s="212">
        <v>4900197</v>
      </c>
      <c r="AJ10" s="318"/>
      <c r="AK10" s="318"/>
      <c r="AN10" s="288"/>
    </row>
    <row r="11" spans="1:40" ht="22.5" customHeight="1">
      <c r="A11" s="285" t="s">
        <v>61</v>
      </c>
      <c r="B11" s="212">
        <v>188031</v>
      </c>
      <c r="C11" s="212">
        <v>188199</v>
      </c>
      <c r="D11" s="212">
        <v>188372</v>
      </c>
      <c r="E11" s="212">
        <v>188539</v>
      </c>
      <c r="F11" s="212">
        <v>188707</v>
      </c>
      <c r="G11" s="212">
        <v>188875</v>
      </c>
      <c r="H11" s="212">
        <v>189044</v>
      </c>
      <c r="I11" s="212">
        <v>189198</v>
      </c>
      <c r="J11" s="212">
        <v>189346</v>
      </c>
      <c r="K11" s="212">
        <v>189498</v>
      </c>
      <c r="L11" s="212">
        <v>189655</v>
      </c>
      <c r="M11" s="212">
        <v>189816</v>
      </c>
      <c r="N11" s="212">
        <v>189976</v>
      </c>
      <c r="O11" s="212">
        <v>190143</v>
      </c>
      <c r="P11" s="212">
        <v>190306</v>
      </c>
      <c r="Q11" s="212">
        <v>190462</v>
      </c>
      <c r="R11" s="212">
        <v>190619</v>
      </c>
      <c r="S11" s="212">
        <v>190779</v>
      </c>
      <c r="T11" s="212">
        <v>190937</v>
      </c>
      <c r="U11" s="212">
        <v>191106</v>
      </c>
      <c r="V11" s="212">
        <v>191278</v>
      </c>
      <c r="W11" s="212">
        <v>191433</v>
      </c>
      <c r="X11" s="212">
        <v>191587</v>
      </c>
      <c r="Y11" s="212">
        <v>191749</v>
      </c>
      <c r="Z11" s="212">
        <v>191911</v>
      </c>
      <c r="AA11" s="212">
        <v>192076</v>
      </c>
      <c r="AB11" s="212">
        <v>192242</v>
      </c>
      <c r="AC11" s="212">
        <v>192405</v>
      </c>
      <c r="AD11" s="212">
        <v>192564</v>
      </c>
      <c r="AE11" s="212">
        <v>192710</v>
      </c>
      <c r="AF11" s="212">
        <v>192871</v>
      </c>
      <c r="AG11" s="287"/>
      <c r="AH11" s="287"/>
      <c r="AI11" s="212">
        <v>187867</v>
      </c>
      <c r="AJ11" s="318"/>
      <c r="AK11" s="318"/>
      <c r="AN11" s="288"/>
    </row>
    <row r="12" spans="1:40" s="294" customFormat="1" ht="18" customHeight="1">
      <c r="A12" s="291" t="s">
        <v>62</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293"/>
      <c r="AH12" s="293"/>
      <c r="AI12" s="162"/>
    </row>
    <row r="13" spans="1:40" ht="25.5">
      <c r="A13" s="282" t="s">
        <v>63</v>
      </c>
      <c r="B13" s="181" t="s">
        <v>106</v>
      </c>
      <c r="C13" s="181" t="s">
        <v>106</v>
      </c>
      <c r="D13" s="181" t="s">
        <v>106</v>
      </c>
      <c r="E13" s="181" t="s">
        <v>106</v>
      </c>
      <c r="F13" s="181" t="s">
        <v>106</v>
      </c>
      <c r="G13" s="181" t="s">
        <v>106</v>
      </c>
      <c r="H13" s="181" t="s">
        <v>106</v>
      </c>
      <c r="I13" s="181" t="s">
        <v>106</v>
      </c>
      <c r="J13" s="181" t="s">
        <v>106</v>
      </c>
      <c r="K13" s="181" t="s">
        <v>106</v>
      </c>
      <c r="L13" s="181" t="s">
        <v>106</v>
      </c>
      <c r="M13" s="181" t="s">
        <v>106</v>
      </c>
      <c r="N13" s="181" t="s">
        <v>106</v>
      </c>
      <c r="O13" s="181" t="s">
        <v>106</v>
      </c>
      <c r="P13" s="181" t="s">
        <v>106</v>
      </c>
      <c r="Q13" s="181" t="s">
        <v>106</v>
      </c>
      <c r="R13" s="181" t="s">
        <v>106</v>
      </c>
      <c r="S13" s="181" t="s">
        <v>106</v>
      </c>
      <c r="T13" s="181" t="s">
        <v>106</v>
      </c>
      <c r="U13" s="181" t="s">
        <v>106</v>
      </c>
      <c r="V13" s="181" t="s">
        <v>106</v>
      </c>
      <c r="W13" s="181" t="s">
        <v>106</v>
      </c>
      <c r="X13" s="181" t="s">
        <v>106</v>
      </c>
      <c r="Y13" s="181" t="s">
        <v>106</v>
      </c>
      <c r="Z13" s="181" t="s">
        <v>106</v>
      </c>
      <c r="AA13" s="181" t="s">
        <v>106</v>
      </c>
      <c r="AB13" s="181" t="s">
        <v>106</v>
      </c>
      <c r="AC13" s="181" t="s">
        <v>106</v>
      </c>
      <c r="AD13" s="181" t="s">
        <v>106</v>
      </c>
      <c r="AE13" s="181" t="s">
        <v>106</v>
      </c>
      <c r="AF13" s="181" t="s">
        <v>106</v>
      </c>
      <c r="AG13" s="296"/>
      <c r="AH13" s="296"/>
      <c r="AI13" s="181" t="s">
        <v>106</v>
      </c>
    </row>
    <row r="14" spans="1:40">
      <c r="A14" s="282" t="s">
        <v>66</v>
      </c>
      <c r="B14" s="182">
        <v>251973.84</v>
      </c>
      <c r="C14" s="182">
        <v>253359.88</v>
      </c>
      <c r="D14" s="182">
        <v>253359.88</v>
      </c>
      <c r="E14" s="182">
        <v>253359.88</v>
      </c>
      <c r="F14" s="182">
        <v>253359.88</v>
      </c>
      <c r="G14" s="182">
        <v>253359.88</v>
      </c>
      <c r="H14" s="182">
        <v>253359.88</v>
      </c>
      <c r="I14" s="182">
        <v>253359.88</v>
      </c>
      <c r="J14" s="182">
        <v>254732.23</v>
      </c>
      <c r="K14" s="182">
        <v>254732.23</v>
      </c>
      <c r="L14" s="182">
        <v>254732.23</v>
      </c>
      <c r="M14" s="182">
        <v>254732.23</v>
      </c>
      <c r="N14" s="182">
        <v>254732.23</v>
      </c>
      <c r="O14" s="182">
        <v>254732.23</v>
      </c>
      <c r="P14" s="182">
        <v>254732.23</v>
      </c>
      <c r="Q14" s="182">
        <v>255826.26</v>
      </c>
      <c r="R14" s="182">
        <v>254732.23</v>
      </c>
      <c r="S14" s="182">
        <v>254732.23</v>
      </c>
      <c r="T14" s="182">
        <v>254732.23</v>
      </c>
      <c r="U14" s="182">
        <v>254732.23</v>
      </c>
      <c r="V14" s="182">
        <v>254732.23</v>
      </c>
      <c r="W14" s="182">
        <v>254732.23</v>
      </c>
      <c r="X14" s="182">
        <v>257345.26</v>
      </c>
      <c r="Y14" s="182">
        <v>257345.26</v>
      </c>
      <c r="Z14" s="182">
        <v>257345.26</v>
      </c>
      <c r="AA14" s="182">
        <v>257345.26</v>
      </c>
      <c r="AB14" s="182">
        <v>257345.26</v>
      </c>
      <c r="AC14" s="182">
        <v>257345.26</v>
      </c>
      <c r="AD14" s="182">
        <v>257345.26</v>
      </c>
      <c r="AE14" s="182">
        <v>258462.1</v>
      </c>
      <c r="AF14" s="182">
        <v>258462.1</v>
      </c>
      <c r="AG14" s="319"/>
      <c r="AH14" s="319"/>
      <c r="AI14" s="182">
        <v>251973.84</v>
      </c>
    </row>
    <row r="15" spans="1:40" ht="25.5">
      <c r="A15" s="282" t="s">
        <v>67</v>
      </c>
      <c r="B15" s="183">
        <v>1476</v>
      </c>
      <c r="C15" s="183">
        <v>1479</v>
      </c>
      <c r="D15" s="183">
        <v>1479</v>
      </c>
      <c r="E15" s="183">
        <v>1480</v>
      </c>
      <c r="F15" s="183">
        <v>1480</v>
      </c>
      <c r="G15" s="183">
        <v>1481</v>
      </c>
      <c r="H15" s="183">
        <v>1482</v>
      </c>
      <c r="I15" s="183">
        <v>1482</v>
      </c>
      <c r="J15" s="183">
        <v>1483</v>
      </c>
      <c r="K15" s="183">
        <v>1483</v>
      </c>
      <c r="L15" s="183">
        <v>1483</v>
      </c>
      <c r="M15" s="183">
        <v>1484</v>
      </c>
      <c r="N15" s="183">
        <v>1484</v>
      </c>
      <c r="O15" s="183">
        <v>1485</v>
      </c>
      <c r="P15" s="183">
        <v>1485</v>
      </c>
      <c r="Q15" s="183">
        <v>1485</v>
      </c>
      <c r="R15" s="183">
        <v>1485</v>
      </c>
      <c r="S15" s="183">
        <v>1486</v>
      </c>
      <c r="T15" s="183">
        <v>1486</v>
      </c>
      <c r="U15" s="183">
        <v>1486</v>
      </c>
      <c r="V15" s="183">
        <v>1487</v>
      </c>
      <c r="W15" s="183">
        <v>1487</v>
      </c>
      <c r="X15" s="183">
        <v>1488</v>
      </c>
      <c r="Y15" s="183">
        <v>1489</v>
      </c>
      <c r="Z15" s="183">
        <v>1489</v>
      </c>
      <c r="AA15" s="183">
        <v>1489</v>
      </c>
      <c r="AB15" s="183">
        <v>1490</v>
      </c>
      <c r="AC15" s="183">
        <v>1490</v>
      </c>
      <c r="AD15" s="183">
        <v>1490</v>
      </c>
      <c r="AE15" s="183">
        <v>1492</v>
      </c>
      <c r="AF15" s="183">
        <v>1493</v>
      </c>
      <c r="AG15" s="320"/>
      <c r="AH15" s="320"/>
      <c r="AI15" s="183">
        <v>1476</v>
      </c>
    </row>
    <row r="16" spans="1:40" ht="25.5">
      <c r="A16" s="282" t="s">
        <v>68</v>
      </c>
      <c r="B16" s="183">
        <v>4590</v>
      </c>
      <c r="C16" s="183">
        <v>4590</v>
      </c>
      <c r="D16" s="183">
        <v>4590</v>
      </c>
      <c r="E16" s="183">
        <v>4590</v>
      </c>
      <c r="F16" s="183">
        <v>4590</v>
      </c>
      <c r="G16" s="183">
        <v>4590</v>
      </c>
      <c r="H16" s="183">
        <v>4590</v>
      </c>
      <c r="I16" s="183">
        <v>4590</v>
      </c>
      <c r="J16" s="183">
        <v>4664</v>
      </c>
      <c r="K16" s="183">
        <v>4664</v>
      </c>
      <c r="L16" s="183">
        <v>4664</v>
      </c>
      <c r="M16" s="183">
        <v>4664</v>
      </c>
      <c r="N16" s="183">
        <v>4664</v>
      </c>
      <c r="O16" s="183">
        <v>4664</v>
      </c>
      <c r="P16" s="183">
        <v>4664</v>
      </c>
      <c r="Q16" s="183">
        <v>4735</v>
      </c>
      <c r="R16" s="183">
        <v>4735</v>
      </c>
      <c r="S16" s="183">
        <v>4735</v>
      </c>
      <c r="T16" s="183">
        <v>4735</v>
      </c>
      <c r="U16" s="183">
        <v>4735</v>
      </c>
      <c r="V16" s="183">
        <v>4735</v>
      </c>
      <c r="W16" s="183">
        <v>4735</v>
      </c>
      <c r="X16" s="183">
        <v>4951</v>
      </c>
      <c r="Y16" s="183">
        <v>4951</v>
      </c>
      <c r="Z16" s="183">
        <v>4951</v>
      </c>
      <c r="AA16" s="183">
        <v>4951</v>
      </c>
      <c r="AB16" s="183">
        <v>4951</v>
      </c>
      <c r="AC16" s="183">
        <v>4951</v>
      </c>
      <c r="AD16" s="183">
        <v>4951</v>
      </c>
      <c r="AE16" s="183">
        <v>4951</v>
      </c>
      <c r="AF16" s="183">
        <v>4951</v>
      </c>
      <c r="AG16" s="320"/>
      <c r="AH16" s="320"/>
      <c r="AI16" s="183">
        <v>4590</v>
      </c>
    </row>
    <row r="17" spans="1:36" ht="20.100000000000001" customHeight="1">
      <c r="A17" s="303"/>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304"/>
      <c r="AH17" s="304"/>
      <c r="AI17" s="162"/>
    </row>
    <row r="18" spans="1:36">
      <c r="A18" s="282" t="s">
        <v>69</v>
      </c>
      <c r="B18" s="181" t="s">
        <v>106</v>
      </c>
      <c r="C18" s="181" t="s">
        <v>106</v>
      </c>
      <c r="D18" s="181" t="s">
        <v>106</v>
      </c>
      <c r="E18" s="181" t="s">
        <v>106</v>
      </c>
      <c r="F18" s="181" t="s">
        <v>106</v>
      </c>
      <c r="G18" s="181" t="s">
        <v>106</v>
      </c>
      <c r="H18" s="181" t="s">
        <v>106</v>
      </c>
      <c r="I18" s="181" t="s">
        <v>106</v>
      </c>
      <c r="J18" s="181" t="s">
        <v>106</v>
      </c>
      <c r="K18" s="181" t="s">
        <v>106</v>
      </c>
      <c r="L18" s="181" t="s">
        <v>106</v>
      </c>
      <c r="M18" s="181" t="s">
        <v>106</v>
      </c>
      <c r="N18" s="181" t="s">
        <v>106</v>
      </c>
      <c r="O18" s="181" t="s">
        <v>106</v>
      </c>
      <c r="P18" s="181" t="s">
        <v>106</v>
      </c>
      <c r="Q18" s="181" t="s">
        <v>106</v>
      </c>
      <c r="R18" s="181" t="s">
        <v>106</v>
      </c>
      <c r="S18" s="181" t="s">
        <v>106</v>
      </c>
      <c r="T18" s="181" t="s">
        <v>106</v>
      </c>
      <c r="U18" s="181" t="s">
        <v>106</v>
      </c>
      <c r="V18" s="181" t="s">
        <v>106</v>
      </c>
      <c r="W18" s="181" t="s">
        <v>106</v>
      </c>
      <c r="X18" s="181" t="s">
        <v>106</v>
      </c>
      <c r="Y18" s="181" t="s">
        <v>106</v>
      </c>
      <c r="Z18" s="181" t="s">
        <v>106</v>
      </c>
      <c r="AA18" s="181" t="s">
        <v>106</v>
      </c>
      <c r="AB18" s="181" t="s">
        <v>106</v>
      </c>
      <c r="AC18" s="181" t="s">
        <v>106</v>
      </c>
      <c r="AD18" s="181" t="s">
        <v>106</v>
      </c>
      <c r="AE18" s="181" t="s">
        <v>106</v>
      </c>
      <c r="AF18" s="181" t="s">
        <v>106</v>
      </c>
      <c r="AG18" s="296"/>
      <c r="AH18" s="296"/>
      <c r="AI18" s="181" t="s">
        <v>106</v>
      </c>
    </row>
    <row r="19" spans="1:36" ht="25.5">
      <c r="A19" s="282" t="s">
        <v>70</v>
      </c>
      <c r="B19" s="186">
        <v>63861.599999999999</v>
      </c>
      <c r="C19" s="186">
        <v>63899.7</v>
      </c>
      <c r="D19" s="186">
        <v>63955.5</v>
      </c>
      <c r="E19" s="186">
        <v>64014.400000000001</v>
      </c>
      <c r="F19" s="186">
        <v>64073.2</v>
      </c>
      <c r="G19" s="186">
        <v>64136.2</v>
      </c>
      <c r="H19" s="186">
        <v>64178.1</v>
      </c>
      <c r="I19" s="186">
        <v>64273.599999999999</v>
      </c>
      <c r="J19" s="186">
        <v>64273.599999999999</v>
      </c>
      <c r="K19" s="186">
        <v>64324.9</v>
      </c>
      <c r="L19" s="186">
        <v>64365.1</v>
      </c>
      <c r="M19" s="186">
        <v>64423.9</v>
      </c>
      <c r="N19" s="186">
        <v>64481.1</v>
      </c>
      <c r="O19" s="186">
        <v>64539.1</v>
      </c>
      <c r="P19" s="186">
        <v>64595.4</v>
      </c>
      <c r="Q19" s="186">
        <v>64629.1</v>
      </c>
      <c r="R19" s="186">
        <v>64667.3</v>
      </c>
      <c r="S19" s="186">
        <v>64731.1</v>
      </c>
      <c r="T19" s="186">
        <v>64794.1</v>
      </c>
      <c r="U19" s="186">
        <v>64852.1</v>
      </c>
      <c r="V19" s="186">
        <v>64905.9</v>
      </c>
      <c r="W19" s="186">
        <v>64966.6</v>
      </c>
      <c r="X19" s="186">
        <v>64999.4</v>
      </c>
      <c r="Y19" s="186">
        <v>65043.1</v>
      </c>
      <c r="Z19" s="186">
        <v>65106.1</v>
      </c>
      <c r="AA19" s="186">
        <v>65172.6</v>
      </c>
      <c r="AB19" s="186">
        <v>65238.5</v>
      </c>
      <c r="AC19" s="186">
        <v>65301.3</v>
      </c>
      <c r="AD19" s="186">
        <v>65365.7</v>
      </c>
      <c r="AE19" s="186">
        <v>65403.5</v>
      </c>
      <c r="AF19" s="186">
        <v>65439.9</v>
      </c>
      <c r="AG19" s="321"/>
      <c r="AH19" s="321"/>
      <c r="AI19" s="186">
        <v>63803.7</v>
      </c>
      <c r="AJ19" s="307"/>
    </row>
    <row r="20" spans="1:36" ht="25.5">
      <c r="A20" s="282" t="s">
        <v>71</v>
      </c>
      <c r="B20" s="183" t="s">
        <v>1307</v>
      </c>
      <c r="C20" s="183" t="s">
        <v>1307</v>
      </c>
      <c r="D20" s="183" t="s">
        <v>1307</v>
      </c>
      <c r="E20" s="183" t="s">
        <v>1307</v>
      </c>
      <c r="F20" s="183" t="s">
        <v>1307</v>
      </c>
      <c r="G20" s="183" t="s">
        <v>1307</v>
      </c>
      <c r="H20" s="183" t="s">
        <v>1307</v>
      </c>
      <c r="I20" s="183" t="s">
        <v>1307</v>
      </c>
      <c r="J20" s="183" t="s">
        <v>1307</v>
      </c>
      <c r="K20" s="183" t="s">
        <v>1307</v>
      </c>
      <c r="L20" s="183" t="s">
        <v>1307</v>
      </c>
      <c r="M20" s="183" t="s">
        <v>1307</v>
      </c>
      <c r="N20" s="183" t="s">
        <v>1307</v>
      </c>
      <c r="O20" s="183" t="s">
        <v>1307</v>
      </c>
      <c r="P20" s="183" t="s">
        <v>1307</v>
      </c>
      <c r="Q20" s="183" t="s">
        <v>1307</v>
      </c>
      <c r="R20" s="183" t="s">
        <v>1307</v>
      </c>
      <c r="S20" s="183" t="s">
        <v>1307</v>
      </c>
      <c r="T20" s="183" t="s">
        <v>1307</v>
      </c>
      <c r="U20" s="183" t="s">
        <v>1307</v>
      </c>
      <c r="V20" s="183" t="s">
        <v>1307</v>
      </c>
      <c r="W20" s="183" t="s">
        <v>1307</v>
      </c>
      <c r="X20" s="183" t="s">
        <v>1307</v>
      </c>
      <c r="Y20" s="183" t="s">
        <v>1307</v>
      </c>
      <c r="Z20" s="183" t="s">
        <v>1307</v>
      </c>
      <c r="AA20" s="183" t="s">
        <v>1307</v>
      </c>
      <c r="AB20" s="183" t="s">
        <v>1307</v>
      </c>
      <c r="AC20" s="183" t="s">
        <v>1307</v>
      </c>
      <c r="AD20" s="183" t="s">
        <v>1307</v>
      </c>
      <c r="AE20" s="183" t="s">
        <v>1307</v>
      </c>
      <c r="AF20" s="183" t="s">
        <v>1307</v>
      </c>
      <c r="AG20" s="209"/>
      <c r="AH20" s="209"/>
      <c r="AI20" s="183" t="s">
        <v>1307</v>
      </c>
      <c r="AJ20" s="307"/>
    </row>
    <row r="21" spans="1:36" ht="25.5">
      <c r="A21" s="282" t="s">
        <v>72</v>
      </c>
      <c r="B21" s="183">
        <v>95031</v>
      </c>
      <c r="C21" s="183">
        <v>96541</v>
      </c>
      <c r="D21" s="183">
        <v>96541</v>
      </c>
      <c r="E21" s="183">
        <v>96541</v>
      </c>
      <c r="F21" s="183">
        <v>96541</v>
      </c>
      <c r="G21" s="183">
        <v>96541</v>
      </c>
      <c r="H21" s="183">
        <v>96541</v>
      </c>
      <c r="I21" s="183">
        <v>96541</v>
      </c>
      <c r="J21" s="183">
        <v>97947</v>
      </c>
      <c r="K21" s="183">
        <v>97947</v>
      </c>
      <c r="L21" s="183">
        <v>97947</v>
      </c>
      <c r="M21" s="183">
        <v>97947</v>
      </c>
      <c r="N21" s="183">
        <v>97947</v>
      </c>
      <c r="O21" s="183">
        <v>97947</v>
      </c>
      <c r="P21" s="183">
        <v>97947</v>
      </c>
      <c r="Q21" s="183">
        <v>99336</v>
      </c>
      <c r="R21" s="183">
        <v>97947</v>
      </c>
      <c r="S21" s="183">
        <v>97947</v>
      </c>
      <c r="T21" s="183">
        <v>97947</v>
      </c>
      <c r="U21" s="183">
        <v>97947</v>
      </c>
      <c r="V21" s="183">
        <v>97947</v>
      </c>
      <c r="W21" s="183">
        <v>97947</v>
      </c>
      <c r="X21" s="183">
        <v>100786</v>
      </c>
      <c r="Y21" s="183">
        <v>100786</v>
      </c>
      <c r="Z21" s="183">
        <v>100786</v>
      </c>
      <c r="AA21" s="183">
        <v>100786</v>
      </c>
      <c r="AB21" s="183">
        <v>100786</v>
      </c>
      <c r="AC21" s="183">
        <v>100786</v>
      </c>
      <c r="AD21" s="183">
        <v>100786</v>
      </c>
      <c r="AE21" s="183">
        <v>102313</v>
      </c>
      <c r="AF21" s="183">
        <v>102313</v>
      </c>
      <c r="AG21" s="321"/>
      <c r="AH21" s="321"/>
      <c r="AI21" s="183">
        <v>95031</v>
      </c>
      <c r="AJ21" s="307"/>
    </row>
    <row r="22" spans="1:36" ht="25.5">
      <c r="A22" s="282" t="s">
        <v>73</v>
      </c>
      <c r="B22" s="322">
        <v>150641</v>
      </c>
      <c r="C22" s="322">
        <v>150770</v>
      </c>
      <c r="D22" s="322">
        <v>150906</v>
      </c>
      <c r="E22" s="322">
        <v>151057</v>
      </c>
      <c r="F22" s="322">
        <v>151189</v>
      </c>
      <c r="G22" s="322">
        <v>151342</v>
      </c>
      <c r="H22" s="322">
        <v>151480</v>
      </c>
      <c r="I22" s="322">
        <v>151624</v>
      </c>
      <c r="J22" s="322">
        <v>151764</v>
      </c>
      <c r="K22" s="322">
        <v>151886</v>
      </c>
      <c r="L22" s="322">
        <v>152022</v>
      </c>
      <c r="M22" s="322">
        <v>152167</v>
      </c>
      <c r="N22" s="322">
        <v>152299</v>
      </c>
      <c r="O22" s="322">
        <v>152432</v>
      </c>
      <c r="P22" s="322">
        <v>152559</v>
      </c>
      <c r="Q22" s="322">
        <v>152695</v>
      </c>
      <c r="R22" s="322">
        <v>152839</v>
      </c>
      <c r="S22" s="322">
        <v>153010</v>
      </c>
      <c r="T22" s="322">
        <v>153160</v>
      </c>
      <c r="U22" s="322">
        <v>153331</v>
      </c>
      <c r="V22" s="322">
        <v>153501</v>
      </c>
      <c r="W22" s="322">
        <v>153648</v>
      </c>
      <c r="X22" s="322">
        <v>153815</v>
      </c>
      <c r="Y22" s="322">
        <v>153962</v>
      </c>
      <c r="Z22" s="322">
        <v>154120</v>
      </c>
      <c r="AA22" s="322">
        <v>154268</v>
      </c>
      <c r="AB22" s="322">
        <v>154435</v>
      </c>
      <c r="AC22" s="322">
        <v>154582</v>
      </c>
      <c r="AD22" s="322">
        <v>154715</v>
      </c>
      <c r="AE22" s="322">
        <v>154854</v>
      </c>
      <c r="AF22" s="322">
        <v>155011</v>
      </c>
      <c r="AG22" s="321">
        <f>AF22-AI22</f>
        <v>4517</v>
      </c>
      <c r="AH22" s="321"/>
      <c r="AI22" s="322">
        <v>150494</v>
      </c>
      <c r="AJ22" s="307">
        <v>4517</v>
      </c>
    </row>
    <row r="23" spans="1:36">
      <c r="A23" s="309" t="s">
        <v>136</v>
      </c>
      <c r="B23" s="183">
        <v>3542</v>
      </c>
      <c r="C23" s="183">
        <v>3589</v>
      </c>
      <c r="D23" s="183">
        <v>3589</v>
      </c>
      <c r="E23" s="183">
        <v>3589</v>
      </c>
      <c r="F23" s="183">
        <v>3589</v>
      </c>
      <c r="G23" s="183">
        <v>3589</v>
      </c>
      <c r="H23" s="183">
        <v>3589</v>
      </c>
      <c r="I23" s="183">
        <v>3589</v>
      </c>
      <c r="J23" s="183">
        <v>3632</v>
      </c>
      <c r="K23" s="183">
        <v>3632</v>
      </c>
      <c r="L23" s="183">
        <v>3632</v>
      </c>
      <c r="M23" s="183">
        <v>3632</v>
      </c>
      <c r="N23" s="183">
        <v>3632</v>
      </c>
      <c r="O23" s="183">
        <v>3632</v>
      </c>
      <c r="P23" s="183">
        <v>3632</v>
      </c>
      <c r="Q23" s="183">
        <v>3635</v>
      </c>
      <c r="R23" s="183">
        <v>3632</v>
      </c>
      <c r="S23" s="183">
        <v>3632</v>
      </c>
      <c r="T23" s="183">
        <v>3632</v>
      </c>
      <c r="U23" s="183">
        <v>3632</v>
      </c>
      <c r="V23" s="183">
        <v>3632</v>
      </c>
      <c r="W23" s="183">
        <v>3632</v>
      </c>
      <c r="X23" s="183">
        <v>3699</v>
      </c>
      <c r="Y23" s="183">
        <v>3699</v>
      </c>
      <c r="Z23" s="183">
        <v>3699</v>
      </c>
      <c r="AA23" s="183">
        <v>3699</v>
      </c>
      <c r="AB23" s="183">
        <v>3699</v>
      </c>
      <c r="AC23" s="183">
        <v>3699</v>
      </c>
      <c r="AD23" s="183">
        <v>3699</v>
      </c>
      <c r="AE23" s="183">
        <v>3764</v>
      </c>
      <c r="AF23" s="183">
        <v>3764</v>
      </c>
      <c r="AG23" s="323">
        <f>AF23-B23</f>
        <v>222</v>
      </c>
      <c r="AH23" s="208">
        <v>222</v>
      </c>
      <c r="AI23" s="183">
        <v>3542</v>
      </c>
      <c r="AJ23" s="307"/>
    </row>
    <row r="24" spans="1:36">
      <c r="A24" s="309" t="s">
        <v>139</v>
      </c>
      <c r="B24" s="183">
        <v>3570</v>
      </c>
      <c r="C24" s="183">
        <v>3627</v>
      </c>
      <c r="D24" s="183">
        <v>3627</v>
      </c>
      <c r="E24" s="183">
        <v>3627</v>
      </c>
      <c r="F24" s="183">
        <v>3627</v>
      </c>
      <c r="G24" s="183">
        <v>3627</v>
      </c>
      <c r="H24" s="183">
        <v>3627</v>
      </c>
      <c r="I24" s="183">
        <v>3627</v>
      </c>
      <c r="J24" s="183">
        <v>3686</v>
      </c>
      <c r="K24" s="183">
        <v>3686</v>
      </c>
      <c r="L24" s="183">
        <v>3686</v>
      </c>
      <c r="M24" s="183">
        <v>3686</v>
      </c>
      <c r="N24" s="183">
        <v>3686</v>
      </c>
      <c r="O24" s="183">
        <v>3686</v>
      </c>
      <c r="P24" s="183">
        <v>3686</v>
      </c>
      <c r="Q24" s="183">
        <v>3749</v>
      </c>
      <c r="R24" s="183">
        <v>3686</v>
      </c>
      <c r="S24" s="183">
        <v>3686</v>
      </c>
      <c r="T24" s="183">
        <v>3686</v>
      </c>
      <c r="U24" s="183">
        <v>3686</v>
      </c>
      <c r="V24" s="183">
        <v>3686</v>
      </c>
      <c r="W24" s="183">
        <v>3686</v>
      </c>
      <c r="X24" s="183">
        <v>3821</v>
      </c>
      <c r="Y24" s="183">
        <v>3821</v>
      </c>
      <c r="Z24" s="183">
        <v>3821</v>
      </c>
      <c r="AA24" s="183">
        <v>3821</v>
      </c>
      <c r="AB24" s="183">
        <v>3821</v>
      </c>
      <c r="AC24" s="183">
        <v>3821</v>
      </c>
      <c r="AD24" s="183">
        <v>3821</v>
      </c>
      <c r="AE24" s="183">
        <v>3900</v>
      </c>
      <c r="AF24" s="183">
        <v>3900</v>
      </c>
      <c r="AG24" s="323">
        <f t="shared" ref="AG24:AG29" si="0">AF24-B24</f>
        <v>330</v>
      </c>
      <c r="AH24" s="208">
        <v>330</v>
      </c>
      <c r="AI24" s="183">
        <v>3570</v>
      </c>
      <c r="AJ24" s="307"/>
    </row>
    <row r="25" spans="1:36">
      <c r="A25" s="309" t="s">
        <v>142</v>
      </c>
      <c r="B25" s="183">
        <v>1388</v>
      </c>
      <c r="C25" s="183">
        <v>1412</v>
      </c>
      <c r="D25" s="183">
        <v>1412</v>
      </c>
      <c r="E25" s="183">
        <v>1412</v>
      </c>
      <c r="F25" s="183">
        <v>1412</v>
      </c>
      <c r="G25" s="183">
        <v>1412</v>
      </c>
      <c r="H25" s="183">
        <v>1412</v>
      </c>
      <c r="I25" s="183">
        <v>1412</v>
      </c>
      <c r="J25" s="183">
        <v>1426</v>
      </c>
      <c r="K25" s="183">
        <v>1426</v>
      </c>
      <c r="L25" s="183">
        <v>1426</v>
      </c>
      <c r="M25" s="183">
        <v>1426</v>
      </c>
      <c r="N25" s="183">
        <v>1426</v>
      </c>
      <c r="O25" s="183">
        <v>1426</v>
      </c>
      <c r="P25" s="183">
        <v>1426</v>
      </c>
      <c r="Q25" s="183">
        <v>1426</v>
      </c>
      <c r="R25" s="183">
        <v>1426</v>
      </c>
      <c r="S25" s="183">
        <v>1426</v>
      </c>
      <c r="T25" s="183">
        <v>1426</v>
      </c>
      <c r="U25" s="183">
        <v>1426</v>
      </c>
      <c r="V25" s="183">
        <v>1426</v>
      </c>
      <c r="W25" s="183">
        <v>1426</v>
      </c>
      <c r="X25" s="183">
        <v>1443</v>
      </c>
      <c r="Y25" s="183">
        <v>1443</v>
      </c>
      <c r="Z25" s="183">
        <v>1443</v>
      </c>
      <c r="AA25" s="183">
        <v>1443</v>
      </c>
      <c r="AB25" s="183">
        <v>1443</v>
      </c>
      <c r="AC25" s="183">
        <v>1443</v>
      </c>
      <c r="AD25" s="183">
        <v>1443</v>
      </c>
      <c r="AE25" s="183">
        <v>1456</v>
      </c>
      <c r="AF25" s="183">
        <v>1456</v>
      </c>
      <c r="AG25" s="323">
        <f t="shared" si="0"/>
        <v>68</v>
      </c>
      <c r="AH25" s="208">
        <v>68</v>
      </c>
      <c r="AI25" s="183">
        <v>1388</v>
      </c>
      <c r="AJ25" s="307"/>
    </row>
    <row r="26" spans="1:36">
      <c r="A26" s="309" t="s">
        <v>145</v>
      </c>
      <c r="B26" s="183">
        <v>280</v>
      </c>
      <c r="C26" s="183">
        <v>299</v>
      </c>
      <c r="D26" s="183">
        <v>299</v>
      </c>
      <c r="E26" s="183">
        <v>299</v>
      </c>
      <c r="F26" s="183">
        <v>299</v>
      </c>
      <c r="G26" s="183">
        <v>299</v>
      </c>
      <c r="H26" s="183">
        <v>299</v>
      </c>
      <c r="I26" s="183">
        <v>299</v>
      </c>
      <c r="J26" s="183">
        <v>310</v>
      </c>
      <c r="K26" s="183">
        <v>310</v>
      </c>
      <c r="L26" s="183">
        <v>310</v>
      </c>
      <c r="M26" s="183">
        <v>310</v>
      </c>
      <c r="N26" s="183">
        <v>310</v>
      </c>
      <c r="O26" s="183">
        <v>310</v>
      </c>
      <c r="P26" s="183">
        <v>310</v>
      </c>
      <c r="Q26" s="183">
        <v>312</v>
      </c>
      <c r="R26" s="183">
        <v>310</v>
      </c>
      <c r="S26" s="183">
        <v>310</v>
      </c>
      <c r="T26" s="183">
        <v>310</v>
      </c>
      <c r="U26" s="183">
        <v>310</v>
      </c>
      <c r="V26" s="183">
        <v>310</v>
      </c>
      <c r="W26" s="183">
        <v>310</v>
      </c>
      <c r="X26" s="183">
        <v>326</v>
      </c>
      <c r="Y26" s="183">
        <v>326</v>
      </c>
      <c r="Z26" s="183">
        <v>326</v>
      </c>
      <c r="AA26" s="183">
        <v>326</v>
      </c>
      <c r="AB26" s="183">
        <v>326</v>
      </c>
      <c r="AC26" s="183">
        <v>326</v>
      </c>
      <c r="AD26" s="183">
        <v>326</v>
      </c>
      <c r="AE26" s="183">
        <v>338</v>
      </c>
      <c r="AF26" s="183">
        <v>338</v>
      </c>
      <c r="AG26" s="323">
        <f t="shared" si="0"/>
        <v>58</v>
      </c>
      <c r="AH26" s="208">
        <v>58</v>
      </c>
      <c r="AI26" s="183">
        <v>280</v>
      </c>
      <c r="AJ26" s="307"/>
    </row>
    <row r="27" spans="1:36">
      <c r="A27" s="309" t="s">
        <v>148</v>
      </c>
      <c r="B27" s="183">
        <v>4162</v>
      </c>
      <c r="C27" s="183">
        <v>4213</v>
      </c>
      <c r="D27" s="183">
        <v>4213</v>
      </c>
      <c r="E27" s="183">
        <v>4213</v>
      </c>
      <c r="F27" s="183">
        <v>4213</v>
      </c>
      <c r="G27" s="183">
        <v>4213</v>
      </c>
      <c r="H27" s="183">
        <v>4213</v>
      </c>
      <c r="I27" s="183">
        <v>4213</v>
      </c>
      <c r="J27" s="183">
        <v>4264</v>
      </c>
      <c r="K27" s="183">
        <v>4264</v>
      </c>
      <c r="L27" s="183">
        <v>4264</v>
      </c>
      <c r="M27" s="183">
        <v>4264</v>
      </c>
      <c r="N27" s="183">
        <v>4264</v>
      </c>
      <c r="O27" s="183">
        <v>4264</v>
      </c>
      <c r="P27" s="183">
        <v>4264</v>
      </c>
      <c r="Q27" s="183">
        <v>4270</v>
      </c>
      <c r="R27" s="183">
        <v>4264</v>
      </c>
      <c r="S27" s="183">
        <v>4264</v>
      </c>
      <c r="T27" s="183">
        <v>4264</v>
      </c>
      <c r="U27" s="183">
        <v>4264</v>
      </c>
      <c r="V27" s="183">
        <v>4264</v>
      </c>
      <c r="W27" s="183">
        <v>4264</v>
      </c>
      <c r="X27" s="183">
        <v>4378</v>
      </c>
      <c r="Y27" s="183">
        <v>4378</v>
      </c>
      <c r="Z27" s="183">
        <v>4378</v>
      </c>
      <c r="AA27" s="183">
        <v>4378</v>
      </c>
      <c r="AB27" s="183">
        <v>4378</v>
      </c>
      <c r="AC27" s="183">
        <v>4378</v>
      </c>
      <c r="AD27" s="183">
        <v>4378</v>
      </c>
      <c r="AE27" s="183">
        <v>4413</v>
      </c>
      <c r="AF27" s="183">
        <v>4413</v>
      </c>
      <c r="AG27" s="323">
        <f t="shared" si="0"/>
        <v>251</v>
      </c>
      <c r="AH27" s="208">
        <v>251</v>
      </c>
      <c r="AI27" s="183">
        <v>4162</v>
      </c>
      <c r="AJ27" s="307"/>
    </row>
    <row r="28" spans="1:36">
      <c r="A28" s="309" t="s">
        <v>151</v>
      </c>
      <c r="B28" s="183">
        <v>829</v>
      </c>
      <c r="C28" s="183">
        <v>841</v>
      </c>
      <c r="D28" s="183">
        <v>841</v>
      </c>
      <c r="E28" s="183">
        <v>841</v>
      </c>
      <c r="F28" s="183">
        <v>841</v>
      </c>
      <c r="G28" s="183">
        <v>841</v>
      </c>
      <c r="H28" s="183">
        <v>841</v>
      </c>
      <c r="I28" s="183">
        <v>841</v>
      </c>
      <c r="J28" s="183">
        <v>853</v>
      </c>
      <c r="K28" s="183">
        <v>853</v>
      </c>
      <c r="L28" s="183">
        <v>853</v>
      </c>
      <c r="M28" s="183">
        <v>853</v>
      </c>
      <c r="N28" s="183">
        <v>853</v>
      </c>
      <c r="O28" s="183">
        <v>853</v>
      </c>
      <c r="P28" s="183">
        <v>853</v>
      </c>
      <c r="Q28" s="183">
        <v>860</v>
      </c>
      <c r="R28" s="183">
        <v>853</v>
      </c>
      <c r="S28" s="183">
        <v>853</v>
      </c>
      <c r="T28" s="183">
        <v>853</v>
      </c>
      <c r="U28" s="183">
        <v>853</v>
      </c>
      <c r="V28" s="183">
        <v>853</v>
      </c>
      <c r="W28" s="183">
        <v>853</v>
      </c>
      <c r="X28" s="183">
        <v>872</v>
      </c>
      <c r="Y28" s="183">
        <v>872</v>
      </c>
      <c r="Z28" s="183">
        <v>872</v>
      </c>
      <c r="AA28" s="183">
        <v>872</v>
      </c>
      <c r="AB28" s="183">
        <v>872</v>
      </c>
      <c r="AC28" s="183">
        <v>872</v>
      </c>
      <c r="AD28" s="183">
        <v>872</v>
      </c>
      <c r="AE28" s="183">
        <v>883</v>
      </c>
      <c r="AF28" s="183">
        <v>883</v>
      </c>
      <c r="AG28" s="323">
        <f t="shared" si="0"/>
        <v>54</v>
      </c>
      <c r="AH28" s="208">
        <v>54</v>
      </c>
      <c r="AI28" s="183">
        <v>829</v>
      </c>
      <c r="AJ28" s="307"/>
    </row>
    <row r="29" spans="1:36">
      <c r="A29" s="309" t="s">
        <v>154</v>
      </c>
      <c r="B29" s="183">
        <v>377</v>
      </c>
      <c r="C29" s="183">
        <v>383</v>
      </c>
      <c r="D29" s="183">
        <v>383</v>
      </c>
      <c r="E29" s="183">
        <v>383</v>
      </c>
      <c r="F29" s="183">
        <v>383</v>
      </c>
      <c r="G29" s="183">
        <v>383</v>
      </c>
      <c r="H29" s="183">
        <v>383</v>
      </c>
      <c r="I29" s="183">
        <v>383</v>
      </c>
      <c r="J29" s="183">
        <v>389</v>
      </c>
      <c r="K29" s="183">
        <v>389</v>
      </c>
      <c r="L29" s="183">
        <v>389</v>
      </c>
      <c r="M29" s="183">
        <v>389</v>
      </c>
      <c r="N29" s="183">
        <v>389</v>
      </c>
      <c r="O29" s="183">
        <v>389</v>
      </c>
      <c r="P29" s="183">
        <v>389</v>
      </c>
      <c r="Q29" s="183">
        <v>396</v>
      </c>
      <c r="R29" s="183">
        <v>389</v>
      </c>
      <c r="S29" s="183">
        <v>389</v>
      </c>
      <c r="T29" s="183">
        <v>389</v>
      </c>
      <c r="U29" s="183">
        <v>389</v>
      </c>
      <c r="V29" s="183">
        <v>389</v>
      </c>
      <c r="W29" s="183">
        <v>389</v>
      </c>
      <c r="X29" s="183">
        <v>401</v>
      </c>
      <c r="Y29" s="183">
        <v>401</v>
      </c>
      <c r="Z29" s="183">
        <v>401</v>
      </c>
      <c r="AA29" s="183">
        <v>401</v>
      </c>
      <c r="AB29" s="183">
        <v>401</v>
      </c>
      <c r="AC29" s="183">
        <v>401</v>
      </c>
      <c r="AD29" s="183">
        <v>401</v>
      </c>
      <c r="AE29" s="183">
        <v>407</v>
      </c>
      <c r="AF29" s="183">
        <v>407</v>
      </c>
      <c r="AG29" s="323">
        <f t="shared" si="0"/>
        <v>30</v>
      </c>
      <c r="AH29" s="208">
        <v>30</v>
      </c>
      <c r="AI29" s="183">
        <v>377</v>
      </c>
      <c r="AJ29" s="307"/>
    </row>
    <row r="30" spans="1:36">
      <c r="A30" s="303"/>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304"/>
      <c r="AH30" s="304"/>
      <c r="AI30" s="162"/>
      <c r="AJ30" s="307"/>
    </row>
    <row r="31" spans="1:36">
      <c r="A31" s="282" t="s">
        <v>74</v>
      </c>
      <c r="B31" s="181" t="s">
        <v>157</v>
      </c>
      <c r="C31" s="181" t="s">
        <v>157</v>
      </c>
      <c r="D31" s="181" t="s">
        <v>157</v>
      </c>
      <c r="E31" s="181" t="s">
        <v>157</v>
      </c>
      <c r="F31" s="181" t="s">
        <v>157</v>
      </c>
      <c r="G31" s="181" t="s">
        <v>157</v>
      </c>
      <c r="H31" s="181" t="s">
        <v>157</v>
      </c>
      <c r="I31" s="181" t="s">
        <v>157</v>
      </c>
      <c r="J31" s="181" t="s">
        <v>157</v>
      </c>
      <c r="K31" s="181" t="s">
        <v>157</v>
      </c>
      <c r="L31" s="181" t="s">
        <v>157</v>
      </c>
      <c r="M31" s="181" t="s">
        <v>157</v>
      </c>
      <c r="N31" s="181" t="s">
        <v>157</v>
      </c>
      <c r="O31" s="181" t="s">
        <v>157</v>
      </c>
      <c r="P31" s="181" t="s">
        <v>157</v>
      </c>
      <c r="Q31" s="181" t="s">
        <v>157</v>
      </c>
      <c r="R31" s="181" t="s">
        <v>157</v>
      </c>
      <c r="S31" s="181" t="s">
        <v>157</v>
      </c>
      <c r="T31" s="181" t="s">
        <v>157</v>
      </c>
      <c r="U31" s="181" t="s">
        <v>157</v>
      </c>
      <c r="V31" s="181" t="s">
        <v>157</v>
      </c>
      <c r="W31" s="181" t="s">
        <v>157</v>
      </c>
      <c r="X31" s="181" t="s">
        <v>157</v>
      </c>
      <c r="Y31" s="181" t="s">
        <v>157</v>
      </c>
      <c r="Z31" s="181" t="s">
        <v>157</v>
      </c>
      <c r="AA31" s="181" t="s">
        <v>157</v>
      </c>
      <c r="AB31" s="181" t="s">
        <v>157</v>
      </c>
      <c r="AC31" s="181" t="s">
        <v>157</v>
      </c>
      <c r="AD31" s="181" t="s">
        <v>157</v>
      </c>
      <c r="AE31" s="181" t="s">
        <v>157</v>
      </c>
      <c r="AF31" s="181" t="s">
        <v>157</v>
      </c>
      <c r="AG31" s="296"/>
      <c r="AH31" s="296"/>
      <c r="AI31" s="181" t="s">
        <v>157</v>
      </c>
      <c r="AJ31" s="307"/>
    </row>
    <row r="32" spans="1:36" ht="25.5">
      <c r="A32" s="282" t="s">
        <v>77</v>
      </c>
      <c r="B32" s="190" t="s">
        <v>78</v>
      </c>
      <c r="C32" s="190" t="s">
        <v>78</v>
      </c>
      <c r="D32" s="190" t="s">
        <v>78</v>
      </c>
      <c r="E32" s="190" t="s">
        <v>78</v>
      </c>
      <c r="F32" s="190" t="s">
        <v>78</v>
      </c>
      <c r="G32" s="190" t="s">
        <v>78</v>
      </c>
      <c r="H32" s="190" t="s">
        <v>78</v>
      </c>
      <c r="I32" s="190" t="s">
        <v>78</v>
      </c>
      <c r="J32" s="190" t="s">
        <v>78</v>
      </c>
      <c r="K32" s="190" t="s">
        <v>78</v>
      </c>
      <c r="L32" s="190" t="s">
        <v>78</v>
      </c>
      <c r="M32" s="190" t="s">
        <v>78</v>
      </c>
      <c r="N32" s="190" t="s">
        <v>78</v>
      </c>
      <c r="O32" s="190" t="s">
        <v>78</v>
      </c>
      <c r="P32" s="190" t="s">
        <v>78</v>
      </c>
      <c r="Q32" s="190" t="s">
        <v>78</v>
      </c>
      <c r="R32" s="190" t="s">
        <v>78</v>
      </c>
      <c r="S32" s="190" t="s">
        <v>78</v>
      </c>
      <c r="T32" s="190" t="s">
        <v>78</v>
      </c>
      <c r="U32" s="190" t="s">
        <v>78</v>
      </c>
      <c r="V32" s="190" t="s">
        <v>78</v>
      </c>
      <c r="W32" s="190" t="s">
        <v>78</v>
      </c>
      <c r="X32" s="190" t="s">
        <v>78</v>
      </c>
      <c r="Y32" s="190" t="s">
        <v>78</v>
      </c>
      <c r="Z32" s="190" t="s">
        <v>78</v>
      </c>
      <c r="AA32" s="190" t="s">
        <v>78</v>
      </c>
      <c r="AB32" s="190" t="s">
        <v>78</v>
      </c>
      <c r="AC32" s="190" t="s">
        <v>78</v>
      </c>
      <c r="AD32" s="190" t="s">
        <v>78</v>
      </c>
      <c r="AE32" s="190" t="s">
        <v>78</v>
      </c>
      <c r="AF32" s="190" t="s">
        <v>78</v>
      </c>
      <c r="AG32" s="209"/>
      <c r="AH32" s="209"/>
      <c r="AI32" s="190" t="s">
        <v>78</v>
      </c>
      <c r="AJ32" s="307"/>
    </row>
    <row r="33" spans="1:36" ht="25.5">
      <c r="A33" s="282" t="s">
        <v>80</v>
      </c>
      <c r="B33" s="187" t="s">
        <v>1308</v>
      </c>
      <c r="C33" s="187" t="s">
        <v>1309</v>
      </c>
      <c r="D33" s="187" t="s">
        <v>1309</v>
      </c>
      <c r="E33" s="187" t="s">
        <v>1309</v>
      </c>
      <c r="F33" s="187" t="s">
        <v>1310</v>
      </c>
      <c r="G33" s="187" t="s">
        <v>1311</v>
      </c>
      <c r="H33" s="187" t="s">
        <v>1312</v>
      </c>
      <c r="I33" s="187" t="s">
        <v>1312</v>
      </c>
      <c r="J33" s="187" t="s">
        <v>1313</v>
      </c>
      <c r="K33" s="187" t="s">
        <v>1314</v>
      </c>
      <c r="L33" s="187" t="s">
        <v>1315</v>
      </c>
      <c r="M33" s="187" t="s">
        <v>1314</v>
      </c>
      <c r="N33" s="187" t="s">
        <v>1316</v>
      </c>
      <c r="O33" s="187" t="s">
        <v>1317</v>
      </c>
      <c r="P33" s="187" t="s">
        <v>1317</v>
      </c>
      <c r="Q33" s="187" t="s">
        <v>1317</v>
      </c>
      <c r="R33" s="187" t="s">
        <v>1318</v>
      </c>
      <c r="S33" s="187" t="s">
        <v>1319</v>
      </c>
      <c r="T33" s="187" t="s">
        <v>1320</v>
      </c>
      <c r="U33" s="187" t="s">
        <v>1320</v>
      </c>
      <c r="V33" s="187" t="s">
        <v>1321</v>
      </c>
      <c r="W33" s="187" t="s">
        <v>1322</v>
      </c>
      <c r="X33" s="187" t="s">
        <v>1322</v>
      </c>
      <c r="Y33" s="187" t="s">
        <v>1323</v>
      </c>
      <c r="Z33" s="187" t="s">
        <v>1324</v>
      </c>
      <c r="AA33" s="187" t="s">
        <v>1325</v>
      </c>
      <c r="AB33" s="187" t="s">
        <v>1325</v>
      </c>
      <c r="AC33" s="187" t="s">
        <v>1325</v>
      </c>
      <c r="AD33" s="187" t="s">
        <v>1326</v>
      </c>
      <c r="AE33" s="187" t="s">
        <v>1326</v>
      </c>
      <c r="AF33" s="187" t="s">
        <v>1327</v>
      </c>
      <c r="AG33" s="209"/>
      <c r="AH33" s="209"/>
      <c r="AI33" s="187" t="s">
        <v>1328</v>
      </c>
      <c r="AJ33" s="307"/>
    </row>
    <row r="34" spans="1:36" ht="15.75" thickBot="1">
      <c r="A34" s="310" t="s">
        <v>81</v>
      </c>
      <c r="B34" s="187" t="s">
        <v>1329</v>
      </c>
      <c r="C34" s="187" t="s">
        <v>1329</v>
      </c>
      <c r="D34" s="187" t="s">
        <v>1329</v>
      </c>
      <c r="E34" s="187" t="s">
        <v>1329</v>
      </c>
      <c r="F34" s="187" t="s">
        <v>1329</v>
      </c>
      <c r="G34" s="187" t="s">
        <v>1329</v>
      </c>
      <c r="H34" s="187" t="s">
        <v>1329</v>
      </c>
      <c r="I34" s="187" t="s">
        <v>1329</v>
      </c>
      <c r="J34" s="187" t="s">
        <v>1329</v>
      </c>
      <c r="K34" s="187" t="s">
        <v>1329</v>
      </c>
      <c r="L34" s="187" t="s">
        <v>1329</v>
      </c>
      <c r="M34" s="187" t="s">
        <v>1329</v>
      </c>
      <c r="N34" s="187" t="s">
        <v>1329</v>
      </c>
      <c r="O34" s="187" t="s">
        <v>1329</v>
      </c>
      <c r="P34" s="187" t="s">
        <v>1329</v>
      </c>
      <c r="Q34" s="187" t="s">
        <v>1329</v>
      </c>
      <c r="R34" s="187" t="s">
        <v>1329</v>
      </c>
      <c r="S34" s="187" t="s">
        <v>1329</v>
      </c>
      <c r="T34" s="187" t="s">
        <v>1329</v>
      </c>
      <c r="U34" s="187" t="s">
        <v>1329</v>
      </c>
      <c r="V34" s="187" t="s">
        <v>1329</v>
      </c>
      <c r="W34" s="187" t="s">
        <v>1329</v>
      </c>
      <c r="X34" s="187" t="s">
        <v>1329</v>
      </c>
      <c r="Y34" s="187" t="s">
        <v>1329</v>
      </c>
      <c r="Z34" s="187" t="s">
        <v>1329</v>
      </c>
      <c r="AA34" s="187" t="s">
        <v>1329</v>
      </c>
      <c r="AB34" s="187" t="s">
        <v>1329</v>
      </c>
      <c r="AC34" s="187" t="s">
        <v>1329</v>
      </c>
      <c r="AD34" s="187" t="s">
        <v>1329</v>
      </c>
      <c r="AE34" s="187" t="s">
        <v>1329</v>
      </c>
      <c r="AF34" s="187" t="s">
        <v>1329</v>
      </c>
      <c r="AG34" s="209"/>
      <c r="AH34" s="209"/>
      <c r="AI34" s="187" t="s">
        <v>1329</v>
      </c>
      <c r="AJ34" s="307"/>
    </row>
    <row r="35" spans="1:36">
      <c r="AG35" s="211"/>
      <c r="AH35" s="211"/>
    </row>
    <row r="36" spans="1:36">
      <c r="AG36" s="211"/>
      <c r="AH36" s="211"/>
    </row>
  </sheetData>
  <mergeCells count="1">
    <mergeCell ref="A1:AI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512B-F23C-4492-8B8A-971323048EAB}">
  <dimension ref="A1:AK36"/>
  <sheetViews>
    <sheetView topLeftCell="O5"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4.2851562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45139</v>
      </c>
      <c r="C2" s="281">
        <v>45140</v>
      </c>
      <c r="D2" s="281">
        <v>45141</v>
      </c>
      <c r="E2" s="281">
        <v>45142</v>
      </c>
      <c r="F2" s="281">
        <v>45143</v>
      </c>
      <c r="G2" s="281">
        <v>45144</v>
      </c>
      <c r="H2" s="281">
        <v>45145</v>
      </c>
      <c r="I2" s="281">
        <v>45146</v>
      </c>
      <c r="J2" s="281">
        <v>45147</v>
      </c>
      <c r="K2" s="281">
        <v>45148</v>
      </c>
      <c r="L2" s="281">
        <v>45149</v>
      </c>
      <c r="M2" s="281">
        <v>45150</v>
      </c>
      <c r="N2" s="281">
        <v>45151</v>
      </c>
      <c r="O2" s="281">
        <v>45152</v>
      </c>
      <c r="P2" s="281">
        <v>45153</v>
      </c>
      <c r="Q2" s="281">
        <v>45154</v>
      </c>
      <c r="R2" s="281">
        <v>45155</v>
      </c>
      <c r="S2" s="281">
        <v>45156</v>
      </c>
      <c r="T2" s="281">
        <v>45157</v>
      </c>
      <c r="U2" s="281">
        <v>45158</v>
      </c>
      <c r="V2" s="281">
        <v>45159</v>
      </c>
      <c r="W2" s="281">
        <v>45160</v>
      </c>
      <c r="X2" s="281">
        <v>45161</v>
      </c>
      <c r="Y2" s="281">
        <v>45162</v>
      </c>
      <c r="Z2" s="281">
        <v>45163</v>
      </c>
      <c r="AA2" s="281">
        <v>45164</v>
      </c>
      <c r="AB2" s="281">
        <v>45165</v>
      </c>
      <c r="AC2" s="281">
        <v>45166</v>
      </c>
      <c r="AD2" s="281">
        <v>45167</v>
      </c>
      <c r="AE2" s="281">
        <v>45168</v>
      </c>
      <c r="AF2" s="281">
        <v>45169</v>
      </c>
      <c r="AG2" s="281"/>
      <c r="AH2" s="281">
        <v>45138</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286" t="s">
        <v>1025</v>
      </c>
      <c r="C4" s="286" t="s">
        <v>1026</v>
      </c>
      <c r="D4" s="286" t="s">
        <v>1027</v>
      </c>
      <c r="E4" s="286" t="s">
        <v>1028</v>
      </c>
      <c r="F4" s="286" t="s">
        <v>1029</v>
      </c>
      <c r="G4" s="286" t="s">
        <v>1030</v>
      </c>
      <c r="H4" s="286" t="s">
        <v>1031</v>
      </c>
      <c r="I4" s="286" t="s">
        <v>1032</v>
      </c>
      <c r="J4" s="286" t="s">
        <v>1033</v>
      </c>
      <c r="K4" s="286" t="s">
        <v>1034</v>
      </c>
      <c r="L4" s="286" t="s">
        <v>1035</v>
      </c>
      <c r="M4" s="286" t="s">
        <v>1036</v>
      </c>
      <c r="N4" s="286" t="s">
        <v>1037</v>
      </c>
      <c r="O4" s="286" t="s">
        <v>1038</v>
      </c>
      <c r="P4" s="286" t="s">
        <v>1039</v>
      </c>
      <c r="Q4" s="286" t="s">
        <v>1040</v>
      </c>
      <c r="R4" s="286" t="s">
        <v>1041</v>
      </c>
      <c r="S4" s="286" t="s">
        <v>1042</v>
      </c>
      <c r="T4" s="286" t="s">
        <v>1043</v>
      </c>
      <c r="U4" s="286" t="s">
        <v>1044</v>
      </c>
      <c r="V4" s="286" t="s">
        <v>1045</v>
      </c>
      <c r="W4" s="286" t="s">
        <v>1046</v>
      </c>
      <c r="X4" s="286" t="s">
        <v>1047</v>
      </c>
      <c r="Y4" s="286" t="s">
        <v>1048</v>
      </c>
      <c r="Z4" s="286" t="s">
        <v>1049</v>
      </c>
      <c r="AA4" s="286" t="s">
        <v>1050</v>
      </c>
      <c r="AB4" s="286" t="s">
        <v>1051</v>
      </c>
      <c r="AC4" s="286" t="s">
        <v>1052</v>
      </c>
      <c r="AD4" s="286" t="s">
        <v>1053</v>
      </c>
      <c r="AE4" s="286" t="s">
        <v>1054</v>
      </c>
      <c r="AF4" s="286" t="s">
        <v>782</v>
      </c>
      <c r="AG4" s="287"/>
      <c r="AH4" s="286" t="s">
        <v>1055</v>
      </c>
      <c r="AI4" s="288"/>
    </row>
    <row r="5" spans="1:37" ht="20.100000000000001" customHeight="1">
      <c r="A5" s="285" t="s">
        <v>55</v>
      </c>
      <c r="B5" s="286" t="s">
        <v>1056</v>
      </c>
      <c r="C5" s="286" t="s">
        <v>1057</v>
      </c>
      <c r="D5" s="286" t="s">
        <v>1058</v>
      </c>
      <c r="E5" s="286" t="s">
        <v>1059</v>
      </c>
      <c r="F5" s="286" t="s">
        <v>1060</v>
      </c>
      <c r="G5" s="286" t="s">
        <v>1061</v>
      </c>
      <c r="H5" s="286" t="s">
        <v>1062</v>
      </c>
      <c r="I5" s="286" t="s">
        <v>1063</v>
      </c>
      <c r="J5" s="286" t="s">
        <v>1064</v>
      </c>
      <c r="K5" s="286" t="s">
        <v>1065</v>
      </c>
      <c r="L5" s="286" t="s">
        <v>1066</v>
      </c>
      <c r="M5" s="286" t="s">
        <v>1067</v>
      </c>
      <c r="N5" s="286" t="s">
        <v>1068</v>
      </c>
      <c r="O5" s="286" t="s">
        <v>1069</v>
      </c>
      <c r="P5" s="286" t="s">
        <v>1070</v>
      </c>
      <c r="Q5" s="286" t="s">
        <v>1071</v>
      </c>
      <c r="R5" s="286" t="s">
        <v>1072</v>
      </c>
      <c r="S5" s="286" t="s">
        <v>1073</v>
      </c>
      <c r="T5" s="286" t="s">
        <v>1074</v>
      </c>
      <c r="U5" s="286" t="s">
        <v>1075</v>
      </c>
      <c r="V5" s="286" t="s">
        <v>1076</v>
      </c>
      <c r="W5" s="286" t="s">
        <v>1077</v>
      </c>
      <c r="X5" s="286" t="s">
        <v>1078</v>
      </c>
      <c r="Y5" s="286" t="s">
        <v>1079</v>
      </c>
      <c r="Z5" s="286" t="s">
        <v>1080</v>
      </c>
      <c r="AA5" s="286" t="s">
        <v>1081</v>
      </c>
      <c r="AB5" s="286" t="s">
        <v>1082</v>
      </c>
      <c r="AC5" s="286" t="s">
        <v>1083</v>
      </c>
      <c r="AD5" s="286" t="s">
        <v>1084</v>
      </c>
      <c r="AE5" s="286" t="s">
        <v>1085</v>
      </c>
      <c r="AF5" s="286" t="s">
        <v>813</v>
      </c>
      <c r="AG5" s="287"/>
      <c r="AH5" s="286" t="s">
        <v>1086</v>
      </c>
      <c r="AI5" s="288"/>
    </row>
    <row r="6" spans="1:37" ht="20.100000000000001" customHeight="1">
      <c r="A6" s="285" t="s">
        <v>56</v>
      </c>
      <c r="B6" s="289" t="s">
        <v>1087</v>
      </c>
      <c r="C6" s="313" t="s">
        <v>1088</v>
      </c>
      <c r="D6" s="289" t="s">
        <v>1089</v>
      </c>
      <c r="E6" s="289" t="s">
        <v>1090</v>
      </c>
      <c r="F6" s="289" t="s">
        <v>1091</v>
      </c>
      <c r="G6" s="289" t="s">
        <v>1092</v>
      </c>
      <c r="H6" s="289" t="s">
        <v>1093</v>
      </c>
      <c r="I6" s="289" t="s">
        <v>1094</v>
      </c>
      <c r="J6" s="289" t="s">
        <v>1095</v>
      </c>
      <c r="K6" s="289" t="s">
        <v>1096</v>
      </c>
      <c r="L6" s="289" t="s">
        <v>1097</v>
      </c>
      <c r="M6" s="289" t="s">
        <v>1098</v>
      </c>
      <c r="N6" s="289" t="s">
        <v>1099</v>
      </c>
      <c r="O6" s="289" t="s">
        <v>1100</v>
      </c>
      <c r="P6" s="289" t="s">
        <v>1101</v>
      </c>
      <c r="Q6" s="289" t="s">
        <v>1102</v>
      </c>
      <c r="R6" s="289" t="s">
        <v>1103</v>
      </c>
      <c r="S6" s="289" t="s">
        <v>1104</v>
      </c>
      <c r="T6" s="289" t="s">
        <v>1105</v>
      </c>
      <c r="U6" s="289" t="s">
        <v>1106</v>
      </c>
      <c r="V6" s="289" t="s">
        <v>1107</v>
      </c>
      <c r="W6" s="289" t="s">
        <v>1108</v>
      </c>
      <c r="X6" s="289" t="s">
        <v>1109</v>
      </c>
      <c r="Y6" s="289" t="s">
        <v>1110</v>
      </c>
      <c r="Z6" s="289" t="s">
        <v>1111</v>
      </c>
      <c r="AA6" s="289" t="s">
        <v>1112</v>
      </c>
      <c r="AB6" s="289" t="s">
        <v>1113</v>
      </c>
      <c r="AC6" s="289" t="s">
        <v>1114</v>
      </c>
      <c r="AD6" s="289" t="s">
        <v>1115</v>
      </c>
      <c r="AE6" s="289" t="s">
        <v>1116</v>
      </c>
      <c r="AF6" s="289" t="s">
        <v>844</v>
      </c>
      <c r="AG6" s="287"/>
      <c r="AH6" s="289" t="s">
        <v>1117</v>
      </c>
      <c r="AI6" s="288"/>
    </row>
    <row r="7" spans="1:37" ht="20.100000000000001" customHeight="1">
      <c r="A7" s="285" t="s">
        <v>57</v>
      </c>
      <c r="B7" s="289" t="s">
        <v>1118</v>
      </c>
      <c r="C7" s="289" t="s">
        <v>1119</v>
      </c>
      <c r="D7" s="289" t="s">
        <v>1120</v>
      </c>
      <c r="E7" s="289" t="s">
        <v>1121</v>
      </c>
      <c r="F7" s="289" t="s">
        <v>1122</v>
      </c>
      <c r="G7" s="289" t="s">
        <v>1123</v>
      </c>
      <c r="H7" s="289" t="s">
        <v>1124</v>
      </c>
      <c r="I7" s="289" t="s">
        <v>1125</v>
      </c>
      <c r="J7" s="289" t="s">
        <v>1126</v>
      </c>
      <c r="K7" s="289" t="s">
        <v>1127</v>
      </c>
      <c r="L7" s="289" t="s">
        <v>1128</v>
      </c>
      <c r="M7" s="289" t="s">
        <v>1129</v>
      </c>
      <c r="N7" s="289" t="s">
        <v>1130</v>
      </c>
      <c r="O7" s="289" t="s">
        <v>1131</v>
      </c>
      <c r="P7" s="289" t="s">
        <v>1132</v>
      </c>
      <c r="Q7" s="289" t="s">
        <v>1133</v>
      </c>
      <c r="R7" s="289" t="s">
        <v>1134</v>
      </c>
      <c r="S7" s="289" t="s">
        <v>1135</v>
      </c>
      <c r="T7" s="289" t="s">
        <v>1136</v>
      </c>
      <c r="U7" s="289" t="s">
        <v>1137</v>
      </c>
      <c r="V7" s="289" t="s">
        <v>1138</v>
      </c>
      <c r="W7" s="289" t="s">
        <v>1139</v>
      </c>
      <c r="X7" s="289" t="s">
        <v>1140</v>
      </c>
      <c r="Y7" s="289" t="s">
        <v>1141</v>
      </c>
      <c r="Z7" s="289" t="s">
        <v>1142</v>
      </c>
      <c r="AA7" s="289" t="s">
        <v>1143</v>
      </c>
      <c r="AB7" s="289" t="s">
        <v>1144</v>
      </c>
      <c r="AC7" s="289" t="s">
        <v>1145</v>
      </c>
      <c r="AD7" s="289" t="s">
        <v>1146</v>
      </c>
      <c r="AE7" s="289" t="s">
        <v>1147</v>
      </c>
      <c r="AF7" s="289" t="s">
        <v>875</v>
      </c>
      <c r="AG7" s="287"/>
      <c r="AH7" s="289" t="s">
        <v>1148</v>
      </c>
      <c r="AI7" s="288"/>
    </row>
    <row r="8" spans="1:37" ht="20.100000000000001" customHeight="1">
      <c r="A8" s="285" t="s">
        <v>58</v>
      </c>
      <c r="B8" s="289" t="s">
        <v>1149</v>
      </c>
      <c r="C8" s="289" t="s">
        <v>1150</v>
      </c>
      <c r="D8" s="289" t="s">
        <v>1151</v>
      </c>
      <c r="E8" s="289" t="s">
        <v>1152</v>
      </c>
      <c r="F8" s="289" t="s">
        <v>1153</v>
      </c>
      <c r="G8" s="289" t="s">
        <v>1154</v>
      </c>
      <c r="H8" s="289" t="s">
        <v>1155</v>
      </c>
      <c r="I8" s="289" t="s">
        <v>1156</v>
      </c>
      <c r="J8" s="289" t="s">
        <v>1157</v>
      </c>
      <c r="K8" s="289" t="s">
        <v>1158</v>
      </c>
      <c r="L8" s="289" t="s">
        <v>1159</v>
      </c>
      <c r="M8" s="289" t="s">
        <v>1160</v>
      </c>
      <c r="N8" s="289" t="s">
        <v>1161</v>
      </c>
      <c r="O8" s="289" t="s">
        <v>1162</v>
      </c>
      <c r="P8" s="289" t="s">
        <v>1163</v>
      </c>
      <c r="Q8" s="289" t="s">
        <v>1164</v>
      </c>
      <c r="R8" s="289" t="s">
        <v>1165</v>
      </c>
      <c r="S8" s="289" t="s">
        <v>1166</v>
      </c>
      <c r="T8" s="289" t="s">
        <v>1167</v>
      </c>
      <c r="U8" s="289" t="s">
        <v>1168</v>
      </c>
      <c r="V8" s="289" t="s">
        <v>1169</v>
      </c>
      <c r="W8" s="289" t="s">
        <v>1169</v>
      </c>
      <c r="X8" s="289" t="s">
        <v>1170</v>
      </c>
      <c r="Y8" s="289" t="s">
        <v>1171</v>
      </c>
      <c r="Z8" s="289" t="s">
        <v>1172</v>
      </c>
      <c r="AA8" s="289" t="s">
        <v>1173</v>
      </c>
      <c r="AB8" s="289" t="s">
        <v>1174</v>
      </c>
      <c r="AC8" s="289" t="s">
        <v>1175</v>
      </c>
      <c r="AD8" s="289" t="s">
        <v>1176</v>
      </c>
      <c r="AE8" s="289" t="s">
        <v>1177</v>
      </c>
      <c r="AF8" s="289" t="s">
        <v>901</v>
      </c>
      <c r="AG8" s="287"/>
      <c r="AH8" s="289" t="s">
        <v>1178</v>
      </c>
      <c r="AI8" s="288"/>
    </row>
    <row r="9" spans="1:37" ht="20.100000000000001" customHeight="1">
      <c r="A9" s="285" t="s">
        <v>59</v>
      </c>
      <c r="B9" s="289" t="s">
        <v>1179</v>
      </c>
      <c r="C9" s="289" t="s">
        <v>1180</v>
      </c>
      <c r="D9" s="289" t="s">
        <v>1181</v>
      </c>
      <c r="E9" s="289" t="s">
        <v>1182</v>
      </c>
      <c r="F9" s="289" t="s">
        <v>1183</v>
      </c>
      <c r="G9" s="289" t="s">
        <v>1184</v>
      </c>
      <c r="H9" s="289" t="s">
        <v>1185</v>
      </c>
      <c r="I9" s="289" t="s">
        <v>1186</v>
      </c>
      <c r="J9" s="289" t="s">
        <v>1187</v>
      </c>
      <c r="K9" s="289" t="s">
        <v>1188</v>
      </c>
      <c r="L9" s="289" t="s">
        <v>1189</v>
      </c>
      <c r="M9" s="289" t="s">
        <v>1190</v>
      </c>
      <c r="N9" s="289" t="s">
        <v>1191</v>
      </c>
      <c r="O9" s="289" t="s">
        <v>1192</v>
      </c>
      <c r="P9" s="289" t="s">
        <v>1193</v>
      </c>
      <c r="Q9" s="289" t="s">
        <v>1194</v>
      </c>
      <c r="R9" s="289" t="s">
        <v>1195</v>
      </c>
      <c r="S9" s="289" t="s">
        <v>1196</v>
      </c>
      <c r="T9" s="289" t="s">
        <v>1197</v>
      </c>
      <c r="U9" s="289" t="s">
        <v>1198</v>
      </c>
      <c r="V9" s="289" t="s">
        <v>1199</v>
      </c>
      <c r="W9" s="289" t="s">
        <v>1200</v>
      </c>
      <c r="X9" s="289" t="s">
        <v>1201</v>
      </c>
      <c r="Y9" s="289" t="s">
        <v>1202</v>
      </c>
      <c r="Z9" s="289" t="s">
        <v>1203</v>
      </c>
      <c r="AA9" s="289" t="s">
        <v>1204</v>
      </c>
      <c r="AB9" s="289" t="s">
        <v>1205</v>
      </c>
      <c r="AC9" s="289" t="s">
        <v>1206</v>
      </c>
      <c r="AD9" s="289" t="s">
        <v>1207</v>
      </c>
      <c r="AE9" s="289" t="s">
        <v>1208</v>
      </c>
      <c r="AF9" s="289" t="s">
        <v>932</v>
      </c>
      <c r="AG9" s="290"/>
      <c r="AH9" s="289" t="s">
        <v>1209</v>
      </c>
      <c r="AI9" s="288"/>
    </row>
    <row r="10" spans="1:37" ht="20.100000000000001" customHeight="1">
      <c r="A10" s="285" t="s">
        <v>60</v>
      </c>
      <c r="B10" s="289" t="s">
        <v>1210</v>
      </c>
      <c r="C10" s="289" t="s">
        <v>1211</v>
      </c>
      <c r="D10" s="289" t="s">
        <v>1212</v>
      </c>
      <c r="E10" s="289" t="s">
        <v>1213</v>
      </c>
      <c r="F10" s="289" t="s">
        <v>1214</v>
      </c>
      <c r="G10" s="289" t="s">
        <v>1215</v>
      </c>
      <c r="H10" s="289" t="s">
        <v>1216</v>
      </c>
      <c r="I10" s="289" t="s">
        <v>1217</v>
      </c>
      <c r="J10" s="289" t="s">
        <v>1218</v>
      </c>
      <c r="K10" s="289" t="s">
        <v>1219</v>
      </c>
      <c r="L10" s="289" t="s">
        <v>1220</v>
      </c>
      <c r="M10" s="289" t="s">
        <v>1221</v>
      </c>
      <c r="N10" s="289" t="s">
        <v>1222</v>
      </c>
      <c r="O10" s="289" t="s">
        <v>1223</v>
      </c>
      <c r="P10" s="289" t="s">
        <v>1224</v>
      </c>
      <c r="Q10" s="289" t="s">
        <v>1225</v>
      </c>
      <c r="R10" s="289" t="s">
        <v>1226</v>
      </c>
      <c r="S10" s="289" t="s">
        <v>1227</v>
      </c>
      <c r="T10" s="289" t="s">
        <v>1228</v>
      </c>
      <c r="U10" s="289" t="s">
        <v>1229</v>
      </c>
      <c r="V10" s="289" t="s">
        <v>1230</v>
      </c>
      <c r="W10" s="289" t="s">
        <v>1231</v>
      </c>
      <c r="X10" s="289" t="s">
        <v>1232</v>
      </c>
      <c r="Y10" s="289" t="s">
        <v>1233</v>
      </c>
      <c r="Z10" s="289" t="s">
        <v>1234</v>
      </c>
      <c r="AA10" s="289" t="s">
        <v>1235</v>
      </c>
      <c r="AB10" s="289" t="s">
        <v>1236</v>
      </c>
      <c r="AC10" s="289" t="s">
        <v>1237</v>
      </c>
      <c r="AD10" s="289" t="s">
        <v>1238</v>
      </c>
      <c r="AE10" s="289" t="s">
        <v>1239</v>
      </c>
      <c r="AF10" s="289" t="s">
        <v>963</v>
      </c>
      <c r="AG10" s="287"/>
      <c r="AH10" s="289" t="s">
        <v>1240</v>
      </c>
      <c r="AI10" s="288"/>
    </row>
    <row r="11" spans="1:37" ht="22.5" customHeight="1">
      <c r="A11" s="285" t="s">
        <v>61</v>
      </c>
      <c r="B11" s="289" t="s">
        <v>1241</v>
      </c>
      <c r="C11" s="289" t="s">
        <v>1242</v>
      </c>
      <c r="D11" s="289" t="s">
        <v>1243</v>
      </c>
      <c r="E11" s="289" t="s">
        <v>1244</v>
      </c>
      <c r="F11" s="289" t="s">
        <v>1245</v>
      </c>
      <c r="G11" s="289" t="s">
        <v>1246</v>
      </c>
      <c r="H11" s="289" t="s">
        <v>1247</v>
      </c>
      <c r="I11" s="289" t="s">
        <v>1248</v>
      </c>
      <c r="J11" s="289" t="s">
        <v>1249</v>
      </c>
      <c r="K11" s="289" t="s">
        <v>1250</v>
      </c>
      <c r="L11" s="289" t="s">
        <v>1251</v>
      </c>
      <c r="M11" s="289" t="s">
        <v>1252</v>
      </c>
      <c r="N11" s="289" t="s">
        <v>1253</v>
      </c>
      <c r="O11" s="289" t="s">
        <v>1254</v>
      </c>
      <c r="P11" s="289" t="s">
        <v>1255</v>
      </c>
      <c r="Q11" s="289" t="s">
        <v>1256</v>
      </c>
      <c r="R11" s="289" t="s">
        <v>1257</v>
      </c>
      <c r="S11" s="289" t="s">
        <v>1258</v>
      </c>
      <c r="T11" s="289" t="s">
        <v>1259</v>
      </c>
      <c r="U11" s="289" t="s">
        <v>1260</v>
      </c>
      <c r="V11" s="289" t="s">
        <v>1261</v>
      </c>
      <c r="W11" s="289" t="s">
        <v>1262</v>
      </c>
      <c r="X11" s="289" t="s">
        <v>1263</v>
      </c>
      <c r="Y11" s="289" t="s">
        <v>1264</v>
      </c>
      <c r="Z11" s="289" t="s">
        <v>1265</v>
      </c>
      <c r="AA11" s="289" t="s">
        <v>1266</v>
      </c>
      <c r="AB11" s="289" t="s">
        <v>1267</v>
      </c>
      <c r="AC11" s="289" t="s">
        <v>1268</v>
      </c>
      <c r="AD11" s="289" t="s">
        <v>1269</v>
      </c>
      <c r="AE11" s="289" t="s">
        <v>1270</v>
      </c>
      <c r="AF11" s="289" t="s">
        <v>994</v>
      </c>
      <c r="AG11" s="287"/>
      <c r="AH11" s="289" t="s">
        <v>1271</v>
      </c>
      <c r="AI11" s="288"/>
    </row>
    <row r="12" spans="1:37" s="294" customFormat="1" ht="18" customHeight="1">
      <c r="A12" s="291" t="s">
        <v>62</v>
      </c>
      <c r="B12" s="292"/>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2"/>
      <c r="AG12" s="293"/>
      <c r="AH12" s="292"/>
    </row>
    <row r="13" spans="1:37">
      <c r="A13" s="282" t="s">
        <v>63</v>
      </c>
      <c r="B13" s="295" t="s">
        <v>64</v>
      </c>
      <c r="C13" s="295" t="s">
        <v>64</v>
      </c>
      <c r="D13" s="295" t="s">
        <v>64</v>
      </c>
      <c r="E13" s="295" t="s">
        <v>64</v>
      </c>
      <c r="F13" s="295" t="s">
        <v>64</v>
      </c>
      <c r="G13" s="295" t="s">
        <v>64</v>
      </c>
      <c r="H13" s="295" t="s">
        <v>64</v>
      </c>
      <c r="I13" s="295" t="s">
        <v>64</v>
      </c>
      <c r="J13" s="295" t="s">
        <v>64</v>
      </c>
      <c r="K13" s="295" t="s">
        <v>64</v>
      </c>
      <c r="L13" s="295" t="s">
        <v>64</v>
      </c>
      <c r="M13" s="295" t="s">
        <v>64</v>
      </c>
      <c r="N13" s="295" t="s">
        <v>64</v>
      </c>
      <c r="O13" s="295" t="s">
        <v>64</v>
      </c>
      <c r="P13" s="295" t="s">
        <v>64</v>
      </c>
      <c r="Q13" s="295" t="s">
        <v>64</v>
      </c>
      <c r="R13" s="295" t="s">
        <v>64</v>
      </c>
      <c r="S13" s="295" t="s">
        <v>64</v>
      </c>
      <c r="T13" s="295" t="s">
        <v>64</v>
      </c>
      <c r="U13" s="295" t="s">
        <v>64</v>
      </c>
      <c r="V13" s="295" t="s">
        <v>64</v>
      </c>
      <c r="W13" s="295" t="s">
        <v>64</v>
      </c>
      <c r="X13" s="295" t="s">
        <v>64</v>
      </c>
      <c r="Y13" s="295" t="s">
        <v>64</v>
      </c>
      <c r="Z13" s="295" t="s">
        <v>64</v>
      </c>
      <c r="AA13" s="295" t="s">
        <v>64</v>
      </c>
      <c r="AB13" s="295" t="s">
        <v>64</v>
      </c>
      <c r="AC13" s="295" t="s">
        <v>64</v>
      </c>
      <c r="AD13" s="295" t="s">
        <v>64</v>
      </c>
      <c r="AE13" s="295" t="s">
        <v>64</v>
      </c>
      <c r="AF13" s="295" t="s">
        <v>64</v>
      </c>
      <c r="AG13" s="296"/>
      <c r="AH13" s="295" t="s">
        <v>64</v>
      </c>
    </row>
    <row r="14" spans="1:37">
      <c r="A14" s="282" t="s">
        <v>995</v>
      </c>
      <c r="B14" s="297">
        <v>316068.52</v>
      </c>
      <c r="C14" s="297">
        <v>316068.52</v>
      </c>
      <c r="D14" s="297">
        <v>316068.52</v>
      </c>
      <c r="E14" s="297">
        <v>317254.56</v>
      </c>
      <c r="F14" s="297">
        <v>317254.56</v>
      </c>
      <c r="G14" s="297">
        <v>317254.56</v>
      </c>
      <c r="H14" s="297">
        <v>317254.56</v>
      </c>
      <c r="I14" s="297">
        <v>317254.56</v>
      </c>
      <c r="J14" s="297">
        <v>317254.56</v>
      </c>
      <c r="K14" s="297">
        <v>317254.56</v>
      </c>
      <c r="L14" s="297">
        <v>317254.56</v>
      </c>
      <c r="M14" s="297">
        <v>318119.39</v>
      </c>
      <c r="N14" s="297">
        <v>318119.39</v>
      </c>
      <c r="O14" s="297">
        <v>318119.39</v>
      </c>
      <c r="P14" s="297">
        <v>318119.39</v>
      </c>
      <c r="Q14" s="297">
        <v>318119.39</v>
      </c>
      <c r="R14" s="297">
        <v>318119.39</v>
      </c>
      <c r="S14" s="297">
        <v>318731.2</v>
      </c>
      <c r="T14" s="297">
        <v>318119.39</v>
      </c>
      <c r="U14" s="297">
        <v>318119.39</v>
      </c>
      <c r="V14" s="297">
        <v>318119.39</v>
      </c>
      <c r="W14" s="297">
        <v>318119.39</v>
      </c>
      <c r="X14" s="297">
        <v>318119.39</v>
      </c>
      <c r="Y14" s="297">
        <v>318119.39</v>
      </c>
      <c r="Z14" s="297">
        <v>318119.39</v>
      </c>
      <c r="AA14" s="297">
        <v>319662.18</v>
      </c>
      <c r="AB14" s="297">
        <v>319662.18</v>
      </c>
      <c r="AC14" s="297">
        <v>319662.18</v>
      </c>
      <c r="AD14" s="297">
        <v>319662.18</v>
      </c>
      <c r="AE14" s="297">
        <v>319662.18</v>
      </c>
      <c r="AF14" s="297">
        <v>319662.18</v>
      </c>
      <c r="AG14" s="298">
        <f>AF14-AH14</f>
        <v>3593.6599999999744</v>
      </c>
      <c r="AH14" s="297">
        <v>316068.52</v>
      </c>
      <c r="AI14" s="299">
        <v>3593.66</v>
      </c>
      <c r="AJ14" s="299"/>
      <c r="AK14" s="300"/>
    </row>
    <row r="15" spans="1:37" ht="25.5">
      <c r="A15" s="282" t="s">
        <v>67</v>
      </c>
      <c r="B15" s="297">
        <v>7531</v>
      </c>
      <c r="C15" s="297">
        <v>7531</v>
      </c>
      <c r="D15" s="297">
        <v>7531</v>
      </c>
      <c r="E15" s="297">
        <v>7531</v>
      </c>
      <c r="F15" s="297">
        <v>7531</v>
      </c>
      <c r="G15" s="297">
        <v>7531</v>
      </c>
      <c r="H15" s="297">
        <v>7531</v>
      </c>
      <c r="I15" s="297">
        <v>7531</v>
      </c>
      <c r="J15" s="297">
        <v>7531</v>
      </c>
      <c r="K15" s="297">
        <v>7531</v>
      </c>
      <c r="L15" s="297">
        <v>7531</v>
      </c>
      <c r="M15" s="297">
        <v>7531</v>
      </c>
      <c r="N15" s="297">
        <v>7531</v>
      </c>
      <c r="O15" s="297">
        <v>7531</v>
      </c>
      <c r="P15" s="297">
        <v>7531</v>
      </c>
      <c r="Q15" s="297">
        <v>7531</v>
      </c>
      <c r="R15" s="297">
        <v>7531</v>
      </c>
      <c r="S15" s="297">
        <v>7531</v>
      </c>
      <c r="T15" s="297">
        <v>7531</v>
      </c>
      <c r="U15" s="297">
        <v>7531</v>
      </c>
      <c r="V15" s="297">
        <v>7531</v>
      </c>
      <c r="W15" s="297">
        <v>7531</v>
      </c>
      <c r="X15" s="297">
        <v>7531</v>
      </c>
      <c r="Y15" s="297">
        <v>7531</v>
      </c>
      <c r="Z15" s="297">
        <v>7531</v>
      </c>
      <c r="AA15" s="297">
        <v>7531</v>
      </c>
      <c r="AB15" s="297">
        <v>7531</v>
      </c>
      <c r="AC15" s="297">
        <v>7531</v>
      </c>
      <c r="AD15" s="297">
        <v>7531</v>
      </c>
      <c r="AE15" s="297">
        <v>7531</v>
      </c>
      <c r="AF15" s="297">
        <v>7531</v>
      </c>
      <c r="AG15" s="301"/>
      <c r="AH15" s="297">
        <v>7531</v>
      </c>
      <c r="AJ15" s="299"/>
      <c r="AK15" s="302"/>
    </row>
    <row r="16" spans="1:37" ht="25.5">
      <c r="A16" s="282" t="s">
        <v>68</v>
      </c>
      <c r="B16" s="297">
        <v>10603</v>
      </c>
      <c r="C16" s="297">
        <v>10603</v>
      </c>
      <c r="D16" s="297">
        <v>10603</v>
      </c>
      <c r="E16" s="297">
        <v>10603</v>
      </c>
      <c r="F16" s="297">
        <v>10603</v>
      </c>
      <c r="G16" s="297">
        <v>10603</v>
      </c>
      <c r="H16" s="297">
        <v>10603</v>
      </c>
      <c r="I16" s="297">
        <v>10603</v>
      </c>
      <c r="J16" s="297">
        <v>10603</v>
      </c>
      <c r="K16" s="297">
        <v>10603</v>
      </c>
      <c r="L16" s="297">
        <v>10603</v>
      </c>
      <c r="M16" s="297">
        <v>10622</v>
      </c>
      <c r="N16" s="297">
        <v>10640</v>
      </c>
      <c r="O16" s="297">
        <v>10640</v>
      </c>
      <c r="P16" s="297">
        <v>10640</v>
      </c>
      <c r="Q16" s="297">
        <v>10640</v>
      </c>
      <c r="R16" s="297">
        <v>10640</v>
      </c>
      <c r="S16" s="297">
        <v>10640</v>
      </c>
      <c r="T16" s="297">
        <v>10640</v>
      </c>
      <c r="U16" s="297">
        <v>10640</v>
      </c>
      <c r="V16" s="297">
        <v>10640</v>
      </c>
      <c r="W16" s="297">
        <v>10761</v>
      </c>
      <c r="X16" s="297">
        <v>10766</v>
      </c>
      <c r="Y16" s="297">
        <v>10766</v>
      </c>
      <c r="Z16" s="297">
        <v>10766</v>
      </c>
      <c r="AA16" s="297">
        <v>10766</v>
      </c>
      <c r="AB16" s="297">
        <v>10766</v>
      </c>
      <c r="AC16" s="297">
        <v>10766</v>
      </c>
      <c r="AD16" s="297">
        <v>10766</v>
      </c>
      <c r="AE16" s="297">
        <v>10766</v>
      </c>
      <c r="AF16" s="297">
        <v>10766</v>
      </c>
      <c r="AG16" s="301"/>
      <c r="AH16" s="297">
        <v>10603</v>
      </c>
      <c r="AJ16" s="299"/>
      <c r="AK16" s="302"/>
    </row>
    <row r="17" spans="1:37" ht="20.100000000000001" customHeight="1">
      <c r="A17" s="303"/>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304"/>
      <c r="AH17" s="292"/>
      <c r="AK17" s="302"/>
    </row>
    <row r="18" spans="1:37">
      <c r="A18" s="282" t="s">
        <v>69</v>
      </c>
      <c r="B18" s="295" t="s">
        <v>64</v>
      </c>
      <c r="C18" s="295" t="s">
        <v>64</v>
      </c>
      <c r="D18" s="295" t="s">
        <v>64</v>
      </c>
      <c r="E18" s="295" t="s">
        <v>64</v>
      </c>
      <c r="F18" s="295" t="s">
        <v>64</v>
      </c>
      <c r="G18" s="295" t="s">
        <v>64</v>
      </c>
      <c r="H18" s="295" t="s">
        <v>64</v>
      </c>
      <c r="I18" s="295" t="s">
        <v>64</v>
      </c>
      <c r="J18" s="295" t="s">
        <v>64</v>
      </c>
      <c r="K18" s="295" t="s">
        <v>64</v>
      </c>
      <c r="L18" s="295" t="s">
        <v>64</v>
      </c>
      <c r="M18" s="295" t="s">
        <v>64</v>
      </c>
      <c r="N18" s="295" t="s">
        <v>64</v>
      </c>
      <c r="O18" s="295" t="s">
        <v>64</v>
      </c>
      <c r="P18" s="295" t="s">
        <v>64</v>
      </c>
      <c r="Q18" s="295" t="s">
        <v>64</v>
      </c>
      <c r="R18" s="295" t="s">
        <v>64</v>
      </c>
      <c r="S18" s="295" t="s">
        <v>64</v>
      </c>
      <c r="T18" s="295" t="s">
        <v>64</v>
      </c>
      <c r="U18" s="295" t="s">
        <v>64</v>
      </c>
      <c r="V18" s="295" t="s">
        <v>64</v>
      </c>
      <c r="W18" s="295" t="s">
        <v>64</v>
      </c>
      <c r="X18" s="295" t="s">
        <v>64</v>
      </c>
      <c r="Y18" s="295" t="s">
        <v>64</v>
      </c>
      <c r="Z18" s="295" t="s">
        <v>64</v>
      </c>
      <c r="AA18" s="295" t="s">
        <v>64</v>
      </c>
      <c r="AB18" s="295" t="s">
        <v>64</v>
      </c>
      <c r="AC18" s="295" t="s">
        <v>64</v>
      </c>
      <c r="AD18" s="295" t="s">
        <v>64</v>
      </c>
      <c r="AE18" s="295" t="s">
        <v>64</v>
      </c>
      <c r="AF18" s="295" t="s">
        <v>64</v>
      </c>
      <c r="AG18" s="305"/>
      <c r="AH18" s="295" t="s">
        <v>64</v>
      </c>
      <c r="AK18" s="171"/>
    </row>
    <row r="19" spans="1:37" ht="25.5">
      <c r="A19" s="282" t="s">
        <v>70</v>
      </c>
      <c r="B19" s="306">
        <v>74424</v>
      </c>
      <c r="C19" s="306">
        <v>74424</v>
      </c>
      <c r="D19" s="306">
        <v>74542</v>
      </c>
      <c r="E19" s="306">
        <v>74670</v>
      </c>
      <c r="F19" s="306">
        <v>74670</v>
      </c>
      <c r="G19" s="306">
        <v>74749</v>
      </c>
      <c r="H19" s="306">
        <v>74808</v>
      </c>
      <c r="I19" s="306">
        <v>74854</v>
      </c>
      <c r="J19" s="306">
        <v>74902</v>
      </c>
      <c r="K19" s="306">
        <v>74934</v>
      </c>
      <c r="L19" s="306">
        <v>74951</v>
      </c>
      <c r="M19" s="306">
        <v>74964</v>
      </c>
      <c r="N19" s="306">
        <v>74993</v>
      </c>
      <c r="O19" s="306">
        <v>75026</v>
      </c>
      <c r="P19" s="306">
        <v>75059</v>
      </c>
      <c r="Q19" s="306">
        <v>75093</v>
      </c>
      <c r="R19" s="306">
        <v>75122</v>
      </c>
      <c r="S19" s="306">
        <v>75158</v>
      </c>
      <c r="T19" s="306">
        <v>75171</v>
      </c>
      <c r="U19" s="306">
        <v>75194</v>
      </c>
      <c r="V19" s="306">
        <v>75227</v>
      </c>
      <c r="W19" s="306">
        <v>75261</v>
      </c>
      <c r="X19" s="306">
        <v>75282</v>
      </c>
      <c r="Y19" s="306">
        <v>75302</v>
      </c>
      <c r="Z19" s="306">
        <v>75322</v>
      </c>
      <c r="AA19" s="306">
        <v>75341</v>
      </c>
      <c r="AB19" s="306">
        <v>75358</v>
      </c>
      <c r="AC19" s="306">
        <v>75388</v>
      </c>
      <c r="AD19" s="306">
        <v>75434</v>
      </c>
      <c r="AE19" s="306">
        <v>75455</v>
      </c>
      <c r="AF19" s="306">
        <v>75500</v>
      </c>
      <c r="AG19" s="301">
        <f>AF19-AH19</f>
        <v>1140</v>
      </c>
      <c r="AH19" s="306">
        <v>74360</v>
      </c>
      <c r="AI19" s="307">
        <v>1140</v>
      </c>
      <c r="AJ19" s="307"/>
      <c r="AK19" s="300"/>
    </row>
    <row r="20" spans="1:37" ht="25.5">
      <c r="A20" s="282" t="s">
        <v>71</v>
      </c>
      <c r="B20" s="297" t="s">
        <v>1272</v>
      </c>
      <c r="C20" s="297" t="s">
        <v>1273</v>
      </c>
      <c r="D20" s="297" t="s">
        <v>1274</v>
      </c>
      <c r="E20" s="297" t="s">
        <v>1275</v>
      </c>
      <c r="F20" s="297" t="s">
        <v>1276</v>
      </c>
      <c r="G20" s="297" t="s">
        <v>1277</v>
      </c>
      <c r="H20" s="297" t="s">
        <v>1278</v>
      </c>
      <c r="I20" s="297" t="s">
        <v>1279</v>
      </c>
      <c r="J20" s="297" t="s">
        <v>1280</v>
      </c>
      <c r="K20" s="297" t="s">
        <v>1281</v>
      </c>
      <c r="L20" s="297" t="s">
        <v>1282</v>
      </c>
      <c r="M20" s="297" t="s">
        <v>1283</v>
      </c>
      <c r="N20" s="297" t="s">
        <v>1284</v>
      </c>
      <c r="O20" s="297" t="s">
        <v>1285</v>
      </c>
      <c r="P20" s="297" t="s">
        <v>1285</v>
      </c>
      <c r="Q20" s="297" t="s">
        <v>1286</v>
      </c>
      <c r="R20" s="297" t="s">
        <v>1286</v>
      </c>
      <c r="S20" s="297" t="s">
        <v>1287</v>
      </c>
      <c r="T20" s="297" t="s">
        <v>1287</v>
      </c>
      <c r="U20" s="297" t="s">
        <v>1287</v>
      </c>
      <c r="V20" s="297" t="s">
        <v>1287</v>
      </c>
      <c r="W20" s="297" t="s">
        <v>1287</v>
      </c>
      <c r="X20" s="297" t="s">
        <v>1287</v>
      </c>
      <c r="Y20" s="297" t="s">
        <v>1287</v>
      </c>
      <c r="Z20" s="297" t="s">
        <v>1287</v>
      </c>
      <c r="AA20" s="297" t="s">
        <v>1287</v>
      </c>
      <c r="AB20" s="297" t="s">
        <v>1287</v>
      </c>
      <c r="AC20" s="297" t="s">
        <v>1287</v>
      </c>
      <c r="AD20" s="297" t="s">
        <v>1288</v>
      </c>
      <c r="AE20" s="297" t="s">
        <v>1288</v>
      </c>
      <c r="AF20" s="297" t="s">
        <v>996</v>
      </c>
      <c r="AG20" s="314"/>
      <c r="AH20" s="297" t="s">
        <v>1289</v>
      </c>
      <c r="AJ20" s="307"/>
      <c r="AK20" s="190"/>
    </row>
    <row r="21" spans="1:37">
      <c r="A21" s="282" t="s">
        <v>72</v>
      </c>
      <c r="B21" s="297">
        <v>152379</v>
      </c>
      <c r="C21" s="297">
        <v>152379</v>
      </c>
      <c r="D21" s="297">
        <v>152379</v>
      </c>
      <c r="E21" s="297">
        <v>154185</v>
      </c>
      <c r="F21" s="297">
        <v>154185</v>
      </c>
      <c r="G21" s="297">
        <v>154185</v>
      </c>
      <c r="H21" s="297">
        <v>154185</v>
      </c>
      <c r="I21" s="297">
        <v>154185</v>
      </c>
      <c r="J21" s="297">
        <v>154185</v>
      </c>
      <c r="K21" s="297">
        <v>154185</v>
      </c>
      <c r="L21" s="297">
        <v>154185</v>
      </c>
      <c r="M21" s="297">
        <v>155839</v>
      </c>
      <c r="N21" s="297">
        <v>155839</v>
      </c>
      <c r="O21" s="297">
        <v>155839</v>
      </c>
      <c r="P21" s="297">
        <v>155839</v>
      </c>
      <c r="Q21" s="297">
        <v>155839</v>
      </c>
      <c r="R21" s="297">
        <v>155839</v>
      </c>
      <c r="S21" s="297">
        <v>157636</v>
      </c>
      <c r="T21" s="297">
        <v>155839</v>
      </c>
      <c r="U21" s="297">
        <v>155839</v>
      </c>
      <c r="V21" s="297">
        <v>155839</v>
      </c>
      <c r="W21" s="297">
        <v>155839</v>
      </c>
      <c r="X21" s="297">
        <v>155839</v>
      </c>
      <c r="Y21" s="297">
        <v>155839</v>
      </c>
      <c r="Z21" s="297">
        <v>155839</v>
      </c>
      <c r="AA21" s="297">
        <v>159284</v>
      </c>
      <c r="AB21" s="297">
        <v>159284</v>
      </c>
      <c r="AC21" s="297">
        <v>159284</v>
      </c>
      <c r="AD21" s="297">
        <v>159284</v>
      </c>
      <c r="AE21" s="297">
        <v>159284</v>
      </c>
      <c r="AF21" s="297">
        <v>159284</v>
      </c>
      <c r="AG21" s="301"/>
      <c r="AH21" s="297">
        <v>152379</v>
      </c>
      <c r="AJ21" s="307"/>
      <c r="AK21" s="308"/>
    </row>
    <row r="22" spans="1:37">
      <c r="A22" s="282" t="s">
        <v>73</v>
      </c>
      <c r="B22" s="297">
        <v>192026</v>
      </c>
      <c r="C22" s="297">
        <v>192162</v>
      </c>
      <c r="D22" s="297">
        <v>192296</v>
      </c>
      <c r="E22" s="297">
        <v>192458</v>
      </c>
      <c r="F22" s="297">
        <v>192458</v>
      </c>
      <c r="G22" s="297">
        <v>192727</v>
      </c>
      <c r="H22" s="297">
        <v>192886</v>
      </c>
      <c r="I22" s="297">
        <v>193039</v>
      </c>
      <c r="J22" s="297">
        <v>193170</v>
      </c>
      <c r="K22" s="297">
        <v>193312</v>
      </c>
      <c r="L22" s="297">
        <v>193457</v>
      </c>
      <c r="M22" s="297">
        <v>193602</v>
      </c>
      <c r="N22" s="297">
        <v>193736</v>
      </c>
      <c r="O22" s="297">
        <v>193881</v>
      </c>
      <c r="P22" s="297">
        <v>194042</v>
      </c>
      <c r="Q22" s="297">
        <v>194195</v>
      </c>
      <c r="R22" s="297">
        <v>194351</v>
      </c>
      <c r="S22" s="297">
        <v>194490</v>
      </c>
      <c r="T22" s="297">
        <v>194641</v>
      </c>
      <c r="U22" s="297">
        <v>194766</v>
      </c>
      <c r="V22" s="297">
        <v>194917</v>
      </c>
      <c r="W22" s="297">
        <v>195117</v>
      </c>
      <c r="X22" s="297">
        <v>195237</v>
      </c>
      <c r="Y22" s="297">
        <v>195367</v>
      </c>
      <c r="Z22" s="297">
        <v>195506</v>
      </c>
      <c r="AA22" s="297">
        <v>195642</v>
      </c>
      <c r="AB22" s="297">
        <v>195776</v>
      </c>
      <c r="AC22" s="297">
        <v>195911</v>
      </c>
      <c r="AD22" s="297">
        <v>196054</v>
      </c>
      <c r="AE22" s="297">
        <v>196186</v>
      </c>
      <c r="AF22" s="297">
        <v>196334</v>
      </c>
      <c r="AG22" s="301">
        <f>AF22-AH22</f>
        <v>4440</v>
      </c>
      <c r="AH22" s="297">
        <v>191894</v>
      </c>
      <c r="AI22" s="144">
        <v>4440</v>
      </c>
      <c r="AJ22" s="307"/>
      <c r="AK22" s="190"/>
    </row>
    <row r="23" spans="1:37">
      <c r="A23" s="309" t="s">
        <v>136</v>
      </c>
      <c r="B23" s="297">
        <v>8402</v>
      </c>
      <c r="C23" s="297">
        <v>8402</v>
      </c>
      <c r="D23" s="297">
        <v>8402</v>
      </c>
      <c r="E23" s="297">
        <v>8448</v>
      </c>
      <c r="F23" s="297">
        <v>8448</v>
      </c>
      <c r="G23" s="297">
        <v>8448</v>
      </c>
      <c r="H23" s="297">
        <v>8448</v>
      </c>
      <c r="I23" s="297">
        <v>8448</v>
      </c>
      <c r="J23" s="297">
        <v>8448</v>
      </c>
      <c r="K23" s="297">
        <v>8448</v>
      </c>
      <c r="L23" s="297">
        <v>8448</v>
      </c>
      <c r="M23" s="297">
        <v>8517</v>
      </c>
      <c r="N23" s="297">
        <v>8517</v>
      </c>
      <c r="O23" s="297">
        <v>8517</v>
      </c>
      <c r="P23" s="297">
        <v>8517</v>
      </c>
      <c r="Q23" s="297">
        <v>8517</v>
      </c>
      <c r="R23" s="297">
        <v>8517</v>
      </c>
      <c r="S23" s="297">
        <v>8517</v>
      </c>
      <c r="T23" s="297">
        <v>8517</v>
      </c>
      <c r="U23" s="297">
        <v>8517</v>
      </c>
      <c r="V23" s="297">
        <v>8517</v>
      </c>
      <c r="W23" s="297">
        <v>8517</v>
      </c>
      <c r="X23" s="297">
        <v>8517</v>
      </c>
      <c r="Y23" s="297">
        <v>8517</v>
      </c>
      <c r="Z23" s="297">
        <v>8517</v>
      </c>
      <c r="AA23" s="297">
        <v>8627</v>
      </c>
      <c r="AB23" s="297">
        <v>8627</v>
      </c>
      <c r="AC23" s="297">
        <v>8627</v>
      </c>
      <c r="AD23" s="297">
        <v>8627</v>
      </c>
      <c r="AE23" s="297">
        <v>8627</v>
      </c>
      <c r="AF23" s="297">
        <v>8627</v>
      </c>
      <c r="AG23" s="315">
        <f>AF23-AH23</f>
        <v>225</v>
      </c>
      <c r="AH23" s="297">
        <v>8402</v>
      </c>
      <c r="AI23" s="144">
        <v>225</v>
      </c>
      <c r="AJ23" s="307"/>
      <c r="AK23" s="190"/>
    </row>
    <row r="24" spans="1:37">
      <c r="A24" s="309" t="s">
        <v>139</v>
      </c>
      <c r="B24" s="297">
        <v>5788</v>
      </c>
      <c r="C24" s="297">
        <v>5788</v>
      </c>
      <c r="D24" s="297">
        <v>5788</v>
      </c>
      <c r="E24" s="297">
        <v>5829</v>
      </c>
      <c r="F24" s="297">
        <v>5829</v>
      </c>
      <c r="G24" s="297">
        <v>5829</v>
      </c>
      <c r="H24" s="297">
        <v>5829</v>
      </c>
      <c r="I24" s="297">
        <v>5829</v>
      </c>
      <c r="J24" s="297">
        <v>5829</v>
      </c>
      <c r="K24" s="297">
        <v>5829</v>
      </c>
      <c r="L24" s="297">
        <v>5829</v>
      </c>
      <c r="M24" s="297">
        <v>5876</v>
      </c>
      <c r="N24" s="297">
        <v>5876</v>
      </c>
      <c r="O24" s="297">
        <v>5876</v>
      </c>
      <c r="P24" s="297">
        <v>5876</v>
      </c>
      <c r="Q24" s="297">
        <v>5876</v>
      </c>
      <c r="R24" s="297">
        <v>5876</v>
      </c>
      <c r="S24" s="297">
        <v>5876</v>
      </c>
      <c r="T24" s="297">
        <v>5876</v>
      </c>
      <c r="U24" s="297">
        <v>5876</v>
      </c>
      <c r="V24" s="297">
        <v>5876</v>
      </c>
      <c r="W24" s="297">
        <v>5876</v>
      </c>
      <c r="X24" s="297">
        <v>5876</v>
      </c>
      <c r="Y24" s="297">
        <v>5876</v>
      </c>
      <c r="Z24" s="297">
        <v>5876</v>
      </c>
      <c r="AA24" s="297">
        <v>5983</v>
      </c>
      <c r="AB24" s="297">
        <v>5983</v>
      </c>
      <c r="AC24" s="297">
        <v>5983</v>
      </c>
      <c r="AD24" s="297">
        <v>5983</v>
      </c>
      <c r="AE24" s="297">
        <v>5983</v>
      </c>
      <c r="AF24" s="297">
        <v>5983</v>
      </c>
      <c r="AG24" s="315">
        <f t="shared" ref="AG24:AG29" si="0">AF24-AH24</f>
        <v>195</v>
      </c>
      <c r="AH24" s="297">
        <v>5788</v>
      </c>
      <c r="AI24" s="144">
        <v>195</v>
      </c>
      <c r="AJ24" s="307"/>
      <c r="AK24" s="190"/>
    </row>
    <row r="25" spans="1:37">
      <c r="A25" s="309" t="s">
        <v>142</v>
      </c>
      <c r="B25" s="297">
        <v>2345</v>
      </c>
      <c r="C25" s="297">
        <v>2345</v>
      </c>
      <c r="D25" s="297">
        <v>2345</v>
      </c>
      <c r="E25" s="297">
        <v>2361</v>
      </c>
      <c r="F25" s="297">
        <v>2361</v>
      </c>
      <c r="G25" s="297">
        <v>2361</v>
      </c>
      <c r="H25" s="297">
        <v>2361</v>
      </c>
      <c r="I25" s="297">
        <v>2361</v>
      </c>
      <c r="J25" s="297">
        <v>2361</v>
      </c>
      <c r="K25" s="297">
        <v>2361</v>
      </c>
      <c r="L25" s="297">
        <v>2361</v>
      </c>
      <c r="M25" s="297">
        <v>2376</v>
      </c>
      <c r="N25" s="297">
        <v>2376</v>
      </c>
      <c r="O25" s="297">
        <v>2376</v>
      </c>
      <c r="P25" s="297">
        <v>2376</v>
      </c>
      <c r="Q25" s="297">
        <v>2376</v>
      </c>
      <c r="R25" s="297">
        <v>2376</v>
      </c>
      <c r="S25" s="297">
        <v>2376</v>
      </c>
      <c r="T25" s="297">
        <v>2376</v>
      </c>
      <c r="U25" s="297">
        <v>2376</v>
      </c>
      <c r="V25" s="297">
        <v>2376</v>
      </c>
      <c r="W25" s="297">
        <v>2376</v>
      </c>
      <c r="X25" s="297">
        <v>2376</v>
      </c>
      <c r="Y25" s="297">
        <v>2376</v>
      </c>
      <c r="Z25" s="297">
        <v>2376</v>
      </c>
      <c r="AA25" s="297">
        <v>2426</v>
      </c>
      <c r="AB25" s="297">
        <v>2426</v>
      </c>
      <c r="AC25" s="297">
        <v>2426</v>
      </c>
      <c r="AD25" s="297">
        <v>2426</v>
      </c>
      <c r="AE25" s="297">
        <v>2426</v>
      </c>
      <c r="AF25" s="297">
        <v>2426</v>
      </c>
      <c r="AG25" s="315">
        <f t="shared" si="0"/>
        <v>81</v>
      </c>
      <c r="AH25" s="297">
        <v>2345</v>
      </c>
      <c r="AI25" s="144">
        <v>81</v>
      </c>
      <c r="AJ25" s="307"/>
      <c r="AK25" s="190"/>
    </row>
    <row r="26" spans="1:37">
      <c r="A26" s="309" t="s">
        <v>145</v>
      </c>
      <c r="B26" s="297">
        <v>1265</v>
      </c>
      <c r="C26" s="297">
        <v>1265</v>
      </c>
      <c r="D26" s="297">
        <v>1265</v>
      </c>
      <c r="E26" s="297">
        <v>1290</v>
      </c>
      <c r="F26" s="297">
        <v>1290</v>
      </c>
      <c r="G26" s="297">
        <v>1290</v>
      </c>
      <c r="H26" s="297">
        <v>1290</v>
      </c>
      <c r="I26" s="297">
        <v>1290</v>
      </c>
      <c r="J26" s="297">
        <v>1290</v>
      </c>
      <c r="K26" s="297">
        <v>1290</v>
      </c>
      <c r="L26" s="297">
        <v>1290</v>
      </c>
      <c r="M26" s="297">
        <v>1339</v>
      </c>
      <c r="N26" s="297">
        <v>1339</v>
      </c>
      <c r="O26" s="297">
        <v>1339</v>
      </c>
      <c r="P26" s="297">
        <v>1339</v>
      </c>
      <c r="Q26" s="297">
        <v>1339</v>
      </c>
      <c r="R26" s="297">
        <v>1339</v>
      </c>
      <c r="S26" s="297">
        <v>1339</v>
      </c>
      <c r="T26" s="297">
        <v>1339</v>
      </c>
      <c r="U26" s="297">
        <v>1339</v>
      </c>
      <c r="V26" s="297">
        <v>1339</v>
      </c>
      <c r="W26" s="297">
        <v>1339</v>
      </c>
      <c r="X26" s="297">
        <v>1339</v>
      </c>
      <c r="Y26" s="297">
        <v>1339</v>
      </c>
      <c r="Z26" s="297">
        <v>1339</v>
      </c>
      <c r="AA26" s="297">
        <v>1362</v>
      </c>
      <c r="AB26" s="297">
        <v>1362</v>
      </c>
      <c r="AC26" s="297">
        <v>1362</v>
      </c>
      <c r="AD26" s="297">
        <v>1362</v>
      </c>
      <c r="AE26" s="297">
        <v>1362</v>
      </c>
      <c r="AF26" s="297">
        <v>1362</v>
      </c>
      <c r="AG26" s="315">
        <f t="shared" si="0"/>
        <v>97</v>
      </c>
      <c r="AH26" s="297">
        <v>1265</v>
      </c>
      <c r="AI26" s="144">
        <v>97</v>
      </c>
      <c r="AJ26" s="307"/>
      <c r="AK26" s="190"/>
    </row>
    <row r="27" spans="1:37">
      <c r="A27" s="309" t="s">
        <v>148</v>
      </c>
      <c r="B27" s="297">
        <v>8844</v>
      </c>
      <c r="C27" s="297">
        <v>8844</v>
      </c>
      <c r="D27" s="297">
        <v>8844</v>
      </c>
      <c r="E27" s="297">
        <v>8914</v>
      </c>
      <c r="F27" s="297">
        <v>8914</v>
      </c>
      <c r="G27" s="297">
        <v>8914</v>
      </c>
      <c r="H27" s="297">
        <v>8914</v>
      </c>
      <c r="I27" s="297">
        <v>8914</v>
      </c>
      <c r="J27" s="297">
        <v>8914</v>
      </c>
      <c r="K27" s="297">
        <v>8914</v>
      </c>
      <c r="L27" s="297">
        <v>8914</v>
      </c>
      <c r="M27" s="297">
        <v>8985</v>
      </c>
      <c r="N27" s="297">
        <v>8985</v>
      </c>
      <c r="O27" s="297">
        <v>8985</v>
      </c>
      <c r="P27" s="297">
        <v>8985</v>
      </c>
      <c r="Q27" s="297">
        <v>8985</v>
      </c>
      <c r="R27" s="297">
        <v>8985</v>
      </c>
      <c r="S27" s="297">
        <v>8985</v>
      </c>
      <c r="T27" s="297">
        <v>8985</v>
      </c>
      <c r="U27" s="297">
        <v>8985</v>
      </c>
      <c r="V27" s="297">
        <v>8985</v>
      </c>
      <c r="W27" s="297">
        <v>8985</v>
      </c>
      <c r="X27" s="297">
        <v>8985</v>
      </c>
      <c r="Y27" s="297">
        <v>8985</v>
      </c>
      <c r="Z27" s="297">
        <v>8985</v>
      </c>
      <c r="AA27" s="297">
        <v>9260</v>
      </c>
      <c r="AB27" s="297">
        <v>9260</v>
      </c>
      <c r="AC27" s="297">
        <v>9260</v>
      </c>
      <c r="AD27" s="297">
        <v>9260</v>
      </c>
      <c r="AE27" s="297">
        <v>9260</v>
      </c>
      <c r="AF27" s="297">
        <v>9260</v>
      </c>
      <c r="AG27" s="315">
        <f t="shared" si="0"/>
        <v>416</v>
      </c>
      <c r="AH27" s="297">
        <v>8844</v>
      </c>
      <c r="AI27" s="144">
        <v>416</v>
      </c>
      <c r="AJ27" s="307"/>
      <c r="AK27" s="190"/>
    </row>
    <row r="28" spans="1:37">
      <c r="A28" s="309" t="s">
        <v>151</v>
      </c>
      <c r="B28" s="297">
        <v>1339</v>
      </c>
      <c r="C28" s="297">
        <v>1339</v>
      </c>
      <c r="D28" s="297">
        <v>1339</v>
      </c>
      <c r="E28" s="297">
        <v>1339</v>
      </c>
      <c r="F28" s="297">
        <v>1339</v>
      </c>
      <c r="G28" s="297">
        <v>1339</v>
      </c>
      <c r="H28" s="297">
        <v>1339</v>
      </c>
      <c r="I28" s="297">
        <v>1339</v>
      </c>
      <c r="J28" s="297">
        <v>1339</v>
      </c>
      <c r="K28" s="297">
        <v>1339</v>
      </c>
      <c r="L28" s="297">
        <v>1339</v>
      </c>
      <c r="M28" s="297">
        <v>1339</v>
      </c>
      <c r="N28" s="297">
        <v>1339</v>
      </c>
      <c r="O28" s="297">
        <v>1339</v>
      </c>
      <c r="P28" s="297">
        <v>1339</v>
      </c>
      <c r="Q28" s="297">
        <v>1339</v>
      </c>
      <c r="R28" s="297">
        <v>1339</v>
      </c>
      <c r="S28" s="297">
        <v>1339</v>
      </c>
      <c r="T28" s="297">
        <v>1339</v>
      </c>
      <c r="U28" s="297">
        <v>1339</v>
      </c>
      <c r="V28" s="297">
        <v>1339</v>
      </c>
      <c r="W28" s="297">
        <v>1339</v>
      </c>
      <c r="X28" s="297">
        <v>1339</v>
      </c>
      <c r="Y28" s="297">
        <v>1339</v>
      </c>
      <c r="Z28" s="297">
        <v>1339</v>
      </c>
      <c r="AA28" s="297">
        <v>1339</v>
      </c>
      <c r="AB28" s="297">
        <v>1339</v>
      </c>
      <c r="AC28" s="297">
        <v>1339</v>
      </c>
      <c r="AD28" s="297">
        <v>1339</v>
      </c>
      <c r="AE28" s="297">
        <v>1339</v>
      </c>
      <c r="AF28" s="297">
        <v>1339</v>
      </c>
      <c r="AG28" s="315">
        <f t="shared" si="0"/>
        <v>0</v>
      </c>
      <c r="AH28" s="297">
        <v>1339</v>
      </c>
      <c r="AI28" s="144">
        <v>0</v>
      </c>
      <c r="AJ28" s="307"/>
      <c r="AK28" s="190"/>
    </row>
    <row r="29" spans="1:37">
      <c r="A29" s="309" t="s">
        <v>154</v>
      </c>
      <c r="B29" s="297">
        <v>716</v>
      </c>
      <c r="C29" s="297">
        <v>716</v>
      </c>
      <c r="D29" s="297">
        <v>716</v>
      </c>
      <c r="E29" s="297">
        <v>719</v>
      </c>
      <c r="F29" s="297">
        <v>719</v>
      </c>
      <c r="G29" s="297">
        <v>719</v>
      </c>
      <c r="H29" s="297">
        <v>719</v>
      </c>
      <c r="I29" s="297">
        <v>719</v>
      </c>
      <c r="J29" s="297">
        <v>719</v>
      </c>
      <c r="K29" s="297">
        <v>719</v>
      </c>
      <c r="L29" s="297">
        <v>719</v>
      </c>
      <c r="M29" s="297">
        <v>723</v>
      </c>
      <c r="N29" s="297">
        <v>723</v>
      </c>
      <c r="O29" s="297">
        <v>723</v>
      </c>
      <c r="P29" s="297">
        <v>723</v>
      </c>
      <c r="Q29" s="297">
        <v>723</v>
      </c>
      <c r="R29" s="297">
        <v>723</v>
      </c>
      <c r="S29" s="297">
        <v>727</v>
      </c>
      <c r="T29" s="297">
        <v>723</v>
      </c>
      <c r="U29" s="297">
        <v>723</v>
      </c>
      <c r="V29" s="297">
        <v>723</v>
      </c>
      <c r="W29" s="297">
        <v>723</v>
      </c>
      <c r="X29" s="297">
        <v>723</v>
      </c>
      <c r="Y29" s="297">
        <v>723</v>
      </c>
      <c r="Z29" s="297">
        <v>723</v>
      </c>
      <c r="AA29" s="297">
        <v>732</v>
      </c>
      <c r="AB29" s="297">
        <v>732</v>
      </c>
      <c r="AC29" s="297">
        <v>732</v>
      </c>
      <c r="AD29" s="297">
        <v>732</v>
      </c>
      <c r="AE29" s="297">
        <v>732</v>
      </c>
      <c r="AF29" s="297">
        <v>732</v>
      </c>
      <c r="AG29" s="315">
        <f t="shared" si="0"/>
        <v>16</v>
      </c>
      <c r="AH29" s="297">
        <v>716</v>
      </c>
      <c r="AI29" s="144">
        <v>16</v>
      </c>
      <c r="AJ29" s="307"/>
      <c r="AK29" s="190"/>
    </row>
    <row r="30" spans="1:37">
      <c r="A30" s="303"/>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316"/>
      <c r="AH30" s="292"/>
      <c r="AK30" s="190"/>
    </row>
    <row r="31" spans="1:37">
      <c r="A31" s="282" t="s">
        <v>74</v>
      </c>
      <c r="B31" s="295" t="s">
        <v>75</v>
      </c>
      <c r="C31" s="295" t="s">
        <v>75</v>
      </c>
      <c r="D31" s="295" t="s">
        <v>75</v>
      </c>
      <c r="E31" s="295" t="s">
        <v>75</v>
      </c>
      <c r="F31" s="295" t="s">
        <v>75</v>
      </c>
      <c r="G31" s="295" t="s">
        <v>75</v>
      </c>
      <c r="H31" s="295" t="s">
        <v>75</v>
      </c>
      <c r="I31" s="295" t="s">
        <v>75</v>
      </c>
      <c r="J31" s="295" t="s">
        <v>75</v>
      </c>
      <c r="K31" s="295" t="s">
        <v>75</v>
      </c>
      <c r="L31" s="295" t="s">
        <v>75</v>
      </c>
      <c r="M31" s="295" t="s">
        <v>75</v>
      </c>
      <c r="N31" s="295" t="s">
        <v>75</v>
      </c>
      <c r="O31" s="295" t="s">
        <v>75</v>
      </c>
      <c r="P31" s="295" t="s">
        <v>75</v>
      </c>
      <c r="Q31" s="295" t="s">
        <v>75</v>
      </c>
      <c r="R31" s="295" t="s">
        <v>75</v>
      </c>
      <c r="S31" s="295" t="s">
        <v>75</v>
      </c>
      <c r="T31" s="295" t="s">
        <v>75</v>
      </c>
      <c r="U31" s="295" t="s">
        <v>75</v>
      </c>
      <c r="V31" s="295" t="s">
        <v>75</v>
      </c>
      <c r="W31" s="295" t="s">
        <v>75</v>
      </c>
      <c r="X31" s="295" t="s">
        <v>75</v>
      </c>
      <c r="Y31" s="295" t="s">
        <v>75</v>
      </c>
      <c r="Z31" s="295" t="s">
        <v>75</v>
      </c>
      <c r="AA31" s="295" t="s">
        <v>75</v>
      </c>
      <c r="AB31" s="295" t="s">
        <v>75</v>
      </c>
      <c r="AC31" s="295" t="s">
        <v>75</v>
      </c>
      <c r="AD31" s="295" t="s">
        <v>75</v>
      </c>
      <c r="AE31" s="295" t="s">
        <v>75</v>
      </c>
      <c r="AF31" s="295" t="s">
        <v>75</v>
      </c>
      <c r="AG31" s="296"/>
      <c r="AH31" s="295" t="s">
        <v>75</v>
      </c>
    </row>
    <row r="32" spans="1:37" ht="25.5">
      <c r="A32" s="282" t="s">
        <v>77</v>
      </c>
      <c r="B32" s="21" t="s">
        <v>78</v>
      </c>
      <c r="C32" s="21" t="s">
        <v>78</v>
      </c>
      <c r="D32" s="21" t="s">
        <v>78</v>
      </c>
      <c r="E32" s="21" t="s">
        <v>78</v>
      </c>
      <c r="F32" s="21" t="s">
        <v>78</v>
      </c>
      <c r="G32" s="21" t="s">
        <v>78</v>
      </c>
      <c r="H32" s="21" t="s">
        <v>78</v>
      </c>
      <c r="I32" s="21" t="s">
        <v>78</v>
      </c>
      <c r="J32" s="21" t="s">
        <v>78</v>
      </c>
      <c r="K32" s="21" t="s">
        <v>78</v>
      </c>
      <c r="L32" s="21" t="s">
        <v>78</v>
      </c>
      <c r="M32" s="21" t="s">
        <v>78</v>
      </c>
      <c r="N32" s="21" t="s">
        <v>78</v>
      </c>
      <c r="O32" s="21" t="s">
        <v>78</v>
      </c>
      <c r="P32" s="21" t="s">
        <v>78</v>
      </c>
      <c r="Q32" s="21" t="s">
        <v>78</v>
      </c>
      <c r="R32" s="21" t="s">
        <v>78</v>
      </c>
      <c r="S32" s="21" t="s">
        <v>78</v>
      </c>
      <c r="T32" s="21" t="s">
        <v>78</v>
      </c>
      <c r="U32" s="21" t="s">
        <v>78</v>
      </c>
      <c r="V32" s="21" t="s">
        <v>78</v>
      </c>
      <c r="W32" s="21" t="s">
        <v>78</v>
      </c>
      <c r="X32" s="21" t="s">
        <v>78</v>
      </c>
      <c r="Y32" s="21" t="s">
        <v>78</v>
      </c>
      <c r="Z32" s="21" t="s">
        <v>78</v>
      </c>
      <c r="AA32" s="21" t="s">
        <v>78</v>
      </c>
      <c r="AB32" s="21" t="s">
        <v>78</v>
      </c>
      <c r="AC32" s="21" t="s">
        <v>78</v>
      </c>
      <c r="AD32" s="21" t="s">
        <v>78</v>
      </c>
      <c r="AE32" s="21" t="s">
        <v>78</v>
      </c>
      <c r="AF32" s="21" t="s">
        <v>78</v>
      </c>
      <c r="AG32" s="209"/>
      <c r="AH32" s="21" t="s">
        <v>78</v>
      </c>
    </row>
    <row r="33" spans="1:34" ht="25.5">
      <c r="A33" s="282" t="s">
        <v>80</v>
      </c>
      <c r="B33" s="21" t="s">
        <v>1290</v>
      </c>
      <c r="C33" s="21" t="s">
        <v>1291</v>
      </c>
      <c r="D33" s="21" t="s">
        <v>1292</v>
      </c>
      <c r="E33" s="21" t="s">
        <v>1292</v>
      </c>
      <c r="F33" s="21" t="s">
        <v>1292</v>
      </c>
      <c r="G33" s="21" t="s">
        <v>1293</v>
      </c>
      <c r="H33" s="21" t="s">
        <v>1294</v>
      </c>
      <c r="I33" s="21" t="s">
        <v>1294</v>
      </c>
      <c r="J33" s="21" t="s">
        <v>1294</v>
      </c>
      <c r="K33" s="21" t="s">
        <v>1295</v>
      </c>
      <c r="L33" s="21" t="s">
        <v>1295</v>
      </c>
      <c r="M33" s="21" t="s">
        <v>1296</v>
      </c>
      <c r="N33" s="21" t="s">
        <v>1296</v>
      </c>
      <c r="O33" s="21" t="s">
        <v>1297</v>
      </c>
      <c r="P33" s="21" t="s">
        <v>1297</v>
      </c>
      <c r="Q33" s="21" t="s">
        <v>1298</v>
      </c>
      <c r="R33" s="21" t="s">
        <v>1298</v>
      </c>
      <c r="S33" s="21" t="s">
        <v>1299</v>
      </c>
      <c r="T33" s="21" t="s">
        <v>1300</v>
      </c>
      <c r="U33" s="21" t="s">
        <v>1301</v>
      </c>
      <c r="V33" s="21" t="s">
        <v>1302</v>
      </c>
      <c r="W33" s="21" t="s">
        <v>1303</v>
      </c>
      <c r="X33" s="21" t="s">
        <v>1302</v>
      </c>
      <c r="Y33" s="21" t="s">
        <v>1302</v>
      </c>
      <c r="Z33" s="21" t="s">
        <v>1303</v>
      </c>
      <c r="AA33" s="21" t="s">
        <v>1304</v>
      </c>
      <c r="AB33" s="21" t="s">
        <v>1305</v>
      </c>
      <c r="AC33" s="21" t="s">
        <v>1023</v>
      </c>
      <c r="AD33" s="21" t="s">
        <v>1023</v>
      </c>
      <c r="AE33" s="21" t="s">
        <v>1023</v>
      </c>
      <c r="AF33" s="21" t="s">
        <v>1023</v>
      </c>
      <c r="AG33" s="209"/>
      <c r="AH33" s="21" t="s">
        <v>1306</v>
      </c>
    </row>
    <row r="34" spans="1:34" ht="15.75" thickBot="1">
      <c r="A34" s="310" t="s">
        <v>81</v>
      </c>
      <c r="B34" s="311" t="s">
        <v>1024</v>
      </c>
      <c r="C34" s="311" t="s">
        <v>1024</v>
      </c>
      <c r="D34" s="311" t="s">
        <v>1024</v>
      </c>
      <c r="E34" s="311" t="s">
        <v>1024</v>
      </c>
      <c r="F34" s="311" t="s">
        <v>1024</v>
      </c>
      <c r="G34" s="311" t="s">
        <v>1024</v>
      </c>
      <c r="H34" s="311" t="s">
        <v>1024</v>
      </c>
      <c r="I34" s="311" t="s">
        <v>1024</v>
      </c>
      <c r="J34" s="311" t="s">
        <v>1024</v>
      </c>
      <c r="K34" s="311" t="s">
        <v>1024</v>
      </c>
      <c r="L34" s="311" t="s">
        <v>1024</v>
      </c>
      <c r="M34" s="311" t="s">
        <v>1024</v>
      </c>
      <c r="N34" s="311" t="s">
        <v>1024</v>
      </c>
      <c r="O34" s="311" t="s">
        <v>1024</v>
      </c>
      <c r="P34" s="311" t="s">
        <v>1024</v>
      </c>
      <c r="Q34" s="311" t="s">
        <v>1024</v>
      </c>
      <c r="R34" s="311" t="s">
        <v>1024</v>
      </c>
      <c r="S34" s="311" t="s">
        <v>1024</v>
      </c>
      <c r="T34" s="311" t="s">
        <v>1024</v>
      </c>
      <c r="U34" s="311" t="s">
        <v>1024</v>
      </c>
      <c r="V34" s="311" t="s">
        <v>1024</v>
      </c>
      <c r="W34" s="311" t="s">
        <v>1024</v>
      </c>
      <c r="X34" s="311" t="s">
        <v>1024</v>
      </c>
      <c r="Y34" s="311" t="s">
        <v>1024</v>
      </c>
      <c r="Z34" s="311" t="s">
        <v>1024</v>
      </c>
      <c r="AA34" s="311" t="s">
        <v>1024</v>
      </c>
      <c r="AB34" s="311" t="s">
        <v>1024</v>
      </c>
      <c r="AC34" s="311" t="s">
        <v>1024</v>
      </c>
      <c r="AD34" s="311" t="s">
        <v>1024</v>
      </c>
      <c r="AE34" s="311" t="s">
        <v>1024</v>
      </c>
      <c r="AF34" s="311" t="s">
        <v>1024</v>
      </c>
      <c r="AG34" s="209"/>
      <c r="AH34" s="311" t="s">
        <v>1024</v>
      </c>
    </row>
    <row r="35" spans="1:34">
      <c r="AG35" s="211"/>
    </row>
    <row r="36" spans="1:34">
      <c r="AG36" s="211"/>
    </row>
  </sheetData>
  <mergeCells count="1">
    <mergeCell ref="A1:AH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1015-91F0-4F2B-859F-CF007E5DA5B8}">
  <dimension ref="A1:AJ36"/>
  <sheetViews>
    <sheetView topLeftCell="O1"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16.570312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45170</v>
      </c>
      <c r="C2" s="281">
        <v>45171</v>
      </c>
      <c r="D2" s="281">
        <v>45172</v>
      </c>
      <c r="E2" s="281">
        <v>45173</v>
      </c>
      <c r="F2" s="281">
        <v>45174</v>
      </c>
      <c r="G2" s="281">
        <v>45175</v>
      </c>
      <c r="H2" s="281">
        <v>45176</v>
      </c>
      <c r="I2" s="281">
        <v>45177</v>
      </c>
      <c r="J2" s="281">
        <v>45178</v>
      </c>
      <c r="K2" s="281">
        <v>45179</v>
      </c>
      <c r="L2" s="281">
        <v>45180</v>
      </c>
      <c r="M2" s="281">
        <v>45181</v>
      </c>
      <c r="N2" s="281">
        <v>45182</v>
      </c>
      <c r="O2" s="281">
        <v>45183</v>
      </c>
      <c r="P2" s="281">
        <v>45184</v>
      </c>
      <c r="Q2" s="281">
        <v>45185</v>
      </c>
      <c r="R2" s="281">
        <v>45186</v>
      </c>
      <c r="S2" s="281">
        <v>45187</v>
      </c>
      <c r="T2" s="281">
        <v>45188</v>
      </c>
      <c r="U2" s="281">
        <v>45189</v>
      </c>
      <c r="V2" s="281">
        <v>45190</v>
      </c>
      <c r="W2" s="281">
        <v>45191</v>
      </c>
      <c r="X2" s="281">
        <v>45192</v>
      </c>
      <c r="Y2" s="281">
        <v>45193</v>
      </c>
      <c r="Z2" s="281">
        <v>45194</v>
      </c>
      <c r="AA2" s="281">
        <v>45195</v>
      </c>
      <c r="AB2" s="281">
        <v>45196</v>
      </c>
      <c r="AC2" s="281">
        <v>45197</v>
      </c>
      <c r="AD2" s="281">
        <v>45198</v>
      </c>
      <c r="AE2" s="281">
        <v>45199</v>
      </c>
      <c r="AF2" s="281"/>
      <c r="AG2" s="281">
        <v>45169</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286" t="s">
        <v>752</v>
      </c>
      <c r="C4" s="286" t="s">
        <v>753</v>
      </c>
      <c r="D4" s="286" t="s">
        <v>754</v>
      </c>
      <c r="E4" s="286" t="s">
        <v>755</v>
      </c>
      <c r="F4" s="286" t="s">
        <v>756</v>
      </c>
      <c r="G4" s="286" t="s">
        <v>757</v>
      </c>
      <c r="H4" s="286" t="s">
        <v>758</v>
      </c>
      <c r="I4" s="286" t="s">
        <v>759</v>
      </c>
      <c r="J4" s="286" t="s">
        <v>760</v>
      </c>
      <c r="K4" s="286" t="s">
        <v>761</v>
      </c>
      <c r="L4" s="286" t="s">
        <v>762</v>
      </c>
      <c r="M4" s="286" t="s">
        <v>763</v>
      </c>
      <c r="N4" s="286" t="s">
        <v>764</v>
      </c>
      <c r="O4" s="286" t="s">
        <v>765</v>
      </c>
      <c r="P4" s="286" t="s">
        <v>766</v>
      </c>
      <c r="Q4" s="286" t="s">
        <v>767</v>
      </c>
      <c r="R4" s="286" t="s">
        <v>768</v>
      </c>
      <c r="S4" s="286" t="s">
        <v>769</v>
      </c>
      <c r="T4" s="286" t="s">
        <v>770</v>
      </c>
      <c r="U4" s="286" t="s">
        <v>771</v>
      </c>
      <c r="V4" s="286" t="s">
        <v>772</v>
      </c>
      <c r="W4" s="286" t="s">
        <v>773</v>
      </c>
      <c r="X4" s="286" t="s">
        <v>774</v>
      </c>
      <c r="Y4" s="286" t="s">
        <v>775</v>
      </c>
      <c r="Z4" s="286" t="s">
        <v>776</v>
      </c>
      <c r="AA4" s="286" t="s">
        <v>777</v>
      </c>
      <c r="AB4" s="286" t="s">
        <v>778</v>
      </c>
      <c r="AC4" s="286" t="s">
        <v>779</v>
      </c>
      <c r="AD4" s="286" t="s">
        <v>780</v>
      </c>
      <c r="AE4" s="286" t="s">
        <v>781</v>
      </c>
      <c r="AF4" s="287"/>
      <c r="AG4" s="286" t="s">
        <v>782</v>
      </c>
      <c r="AH4" s="288"/>
    </row>
    <row r="5" spans="1:36" ht="20.100000000000001" customHeight="1">
      <c r="A5" s="285" t="s">
        <v>55</v>
      </c>
      <c r="B5" s="286" t="s">
        <v>783</v>
      </c>
      <c r="C5" s="286" t="s">
        <v>784</v>
      </c>
      <c r="D5" s="286" t="s">
        <v>785</v>
      </c>
      <c r="E5" s="286" t="s">
        <v>786</v>
      </c>
      <c r="F5" s="286" t="s">
        <v>787</v>
      </c>
      <c r="G5" s="286" t="s">
        <v>788</v>
      </c>
      <c r="H5" s="286" t="s">
        <v>789</v>
      </c>
      <c r="I5" s="286" t="s">
        <v>790</v>
      </c>
      <c r="J5" s="286" t="s">
        <v>791</v>
      </c>
      <c r="K5" s="286" t="s">
        <v>792</v>
      </c>
      <c r="L5" s="286" t="s">
        <v>793</v>
      </c>
      <c r="M5" s="286" t="s">
        <v>794</v>
      </c>
      <c r="N5" s="286" t="s">
        <v>795</v>
      </c>
      <c r="O5" s="286" t="s">
        <v>796</v>
      </c>
      <c r="P5" s="286" t="s">
        <v>797</v>
      </c>
      <c r="Q5" s="286" t="s">
        <v>798</v>
      </c>
      <c r="R5" s="286" t="s">
        <v>799</v>
      </c>
      <c r="S5" s="286" t="s">
        <v>800</v>
      </c>
      <c r="T5" s="286" t="s">
        <v>801</v>
      </c>
      <c r="U5" s="286" t="s">
        <v>802</v>
      </c>
      <c r="V5" s="286" t="s">
        <v>803</v>
      </c>
      <c r="W5" s="286" t="s">
        <v>804</v>
      </c>
      <c r="X5" s="286" t="s">
        <v>805</v>
      </c>
      <c r="Y5" s="286" t="s">
        <v>806</v>
      </c>
      <c r="Z5" s="286" t="s">
        <v>807</v>
      </c>
      <c r="AA5" s="286" t="s">
        <v>808</v>
      </c>
      <c r="AB5" s="286" t="s">
        <v>809</v>
      </c>
      <c r="AC5" s="286" t="s">
        <v>810</v>
      </c>
      <c r="AD5" s="286" t="s">
        <v>811</v>
      </c>
      <c r="AE5" s="286" t="s">
        <v>812</v>
      </c>
      <c r="AF5" s="287"/>
      <c r="AG5" s="286" t="s">
        <v>813</v>
      </c>
      <c r="AH5" s="288"/>
    </row>
    <row r="6" spans="1:36" ht="20.100000000000001" customHeight="1">
      <c r="A6" s="285" t="s">
        <v>56</v>
      </c>
      <c r="B6" s="289" t="s">
        <v>814</v>
      </c>
      <c r="C6" s="289" t="s">
        <v>815</v>
      </c>
      <c r="D6" s="289" t="s">
        <v>816</v>
      </c>
      <c r="E6" s="289" t="s">
        <v>817</v>
      </c>
      <c r="F6" s="289" t="s">
        <v>818</v>
      </c>
      <c r="G6" s="289" t="s">
        <v>819</v>
      </c>
      <c r="H6" s="289" t="s">
        <v>820</v>
      </c>
      <c r="I6" s="289" t="s">
        <v>821</v>
      </c>
      <c r="J6" s="289" t="s">
        <v>822</v>
      </c>
      <c r="K6" s="289" t="s">
        <v>823</v>
      </c>
      <c r="L6" s="289" t="s">
        <v>824</v>
      </c>
      <c r="M6" s="289" t="s">
        <v>825</v>
      </c>
      <c r="N6" s="289" t="s">
        <v>826</v>
      </c>
      <c r="O6" s="289" t="s">
        <v>827</v>
      </c>
      <c r="P6" s="289" t="s">
        <v>828</v>
      </c>
      <c r="Q6" s="289" t="s">
        <v>829</v>
      </c>
      <c r="R6" s="289" t="s">
        <v>830</v>
      </c>
      <c r="S6" s="289" t="s">
        <v>831</v>
      </c>
      <c r="T6" s="289" t="s">
        <v>832</v>
      </c>
      <c r="U6" s="289" t="s">
        <v>833</v>
      </c>
      <c r="V6" s="289" t="s">
        <v>834</v>
      </c>
      <c r="W6" s="289" t="s">
        <v>835</v>
      </c>
      <c r="X6" s="289" t="s">
        <v>836</v>
      </c>
      <c r="Y6" s="289" t="s">
        <v>837</v>
      </c>
      <c r="Z6" s="289" t="s">
        <v>838</v>
      </c>
      <c r="AA6" s="289" t="s">
        <v>839</v>
      </c>
      <c r="AB6" s="289" t="s">
        <v>840</v>
      </c>
      <c r="AC6" s="289" t="s">
        <v>841</v>
      </c>
      <c r="AD6" s="289" t="s">
        <v>842</v>
      </c>
      <c r="AE6" s="289" t="s">
        <v>843</v>
      </c>
      <c r="AF6" s="287"/>
      <c r="AG6" s="289" t="s">
        <v>844</v>
      </c>
      <c r="AH6" s="288"/>
    </row>
    <row r="7" spans="1:36" ht="20.100000000000001" customHeight="1">
      <c r="A7" s="285" t="s">
        <v>57</v>
      </c>
      <c r="B7" s="289" t="s">
        <v>845</v>
      </c>
      <c r="C7" s="289" t="s">
        <v>846</v>
      </c>
      <c r="D7" s="289" t="s">
        <v>847</v>
      </c>
      <c r="E7" s="289" t="s">
        <v>848</v>
      </c>
      <c r="F7" s="289" t="s">
        <v>849</v>
      </c>
      <c r="G7" s="289" t="s">
        <v>850</v>
      </c>
      <c r="H7" s="289" t="s">
        <v>851</v>
      </c>
      <c r="I7" s="289" t="s">
        <v>852</v>
      </c>
      <c r="J7" s="289" t="s">
        <v>853</v>
      </c>
      <c r="K7" s="289" t="s">
        <v>854</v>
      </c>
      <c r="L7" s="289" t="s">
        <v>855</v>
      </c>
      <c r="M7" s="289" t="s">
        <v>856</v>
      </c>
      <c r="N7" s="289" t="s">
        <v>857</v>
      </c>
      <c r="O7" s="289" t="s">
        <v>858</v>
      </c>
      <c r="P7" s="289" t="s">
        <v>859</v>
      </c>
      <c r="Q7" s="289" t="s">
        <v>860</v>
      </c>
      <c r="R7" s="289" t="s">
        <v>861</v>
      </c>
      <c r="S7" s="289" t="s">
        <v>862</v>
      </c>
      <c r="T7" s="289" t="s">
        <v>863</v>
      </c>
      <c r="U7" s="289" t="s">
        <v>864</v>
      </c>
      <c r="V7" s="289" t="s">
        <v>865</v>
      </c>
      <c r="W7" s="289" t="s">
        <v>866</v>
      </c>
      <c r="X7" s="289" t="s">
        <v>867</v>
      </c>
      <c r="Y7" s="289" t="s">
        <v>868</v>
      </c>
      <c r="Z7" s="289" t="s">
        <v>869</v>
      </c>
      <c r="AA7" s="289" t="s">
        <v>870</v>
      </c>
      <c r="AB7" s="289" t="s">
        <v>871</v>
      </c>
      <c r="AC7" s="289" t="s">
        <v>872</v>
      </c>
      <c r="AD7" s="289" t="s">
        <v>873</v>
      </c>
      <c r="AE7" s="289" t="s">
        <v>874</v>
      </c>
      <c r="AF7" s="287"/>
      <c r="AG7" s="289" t="s">
        <v>875</v>
      </c>
      <c r="AH7" s="288"/>
    </row>
    <row r="8" spans="1:36" ht="20.100000000000001" customHeight="1">
      <c r="A8" s="285" t="s">
        <v>58</v>
      </c>
      <c r="B8" s="289" t="s">
        <v>876</v>
      </c>
      <c r="C8" s="289" t="s">
        <v>876</v>
      </c>
      <c r="D8" s="289" t="s">
        <v>876</v>
      </c>
      <c r="E8" s="289" t="s">
        <v>876</v>
      </c>
      <c r="F8" s="289" t="s">
        <v>876</v>
      </c>
      <c r="G8" s="289" t="s">
        <v>876</v>
      </c>
      <c r="H8" s="289" t="s">
        <v>877</v>
      </c>
      <c r="I8" s="289" t="s">
        <v>878</v>
      </c>
      <c r="J8" s="289" t="s">
        <v>879</v>
      </c>
      <c r="K8" s="289" t="s">
        <v>880</v>
      </c>
      <c r="L8" s="289" t="s">
        <v>881</v>
      </c>
      <c r="M8" s="289" t="s">
        <v>882</v>
      </c>
      <c r="N8" s="289" t="s">
        <v>883</v>
      </c>
      <c r="O8" s="289" t="s">
        <v>884</v>
      </c>
      <c r="P8" s="289" t="s">
        <v>885</v>
      </c>
      <c r="Q8" s="289" t="s">
        <v>886</v>
      </c>
      <c r="R8" s="289" t="s">
        <v>887</v>
      </c>
      <c r="S8" s="289" t="s">
        <v>888</v>
      </c>
      <c r="T8" s="289" t="s">
        <v>889</v>
      </c>
      <c r="U8" s="289" t="s">
        <v>890</v>
      </c>
      <c r="V8" s="289" t="s">
        <v>891</v>
      </c>
      <c r="W8" s="289" t="s">
        <v>892</v>
      </c>
      <c r="X8" s="289" t="s">
        <v>893</v>
      </c>
      <c r="Y8" s="289" t="s">
        <v>894</v>
      </c>
      <c r="Z8" s="289" t="s">
        <v>895</v>
      </c>
      <c r="AA8" s="289" t="s">
        <v>896</v>
      </c>
      <c r="AB8" s="289" t="s">
        <v>897</v>
      </c>
      <c r="AC8" s="289" t="s">
        <v>898</v>
      </c>
      <c r="AD8" s="289" t="s">
        <v>899</v>
      </c>
      <c r="AE8" s="289" t="s">
        <v>900</v>
      </c>
      <c r="AF8" s="287"/>
      <c r="AG8" s="289" t="s">
        <v>901</v>
      </c>
      <c r="AH8" s="288"/>
    </row>
    <row r="9" spans="1:36" ht="20.100000000000001" customHeight="1">
      <c r="A9" s="285" t="s">
        <v>59</v>
      </c>
      <c r="B9" s="289" t="s">
        <v>902</v>
      </c>
      <c r="C9" s="289" t="s">
        <v>903</v>
      </c>
      <c r="D9" s="289" t="s">
        <v>904</v>
      </c>
      <c r="E9" s="289" t="s">
        <v>905</v>
      </c>
      <c r="F9" s="289" t="s">
        <v>906</v>
      </c>
      <c r="G9" s="289" t="s">
        <v>907</v>
      </c>
      <c r="H9" s="289" t="s">
        <v>908</v>
      </c>
      <c r="I9" s="289" t="s">
        <v>909</v>
      </c>
      <c r="J9" s="289" t="s">
        <v>910</v>
      </c>
      <c r="K9" s="289" t="s">
        <v>911</v>
      </c>
      <c r="L9" s="289" t="s">
        <v>912</v>
      </c>
      <c r="M9" s="289" t="s">
        <v>913</v>
      </c>
      <c r="N9" s="289" t="s">
        <v>914</v>
      </c>
      <c r="O9" s="289" t="s">
        <v>915</v>
      </c>
      <c r="P9" s="289" t="s">
        <v>916</v>
      </c>
      <c r="Q9" s="289" t="s">
        <v>917</v>
      </c>
      <c r="R9" s="289" t="s">
        <v>918</v>
      </c>
      <c r="S9" s="289" t="s">
        <v>919</v>
      </c>
      <c r="T9" s="289" t="s">
        <v>920</v>
      </c>
      <c r="U9" s="289" t="s">
        <v>921</v>
      </c>
      <c r="V9" s="289" t="s">
        <v>922</v>
      </c>
      <c r="W9" s="289" t="s">
        <v>923</v>
      </c>
      <c r="X9" s="289" t="s">
        <v>924</v>
      </c>
      <c r="Y9" s="289" t="s">
        <v>925</v>
      </c>
      <c r="Z9" s="289" t="s">
        <v>926</v>
      </c>
      <c r="AA9" s="289" t="s">
        <v>927</v>
      </c>
      <c r="AB9" s="289" t="s">
        <v>928</v>
      </c>
      <c r="AC9" s="289" t="s">
        <v>929</v>
      </c>
      <c r="AD9" s="289" t="s">
        <v>930</v>
      </c>
      <c r="AE9" s="289" t="s">
        <v>931</v>
      </c>
      <c r="AF9" s="290"/>
      <c r="AG9" s="289" t="s">
        <v>932</v>
      </c>
      <c r="AH9" s="288"/>
    </row>
    <row r="10" spans="1:36" ht="20.100000000000001" customHeight="1">
      <c r="A10" s="285" t="s">
        <v>60</v>
      </c>
      <c r="B10" s="289" t="s">
        <v>933</v>
      </c>
      <c r="C10" s="289" t="s">
        <v>934</v>
      </c>
      <c r="D10" s="289" t="s">
        <v>935</v>
      </c>
      <c r="E10" s="289" t="s">
        <v>936</v>
      </c>
      <c r="F10" s="289" t="s">
        <v>937</v>
      </c>
      <c r="G10" s="289" t="s">
        <v>938</v>
      </c>
      <c r="H10" s="289" t="s">
        <v>939</v>
      </c>
      <c r="I10" s="289" t="s">
        <v>940</v>
      </c>
      <c r="J10" s="289" t="s">
        <v>941</v>
      </c>
      <c r="K10" s="289" t="s">
        <v>942</v>
      </c>
      <c r="L10" s="289" t="s">
        <v>943</v>
      </c>
      <c r="M10" s="289" t="s">
        <v>944</v>
      </c>
      <c r="N10" s="289" t="s">
        <v>945</v>
      </c>
      <c r="O10" s="289" t="s">
        <v>946</v>
      </c>
      <c r="P10" s="289" t="s">
        <v>947</v>
      </c>
      <c r="Q10" s="289" t="s">
        <v>948</v>
      </c>
      <c r="R10" s="289" t="s">
        <v>949</v>
      </c>
      <c r="S10" s="289" t="s">
        <v>950</v>
      </c>
      <c r="T10" s="289" t="s">
        <v>951</v>
      </c>
      <c r="U10" s="289" t="s">
        <v>952</v>
      </c>
      <c r="V10" s="289" t="s">
        <v>953</v>
      </c>
      <c r="W10" s="289" t="s">
        <v>954</v>
      </c>
      <c r="X10" s="289" t="s">
        <v>955</v>
      </c>
      <c r="Y10" s="289" t="s">
        <v>956</v>
      </c>
      <c r="Z10" s="289" t="s">
        <v>957</v>
      </c>
      <c r="AA10" s="289" t="s">
        <v>958</v>
      </c>
      <c r="AB10" s="289" t="s">
        <v>959</v>
      </c>
      <c r="AC10" s="289" t="s">
        <v>960</v>
      </c>
      <c r="AD10" s="289" t="s">
        <v>961</v>
      </c>
      <c r="AE10" s="289" t="s">
        <v>962</v>
      </c>
      <c r="AF10" s="287"/>
      <c r="AG10" s="289" t="s">
        <v>963</v>
      </c>
      <c r="AH10" s="288"/>
    </row>
    <row r="11" spans="1:36" ht="22.5" customHeight="1">
      <c r="A11" s="285" t="s">
        <v>61</v>
      </c>
      <c r="B11" s="289" t="s">
        <v>964</v>
      </c>
      <c r="C11" s="289" t="s">
        <v>965</v>
      </c>
      <c r="D11" s="289" t="s">
        <v>966</v>
      </c>
      <c r="E11" s="289" t="s">
        <v>967</v>
      </c>
      <c r="F11" s="289" t="s">
        <v>968</v>
      </c>
      <c r="G11" s="289" t="s">
        <v>969</v>
      </c>
      <c r="H11" s="289" t="s">
        <v>970</v>
      </c>
      <c r="I11" s="289" t="s">
        <v>971</v>
      </c>
      <c r="J11" s="289" t="s">
        <v>972</v>
      </c>
      <c r="K11" s="289" t="s">
        <v>973</v>
      </c>
      <c r="L11" s="289" t="s">
        <v>974</v>
      </c>
      <c r="M11" s="289" t="s">
        <v>975</v>
      </c>
      <c r="N11" s="289" t="s">
        <v>976</v>
      </c>
      <c r="O11" s="289" t="s">
        <v>977</v>
      </c>
      <c r="P11" s="289" t="s">
        <v>978</v>
      </c>
      <c r="Q11" s="289" t="s">
        <v>979</v>
      </c>
      <c r="R11" s="289" t="s">
        <v>980</v>
      </c>
      <c r="S11" s="289" t="s">
        <v>981</v>
      </c>
      <c r="T11" s="289" t="s">
        <v>982</v>
      </c>
      <c r="U11" s="289" t="s">
        <v>983</v>
      </c>
      <c r="V11" s="289" t="s">
        <v>984</v>
      </c>
      <c r="W11" s="289" t="s">
        <v>985</v>
      </c>
      <c r="X11" s="289" t="s">
        <v>986</v>
      </c>
      <c r="Y11" s="289" t="s">
        <v>987</v>
      </c>
      <c r="Z11" s="289" t="s">
        <v>988</v>
      </c>
      <c r="AA11" s="289" t="s">
        <v>989</v>
      </c>
      <c r="AB11" s="289" t="s">
        <v>990</v>
      </c>
      <c r="AC11" s="289" t="s">
        <v>991</v>
      </c>
      <c r="AD11" s="289" t="s">
        <v>992</v>
      </c>
      <c r="AE11" s="289" t="s">
        <v>993</v>
      </c>
      <c r="AF11" s="287"/>
      <c r="AG11" s="289" t="s">
        <v>994</v>
      </c>
      <c r="AH11" s="288"/>
    </row>
    <row r="12" spans="1:36" s="294" customFormat="1" ht="18" customHeight="1">
      <c r="A12" s="291" t="s">
        <v>62</v>
      </c>
      <c r="B12" s="292"/>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3"/>
      <c r="AG12" s="292"/>
    </row>
    <row r="13" spans="1:36">
      <c r="A13" s="282" t="s">
        <v>63</v>
      </c>
      <c r="B13" s="295" t="s">
        <v>64</v>
      </c>
      <c r="C13" s="295" t="s">
        <v>64</v>
      </c>
      <c r="D13" s="295" t="s">
        <v>64</v>
      </c>
      <c r="E13" s="295" t="s">
        <v>64</v>
      </c>
      <c r="F13" s="295" t="s">
        <v>64</v>
      </c>
      <c r="G13" s="295" t="s">
        <v>64</v>
      </c>
      <c r="H13" s="295" t="s">
        <v>64</v>
      </c>
      <c r="I13" s="295" t="s">
        <v>64</v>
      </c>
      <c r="J13" s="295" t="s">
        <v>64</v>
      </c>
      <c r="K13" s="295" t="s">
        <v>64</v>
      </c>
      <c r="L13" s="295" t="s">
        <v>64</v>
      </c>
      <c r="M13" s="295" t="s">
        <v>64</v>
      </c>
      <c r="N13" s="295" t="s">
        <v>64</v>
      </c>
      <c r="O13" s="295" t="s">
        <v>64</v>
      </c>
      <c r="P13" s="295" t="s">
        <v>64</v>
      </c>
      <c r="Q13" s="295" t="s">
        <v>64</v>
      </c>
      <c r="R13" s="295" t="s">
        <v>64</v>
      </c>
      <c r="S13" s="295" t="s">
        <v>64</v>
      </c>
      <c r="T13" s="295" t="s">
        <v>64</v>
      </c>
      <c r="U13" s="295" t="s">
        <v>64</v>
      </c>
      <c r="V13" s="295" t="s">
        <v>64</v>
      </c>
      <c r="W13" s="295" t="s">
        <v>64</v>
      </c>
      <c r="X13" s="295" t="s">
        <v>64</v>
      </c>
      <c r="Y13" s="295" t="s">
        <v>64</v>
      </c>
      <c r="Z13" s="295" t="s">
        <v>64</v>
      </c>
      <c r="AA13" s="295" t="s">
        <v>64</v>
      </c>
      <c r="AB13" s="295" t="s">
        <v>64</v>
      </c>
      <c r="AC13" s="295" t="s">
        <v>64</v>
      </c>
      <c r="AD13" s="295" t="s">
        <v>64</v>
      </c>
      <c r="AE13" s="295" t="s">
        <v>64</v>
      </c>
      <c r="AF13" s="296"/>
      <c r="AG13" s="295" t="s">
        <v>64</v>
      </c>
    </row>
    <row r="14" spans="1:36">
      <c r="A14" s="282" t="s">
        <v>995</v>
      </c>
      <c r="B14" s="297">
        <v>319662.18</v>
      </c>
      <c r="C14" s="297">
        <v>320244.90000000002</v>
      </c>
      <c r="D14" s="297">
        <v>320244.90000000002</v>
      </c>
      <c r="E14" s="297">
        <v>320244.90000000002</v>
      </c>
      <c r="F14" s="297">
        <v>320244.90000000002</v>
      </c>
      <c r="G14" s="297">
        <v>320244.90000000002</v>
      </c>
      <c r="H14" s="297">
        <v>320244.90000000002</v>
      </c>
      <c r="I14" s="297">
        <v>320244.90000000002</v>
      </c>
      <c r="J14" s="297">
        <v>321198.33</v>
      </c>
      <c r="K14" s="297">
        <v>321198.33</v>
      </c>
      <c r="L14" s="297">
        <v>321198.33</v>
      </c>
      <c r="M14" s="297">
        <v>321198.33</v>
      </c>
      <c r="N14" s="297">
        <v>321198.33</v>
      </c>
      <c r="O14" s="297">
        <v>321198.33</v>
      </c>
      <c r="P14" s="297">
        <v>321198.33</v>
      </c>
      <c r="Q14" s="297">
        <v>322404.96999999997</v>
      </c>
      <c r="R14" s="297">
        <v>322404.96999999997</v>
      </c>
      <c r="S14" s="297">
        <v>322404.96999999997</v>
      </c>
      <c r="T14" s="297">
        <v>322404.96999999997</v>
      </c>
      <c r="U14" s="297">
        <v>322404.96999999997</v>
      </c>
      <c r="V14" s="297">
        <v>322404.96999999997</v>
      </c>
      <c r="W14" s="297">
        <v>322404.96999999997</v>
      </c>
      <c r="X14" s="297">
        <v>323563.77</v>
      </c>
      <c r="Y14" s="297">
        <v>323563.77</v>
      </c>
      <c r="Z14" s="297">
        <v>323563.77</v>
      </c>
      <c r="AA14" s="297">
        <v>323563.77</v>
      </c>
      <c r="AB14" s="297">
        <v>323563.77</v>
      </c>
      <c r="AC14" s="297">
        <v>323563.77</v>
      </c>
      <c r="AD14" s="297">
        <v>323563.77</v>
      </c>
      <c r="AE14" s="297">
        <v>324129.71000000002</v>
      </c>
      <c r="AF14" s="298">
        <f>AE14-AG14</f>
        <v>4467.5300000000279</v>
      </c>
      <c r="AG14" s="297">
        <v>319662.18</v>
      </c>
      <c r="AH14" s="299">
        <v>4467.53</v>
      </c>
      <c r="AI14" s="299"/>
      <c r="AJ14" s="300"/>
    </row>
    <row r="15" spans="1:36" ht="25.5">
      <c r="A15" s="282" t="s">
        <v>67</v>
      </c>
      <c r="B15" s="297">
        <v>7531</v>
      </c>
      <c r="C15" s="297">
        <v>7531</v>
      </c>
      <c r="D15" s="297">
        <v>7531</v>
      </c>
      <c r="E15" s="297">
        <v>7531</v>
      </c>
      <c r="F15" s="297">
        <v>7531</v>
      </c>
      <c r="G15" s="297">
        <v>7531</v>
      </c>
      <c r="H15" s="297">
        <v>7537</v>
      </c>
      <c r="I15" s="297">
        <v>7537</v>
      </c>
      <c r="J15" s="297">
        <v>7537</v>
      </c>
      <c r="K15" s="297">
        <v>7537</v>
      </c>
      <c r="L15" s="297">
        <v>7537</v>
      </c>
      <c r="M15" s="297">
        <v>7537</v>
      </c>
      <c r="N15" s="297">
        <v>7537</v>
      </c>
      <c r="O15" s="297">
        <v>7537</v>
      </c>
      <c r="P15" s="297">
        <v>7537</v>
      </c>
      <c r="Q15" s="297">
        <v>7537</v>
      </c>
      <c r="R15" s="297">
        <v>7537</v>
      </c>
      <c r="S15" s="297">
        <v>7537</v>
      </c>
      <c r="T15" s="297">
        <v>7537</v>
      </c>
      <c r="U15" s="297">
        <v>7537</v>
      </c>
      <c r="V15" s="297">
        <v>7537</v>
      </c>
      <c r="W15" s="297">
        <v>7537</v>
      </c>
      <c r="X15" s="297">
        <v>7537</v>
      </c>
      <c r="Y15" s="297">
        <v>7537</v>
      </c>
      <c r="Z15" s="297">
        <v>7537</v>
      </c>
      <c r="AA15" s="297">
        <v>7537</v>
      </c>
      <c r="AB15" s="297">
        <v>7537</v>
      </c>
      <c r="AC15" s="297">
        <v>7537</v>
      </c>
      <c r="AD15" s="297">
        <v>7537</v>
      </c>
      <c r="AE15" s="297">
        <v>7537</v>
      </c>
      <c r="AF15" s="301"/>
      <c r="AG15" s="297">
        <v>7531</v>
      </c>
      <c r="AI15" s="299"/>
      <c r="AJ15" s="302"/>
    </row>
    <row r="16" spans="1:36" ht="25.5">
      <c r="A16" s="282" t="s">
        <v>68</v>
      </c>
      <c r="B16" s="297">
        <v>10766</v>
      </c>
      <c r="C16" s="297">
        <v>10766</v>
      </c>
      <c r="D16" s="297">
        <v>10766</v>
      </c>
      <c r="E16" s="297">
        <v>10766</v>
      </c>
      <c r="F16" s="297">
        <v>10766</v>
      </c>
      <c r="G16" s="297">
        <v>10766</v>
      </c>
      <c r="H16" s="297">
        <v>10766</v>
      </c>
      <c r="I16" s="297">
        <v>10766</v>
      </c>
      <c r="J16" s="297">
        <v>10840</v>
      </c>
      <c r="K16" s="297">
        <v>10872</v>
      </c>
      <c r="L16" s="297">
        <v>10903</v>
      </c>
      <c r="M16" s="297">
        <v>10903</v>
      </c>
      <c r="N16" s="297">
        <v>10935</v>
      </c>
      <c r="O16" s="297">
        <v>10935</v>
      </c>
      <c r="P16" s="297">
        <v>10935</v>
      </c>
      <c r="Q16" s="297">
        <v>10959</v>
      </c>
      <c r="R16" s="297">
        <v>11005</v>
      </c>
      <c r="S16" s="297">
        <v>11082</v>
      </c>
      <c r="T16" s="297">
        <v>11110</v>
      </c>
      <c r="U16" s="297">
        <v>11118</v>
      </c>
      <c r="V16" s="297">
        <v>11123</v>
      </c>
      <c r="W16" s="297">
        <v>11129</v>
      </c>
      <c r="X16" s="297">
        <v>11134</v>
      </c>
      <c r="Y16" s="297">
        <v>11139</v>
      </c>
      <c r="Z16" s="297">
        <v>11144</v>
      </c>
      <c r="AA16" s="297">
        <v>11149</v>
      </c>
      <c r="AB16" s="297">
        <v>11155</v>
      </c>
      <c r="AC16" s="297">
        <v>11160</v>
      </c>
      <c r="AD16" s="297">
        <v>11165</v>
      </c>
      <c r="AE16" s="297">
        <v>11170</v>
      </c>
      <c r="AF16" s="301"/>
      <c r="AG16" s="297">
        <v>10766</v>
      </c>
      <c r="AI16" s="299"/>
      <c r="AJ16" s="302"/>
    </row>
    <row r="17" spans="1:36" ht="20.100000000000001" customHeight="1">
      <c r="A17" s="303"/>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304"/>
      <c r="AG17" s="292"/>
      <c r="AJ17" s="302"/>
    </row>
    <row r="18" spans="1:36">
      <c r="A18" s="282" t="s">
        <v>69</v>
      </c>
      <c r="B18" s="295" t="s">
        <v>64</v>
      </c>
      <c r="C18" s="295" t="s">
        <v>64</v>
      </c>
      <c r="D18" s="295" t="s">
        <v>64</v>
      </c>
      <c r="E18" s="295" t="s">
        <v>64</v>
      </c>
      <c r="F18" s="295" t="s">
        <v>64</v>
      </c>
      <c r="G18" s="295" t="s">
        <v>64</v>
      </c>
      <c r="H18" s="295" t="s">
        <v>64</v>
      </c>
      <c r="I18" s="295" t="s">
        <v>64</v>
      </c>
      <c r="J18" s="295" t="s">
        <v>64</v>
      </c>
      <c r="K18" s="295" t="s">
        <v>64</v>
      </c>
      <c r="L18" s="295" t="s">
        <v>64</v>
      </c>
      <c r="M18" s="295" t="s">
        <v>64</v>
      </c>
      <c r="N18" s="295" t="s">
        <v>64</v>
      </c>
      <c r="O18" s="295" t="s">
        <v>64</v>
      </c>
      <c r="P18" s="295" t="s">
        <v>64</v>
      </c>
      <c r="Q18" s="295" t="s">
        <v>64</v>
      </c>
      <c r="R18" s="295" t="s">
        <v>64</v>
      </c>
      <c r="S18" s="295" t="s">
        <v>64</v>
      </c>
      <c r="T18" s="295" t="s">
        <v>64</v>
      </c>
      <c r="U18" s="295" t="s">
        <v>64</v>
      </c>
      <c r="V18" s="295" t="s">
        <v>64</v>
      </c>
      <c r="W18" s="295" t="s">
        <v>64</v>
      </c>
      <c r="X18" s="295" t="s">
        <v>64</v>
      </c>
      <c r="Y18" s="295" t="s">
        <v>64</v>
      </c>
      <c r="Z18" s="295" t="s">
        <v>64</v>
      </c>
      <c r="AA18" s="295" t="s">
        <v>64</v>
      </c>
      <c r="AB18" s="295" t="s">
        <v>64</v>
      </c>
      <c r="AC18" s="295" t="s">
        <v>64</v>
      </c>
      <c r="AD18" s="295" t="s">
        <v>64</v>
      </c>
      <c r="AE18" s="295" t="s">
        <v>64</v>
      </c>
      <c r="AF18" s="305"/>
      <c r="AG18" s="295" t="s">
        <v>64</v>
      </c>
      <c r="AJ18" s="171"/>
    </row>
    <row r="19" spans="1:36" ht="25.5">
      <c r="A19" s="282" t="s">
        <v>70</v>
      </c>
      <c r="B19" s="306">
        <v>75526</v>
      </c>
      <c r="C19" s="306">
        <v>75549</v>
      </c>
      <c r="D19" s="306">
        <v>75574</v>
      </c>
      <c r="E19" s="306">
        <v>75594</v>
      </c>
      <c r="F19" s="306">
        <v>75637</v>
      </c>
      <c r="G19" s="306">
        <v>75682</v>
      </c>
      <c r="H19" s="306">
        <v>75703</v>
      </c>
      <c r="I19" s="306">
        <v>75726</v>
      </c>
      <c r="J19" s="306">
        <v>75737</v>
      </c>
      <c r="K19" s="306">
        <v>75753</v>
      </c>
      <c r="L19" s="306">
        <v>75775</v>
      </c>
      <c r="M19" s="306">
        <v>75796</v>
      </c>
      <c r="N19" s="306">
        <v>75817</v>
      </c>
      <c r="O19" s="306">
        <v>75841</v>
      </c>
      <c r="P19" s="306">
        <v>75879</v>
      </c>
      <c r="Q19" s="306">
        <v>75898</v>
      </c>
      <c r="R19" s="306">
        <v>75953</v>
      </c>
      <c r="S19" s="306">
        <v>75976</v>
      </c>
      <c r="T19" s="306">
        <v>75994</v>
      </c>
      <c r="U19" s="306">
        <v>76014</v>
      </c>
      <c r="V19" s="306">
        <v>76034</v>
      </c>
      <c r="W19" s="306">
        <v>76053</v>
      </c>
      <c r="X19" s="306">
        <v>76068</v>
      </c>
      <c r="Y19" s="306">
        <v>76088</v>
      </c>
      <c r="Z19" s="306">
        <v>76199</v>
      </c>
      <c r="AA19" s="306">
        <v>76258</v>
      </c>
      <c r="AB19" s="306">
        <v>76281</v>
      </c>
      <c r="AC19" s="306">
        <v>76303</v>
      </c>
      <c r="AD19" s="306">
        <v>76333</v>
      </c>
      <c r="AE19" s="306">
        <v>76341</v>
      </c>
      <c r="AF19" s="301">
        <f>AE19-AG19</f>
        <v>841</v>
      </c>
      <c r="AG19" s="306">
        <v>75500</v>
      </c>
      <c r="AH19" s="307">
        <v>841</v>
      </c>
      <c r="AI19" s="307"/>
      <c r="AJ19" s="300"/>
    </row>
    <row r="20" spans="1:36" ht="25.5">
      <c r="A20" s="282" t="s">
        <v>71</v>
      </c>
      <c r="B20" s="297" t="s">
        <v>996</v>
      </c>
      <c r="C20" s="297" t="s">
        <v>996</v>
      </c>
      <c r="D20" s="297" t="s">
        <v>996</v>
      </c>
      <c r="E20" s="297" t="s">
        <v>996</v>
      </c>
      <c r="F20" s="297" t="s">
        <v>997</v>
      </c>
      <c r="G20" s="297" t="s">
        <v>998</v>
      </c>
      <c r="H20" s="297" t="s">
        <v>998</v>
      </c>
      <c r="I20" s="297" t="s">
        <v>999</v>
      </c>
      <c r="J20" s="297" t="s">
        <v>999</v>
      </c>
      <c r="K20" s="297" t="s">
        <v>1000</v>
      </c>
      <c r="L20" s="297" t="s">
        <v>1000</v>
      </c>
      <c r="M20" s="297" t="s">
        <v>1000</v>
      </c>
      <c r="N20" s="297" t="s">
        <v>1000</v>
      </c>
      <c r="O20" s="297" t="s">
        <v>1000</v>
      </c>
      <c r="P20" s="297" t="s">
        <v>1001</v>
      </c>
      <c r="Q20" s="297" t="s">
        <v>1002</v>
      </c>
      <c r="R20" s="297" t="s">
        <v>1003</v>
      </c>
      <c r="S20" s="297" t="s">
        <v>1003</v>
      </c>
      <c r="T20" s="297" t="s">
        <v>1003</v>
      </c>
      <c r="U20" s="297" t="s">
        <v>1003</v>
      </c>
      <c r="V20" s="297" t="s">
        <v>1003</v>
      </c>
      <c r="W20" s="297" t="s">
        <v>1003</v>
      </c>
      <c r="X20" s="297" t="s">
        <v>1003</v>
      </c>
      <c r="Y20" s="297" t="s">
        <v>1004</v>
      </c>
      <c r="Z20" s="297" t="s">
        <v>1003</v>
      </c>
      <c r="AA20" s="297" t="s">
        <v>1005</v>
      </c>
      <c r="AB20" s="297" t="s">
        <v>1005</v>
      </c>
      <c r="AC20" s="297" t="s">
        <v>1005</v>
      </c>
      <c r="AD20" s="297" t="s">
        <v>1005</v>
      </c>
      <c r="AE20" s="297" t="s">
        <v>1005</v>
      </c>
      <c r="AF20" s="301" t="e">
        <f t="shared" ref="AF20:AF30" si="0">AE20-AG20</f>
        <v>#VALUE!</v>
      </c>
      <c r="AG20" s="297" t="s">
        <v>996</v>
      </c>
      <c r="AI20" s="307"/>
      <c r="AJ20" s="190"/>
    </row>
    <row r="21" spans="1:36">
      <c r="A21" s="282" t="s">
        <v>72</v>
      </c>
      <c r="B21" s="297">
        <v>159284</v>
      </c>
      <c r="C21" s="297">
        <v>160946</v>
      </c>
      <c r="D21" s="297">
        <v>160946</v>
      </c>
      <c r="E21" s="297">
        <v>160946</v>
      </c>
      <c r="F21" s="297">
        <v>160946</v>
      </c>
      <c r="G21" s="297">
        <v>160946</v>
      </c>
      <c r="H21" s="297">
        <v>160946</v>
      </c>
      <c r="I21" s="297">
        <v>160946</v>
      </c>
      <c r="J21" s="297">
        <v>162616</v>
      </c>
      <c r="K21" s="297">
        <v>162616</v>
      </c>
      <c r="L21" s="297">
        <v>162616</v>
      </c>
      <c r="M21" s="297">
        <v>162616</v>
      </c>
      <c r="N21" s="297">
        <v>162616</v>
      </c>
      <c r="O21" s="297">
        <v>162616</v>
      </c>
      <c r="P21" s="297">
        <v>162616</v>
      </c>
      <c r="Q21" s="297">
        <v>164368</v>
      </c>
      <c r="R21" s="297">
        <v>164368</v>
      </c>
      <c r="S21" s="297">
        <v>164368</v>
      </c>
      <c r="T21" s="297">
        <v>164368</v>
      </c>
      <c r="U21" s="297">
        <v>164368</v>
      </c>
      <c r="V21" s="297">
        <v>164368</v>
      </c>
      <c r="W21" s="297">
        <v>164368</v>
      </c>
      <c r="X21" s="297">
        <v>166056</v>
      </c>
      <c r="Y21" s="297">
        <v>166056</v>
      </c>
      <c r="Z21" s="297">
        <v>166056</v>
      </c>
      <c r="AA21" s="297">
        <v>166056</v>
      </c>
      <c r="AB21" s="297">
        <v>166056</v>
      </c>
      <c r="AC21" s="297">
        <v>166056</v>
      </c>
      <c r="AD21" s="297">
        <v>166056</v>
      </c>
      <c r="AE21" s="297">
        <v>167664</v>
      </c>
      <c r="AF21" s="301">
        <f t="shared" si="0"/>
        <v>8380</v>
      </c>
      <c r="AG21" s="297">
        <v>159284</v>
      </c>
      <c r="AI21" s="307"/>
      <c r="AJ21" s="308"/>
    </row>
    <row r="22" spans="1:36">
      <c r="A22" s="282" t="s">
        <v>73</v>
      </c>
      <c r="B22" s="297">
        <v>196475</v>
      </c>
      <c r="C22" s="297">
        <v>196597</v>
      </c>
      <c r="D22" s="297">
        <v>196714</v>
      </c>
      <c r="E22" s="297">
        <v>196850</v>
      </c>
      <c r="F22" s="297">
        <v>196985</v>
      </c>
      <c r="G22" s="297">
        <v>197133</v>
      </c>
      <c r="H22" s="297">
        <v>197283</v>
      </c>
      <c r="I22" s="297">
        <v>197439</v>
      </c>
      <c r="J22" s="297">
        <v>197592</v>
      </c>
      <c r="K22" s="297">
        <v>197743</v>
      </c>
      <c r="L22" s="297">
        <v>197890</v>
      </c>
      <c r="M22" s="297">
        <v>198038</v>
      </c>
      <c r="N22" s="297">
        <v>198199</v>
      </c>
      <c r="O22" s="297">
        <v>198351</v>
      </c>
      <c r="P22" s="297">
        <v>198508</v>
      </c>
      <c r="Q22" s="297">
        <v>198644</v>
      </c>
      <c r="R22" s="297">
        <v>198762</v>
      </c>
      <c r="S22" s="297">
        <v>198896</v>
      </c>
      <c r="T22" s="297">
        <v>199013</v>
      </c>
      <c r="U22" s="297">
        <v>199149</v>
      </c>
      <c r="V22" s="297">
        <v>199282</v>
      </c>
      <c r="W22" s="297">
        <v>199414</v>
      </c>
      <c r="X22" s="297">
        <v>199524</v>
      </c>
      <c r="Y22" s="297">
        <v>199641</v>
      </c>
      <c r="Z22" s="297">
        <v>199776</v>
      </c>
      <c r="AA22" s="297">
        <v>199903</v>
      </c>
      <c r="AB22" s="297">
        <v>200028</v>
      </c>
      <c r="AC22" s="297">
        <v>200159</v>
      </c>
      <c r="AD22" s="297">
        <v>200416</v>
      </c>
      <c r="AE22" s="297">
        <v>200416</v>
      </c>
      <c r="AF22" s="301">
        <f t="shared" si="0"/>
        <v>4082</v>
      </c>
      <c r="AG22" s="297">
        <v>196334</v>
      </c>
      <c r="AH22" s="144">
        <v>4082</v>
      </c>
      <c r="AI22" s="307"/>
      <c r="AJ22" s="190"/>
    </row>
    <row r="23" spans="1:36">
      <c r="A23" s="309" t="s">
        <v>136</v>
      </c>
      <c r="B23" s="297">
        <v>8627</v>
      </c>
      <c r="C23" s="297">
        <v>8688</v>
      </c>
      <c r="D23" s="297">
        <v>8688</v>
      </c>
      <c r="E23" s="297">
        <v>8688</v>
      </c>
      <c r="F23" s="297">
        <v>8688</v>
      </c>
      <c r="G23" s="297">
        <v>8688</v>
      </c>
      <c r="H23" s="297">
        <v>8688</v>
      </c>
      <c r="I23" s="297">
        <v>8688</v>
      </c>
      <c r="J23" s="297">
        <v>8750</v>
      </c>
      <c r="K23" s="297">
        <v>8750</v>
      </c>
      <c r="L23" s="297">
        <v>8750</v>
      </c>
      <c r="M23" s="297">
        <v>8750</v>
      </c>
      <c r="N23" s="297">
        <v>8750</v>
      </c>
      <c r="O23" s="297">
        <v>8750</v>
      </c>
      <c r="P23" s="297">
        <v>8750</v>
      </c>
      <c r="Q23" s="297">
        <v>9350</v>
      </c>
      <c r="R23" s="297">
        <v>9350</v>
      </c>
      <c r="S23" s="297">
        <v>9350</v>
      </c>
      <c r="T23" s="297">
        <v>9350</v>
      </c>
      <c r="U23" s="297">
        <v>9350</v>
      </c>
      <c r="V23" s="297">
        <v>9350</v>
      </c>
      <c r="W23" s="297">
        <v>9350</v>
      </c>
      <c r="X23" s="297">
        <v>9416</v>
      </c>
      <c r="Y23" s="297">
        <v>9416</v>
      </c>
      <c r="Z23" s="297">
        <v>9416</v>
      </c>
      <c r="AA23" s="297">
        <v>9416</v>
      </c>
      <c r="AB23" s="297">
        <v>9416</v>
      </c>
      <c r="AC23" s="297">
        <v>9416</v>
      </c>
      <c r="AD23" s="297">
        <v>9416</v>
      </c>
      <c r="AE23" s="297">
        <v>9478</v>
      </c>
      <c r="AF23" s="301">
        <f t="shared" si="0"/>
        <v>851</v>
      </c>
      <c r="AG23" s="297">
        <v>8627</v>
      </c>
      <c r="AH23" s="144">
        <v>851</v>
      </c>
      <c r="AI23" s="307"/>
      <c r="AJ23" s="190"/>
    </row>
    <row r="24" spans="1:36">
      <c r="A24" s="309" t="s">
        <v>139</v>
      </c>
      <c r="B24" s="297">
        <v>5983</v>
      </c>
      <c r="C24" s="297">
        <v>6033</v>
      </c>
      <c r="D24" s="297">
        <v>6033</v>
      </c>
      <c r="E24" s="297">
        <v>6033</v>
      </c>
      <c r="F24" s="297">
        <v>6033</v>
      </c>
      <c r="G24" s="297">
        <v>6033</v>
      </c>
      <c r="H24" s="297">
        <v>6033</v>
      </c>
      <c r="I24" s="297">
        <v>6033</v>
      </c>
      <c r="J24" s="297">
        <v>6081</v>
      </c>
      <c r="K24" s="297">
        <v>6081</v>
      </c>
      <c r="L24" s="297">
        <v>6081</v>
      </c>
      <c r="M24" s="297">
        <v>6081</v>
      </c>
      <c r="N24" s="297">
        <v>6081</v>
      </c>
      <c r="O24" s="297">
        <v>6081</v>
      </c>
      <c r="P24" s="297">
        <v>6081</v>
      </c>
      <c r="Q24" s="297">
        <v>6146</v>
      </c>
      <c r="R24" s="297">
        <v>6146</v>
      </c>
      <c r="S24" s="297">
        <v>6146</v>
      </c>
      <c r="T24" s="297">
        <v>6146</v>
      </c>
      <c r="U24" s="297">
        <v>6146</v>
      </c>
      <c r="V24" s="297">
        <v>6146</v>
      </c>
      <c r="W24" s="297">
        <v>6146</v>
      </c>
      <c r="X24" s="297">
        <v>6599</v>
      </c>
      <c r="Y24" s="297">
        <v>6599</v>
      </c>
      <c r="Z24" s="297">
        <v>6599</v>
      </c>
      <c r="AA24" s="297">
        <v>6599</v>
      </c>
      <c r="AB24" s="297">
        <v>6599</v>
      </c>
      <c r="AC24" s="297">
        <v>6599</v>
      </c>
      <c r="AD24" s="297">
        <v>6599</v>
      </c>
      <c r="AE24" s="297">
        <v>6664</v>
      </c>
      <c r="AF24" s="301">
        <f t="shared" si="0"/>
        <v>681</v>
      </c>
      <c r="AG24" s="297">
        <v>5983</v>
      </c>
      <c r="AH24" s="144">
        <v>681</v>
      </c>
      <c r="AI24" s="307"/>
      <c r="AJ24" s="190"/>
    </row>
    <row r="25" spans="1:36">
      <c r="A25" s="309" t="s">
        <v>142</v>
      </c>
      <c r="B25" s="297">
        <v>2426</v>
      </c>
      <c r="C25" s="297">
        <v>2464</v>
      </c>
      <c r="D25" s="297">
        <v>2464</v>
      </c>
      <c r="E25" s="297">
        <v>2464</v>
      </c>
      <c r="F25" s="297">
        <v>2464</v>
      </c>
      <c r="G25" s="297">
        <v>2464</v>
      </c>
      <c r="H25" s="297">
        <v>2464</v>
      </c>
      <c r="I25" s="297">
        <v>2464</v>
      </c>
      <c r="J25" s="297">
        <v>2491</v>
      </c>
      <c r="K25" s="297">
        <v>2491</v>
      </c>
      <c r="L25" s="297">
        <v>2491</v>
      </c>
      <c r="M25" s="297">
        <v>2491</v>
      </c>
      <c r="N25" s="297">
        <v>2491</v>
      </c>
      <c r="O25" s="297">
        <v>2491</v>
      </c>
      <c r="P25" s="297">
        <v>2491</v>
      </c>
      <c r="Q25" s="297">
        <v>2522</v>
      </c>
      <c r="R25" s="297">
        <v>2522</v>
      </c>
      <c r="S25" s="297">
        <v>2522</v>
      </c>
      <c r="T25" s="297">
        <v>2522</v>
      </c>
      <c r="U25" s="297">
        <v>2522</v>
      </c>
      <c r="V25" s="297">
        <v>2522</v>
      </c>
      <c r="W25" s="297">
        <v>2522</v>
      </c>
      <c r="X25" s="297">
        <v>2540</v>
      </c>
      <c r="Y25" s="297">
        <v>2540</v>
      </c>
      <c r="Z25" s="297">
        <v>2540</v>
      </c>
      <c r="AA25" s="297">
        <v>2540</v>
      </c>
      <c r="AB25" s="297">
        <v>2540</v>
      </c>
      <c r="AC25" s="297">
        <v>2540</v>
      </c>
      <c r="AD25" s="297">
        <v>2540</v>
      </c>
      <c r="AE25" s="297">
        <v>2545</v>
      </c>
      <c r="AF25" s="301">
        <f t="shared" si="0"/>
        <v>119</v>
      </c>
      <c r="AG25" s="297">
        <v>2426</v>
      </c>
      <c r="AH25" s="144">
        <v>119</v>
      </c>
      <c r="AI25" s="307"/>
      <c r="AJ25" s="190"/>
    </row>
    <row r="26" spans="1:36">
      <c r="A26" s="309" t="s">
        <v>145</v>
      </c>
      <c r="B26" s="297">
        <v>1362</v>
      </c>
      <c r="C26" s="297">
        <v>1375</v>
      </c>
      <c r="D26" s="297">
        <v>1375</v>
      </c>
      <c r="E26" s="297">
        <v>1375</v>
      </c>
      <c r="F26" s="297">
        <v>1375</v>
      </c>
      <c r="G26" s="297">
        <v>1375</v>
      </c>
      <c r="H26" s="297">
        <v>1375</v>
      </c>
      <c r="I26" s="297">
        <v>1375</v>
      </c>
      <c r="J26" s="297">
        <v>1389</v>
      </c>
      <c r="K26" s="297">
        <v>1389</v>
      </c>
      <c r="L26" s="297">
        <v>1389</v>
      </c>
      <c r="M26" s="297">
        <v>1389</v>
      </c>
      <c r="N26" s="297">
        <v>1389</v>
      </c>
      <c r="O26" s="297">
        <v>1389</v>
      </c>
      <c r="P26" s="297">
        <v>1389</v>
      </c>
      <c r="Q26" s="297">
        <v>1407</v>
      </c>
      <c r="R26" s="297">
        <v>1407</v>
      </c>
      <c r="S26" s="297">
        <v>1407</v>
      </c>
      <c r="T26" s="297">
        <v>1407</v>
      </c>
      <c r="U26" s="297">
        <v>1407</v>
      </c>
      <c r="V26" s="297">
        <v>1407</v>
      </c>
      <c r="W26" s="297">
        <v>1407</v>
      </c>
      <c r="X26" s="297">
        <v>1420</v>
      </c>
      <c r="Y26" s="297">
        <v>1420</v>
      </c>
      <c r="Z26" s="297">
        <v>1420</v>
      </c>
      <c r="AA26" s="297">
        <v>1420</v>
      </c>
      <c r="AB26" s="297">
        <v>1420</v>
      </c>
      <c r="AC26" s="297">
        <v>1420</v>
      </c>
      <c r="AD26" s="297">
        <v>1420</v>
      </c>
      <c r="AE26" s="297">
        <v>1434</v>
      </c>
      <c r="AF26" s="301">
        <f t="shared" si="0"/>
        <v>72</v>
      </c>
      <c r="AG26" s="297">
        <v>1362</v>
      </c>
      <c r="AH26" s="144">
        <v>72</v>
      </c>
      <c r="AI26" s="307"/>
      <c r="AJ26" s="190"/>
    </row>
    <row r="27" spans="1:36">
      <c r="A27" s="309" t="s">
        <v>148</v>
      </c>
      <c r="B27" s="297">
        <v>9260</v>
      </c>
      <c r="C27" s="297">
        <v>9367</v>
      </c>
      <c r="D27" s="297">
        <v>9367</v>
      </c>
      <c r="E27" s="297">
        <v>9367</v>
      </c>
      <c r="F27" s="297">
        <v>9367</v>
      </c>
      <c r="G27" s="297">
        <v>9367</v>
      </c>
      <c r="H27" s="297">
        <v>9367</v>
      </c>
      <c r="I27" s="297">
        <v>9367</v>
      </c>
      <c r="J27" s="297">
        <v>9482</v>
      </c>
      <c r="K27" s="297">
        <v>9482</v>
      </c>
      <c r="L27" s="297">
        <v>9482</v>
      </c>
      <c r="M27" s="297">
        <v>9482</v>
      </c>
      <c r="N27" s="297">
        <v>9482</v>
      </c>
      <c r="O27" s="297">
        <v>9482</v>
      </c>
      <c r="P27" s="297">
        <v>9482</v>
      </c>
      <c r="Q27" s="297">
        <v>9596</v>
      </c>
      <c r="R27" s="297">
        <v>9596</v>
      </c>
      <c r="S27" s="297">
        <v>9596</v>
      </c>
      <c r="T27" s="297">
        <v>9596</v>
      </c>
      <c r="U27" s="297">
        <v>9596</v>
      </c>
      <c r="V27" s="297">
        <v>9596</v>
      </c>
      <c r="W27" s="297">
        <v>9596</v>
      </c>
      <c r="X27" s="297">
        <v>9720</v>
      </c>
      <c r="Y27" s="297">
        <v>9720</v>
      </c>
      <c r="Z27" s="297">
        <v>9720</v>
      </c>
      <c r="AA27" s="297">
        <v>9720</v>
      </c>
      <c r="AB27" s="297">
        <v>9720</v>
      </c>
      <c r="AC27" s="297">
        <v>9720</v>
      </c>
      <c r="AD27" s="297">
        <v>9720</v>
      </c>
      <c r="AE27" s="297">
        <v>9822</v>
      </c>
      <c r="AF27" s="301">
        <f t="shared" si="0"/>
        <v>562</v>
      </c>
      <c r="AG27" s="297">
        <v>9260</v>
      </c>
      <c r="AH27" s="144">
        <v>562</v>
      </c>
      <c r="AI27" s="307"/>
      <c r="AJ27" s="190"/>
    </row>
    <row r="28" spans="1:36">
      <c r="A28" s="309" t="s">
        <v>151</v>
      </c>
      <c r="B28" s="297">
        <v>1339</v>
      </c>
      <c r="C28" s="297">
        <v>1339</v>
      </c>
      <c r="D28" s="297">
        <v>1339</v>
      </c>
      <c r="E28" s="297">
        <v>1339</v>
      </c>
      <c r="F28" s="297">
        <v>1339</v>
      </c>
      <c r="G28" s="297">
        <v>1339</v>
      </c>
      <c r="H28" s="297">
        <v>1339</v>
      </c>
      <c r="I28" s="297">
        <v>1339</v>
      </c>
      <c r="J28" s="297">
        <v>1339</v>
      </c>
      <c r="K28" s="297">
        <v>1339</v>
      </c>
      <c r="L28" s="297">
        <v>1339</v>
      </c>
      <c r="M28" s="297">
        <v>1339</v>
      </c>
      <c r="N28" s="297">
        <v>1339</v>
      </c>
      <c r="O28" s="297">
        <v>1339</v>
      </c>
      <c r="P28" s="297">
        <v>1339</v>
      </c>
      <c r="Q28" s="297">
        <v>1339</v>
      </c>
      <c r="R28" s="297">
        <v>1339</v>
      </c>
      <c r="S28" s="297">
        <v>1339</v>
      </c>
      <c r="T28" s="297">
        <v>1339</v>
      </c>
      <c r="U28" s="297">
        <v>1339</v>
      </c>
      <c r="V28" s="297">
        <v>1339</v>
      </c>
      <c r="W28" s="297">
        <v>1339</v>
      </c>
      <c r="X28" s="297">
        <v>1339</v>
      </c>
      <c r="Y28" s="297">
        <v>1339</v>
      </c>
      <c r="Z28" s="297">
        <v>1339</v>
      </c>
      <c r="AA28" s="297">
        <v>1339</v>
      </c>
      <c r="AB28" s="297">
        <v>1339</v>
      </c>
      <c r="AC28" s="297">
        <v>1339</v>
      </c>
      <c r="AD28" s="297">
        <v>1339</v>
      </c>
      <c r="AE28" s="297">
        <v>1339</v>
      </c>
      <c r="AF28" s="301">
        <f t="shared" si="0"/>
        <v>0</v>
      </c>
      <c r="AG28" s="297">
        <v>1339</v>
      </c>
      <c r="AH28" s="144">
        <v>0</v>
      </c>
      <c r="AI28" s="307"/>
      <c r="AJ28" s="190"/>
    </row>
    <row r="29" spans="1:36">
      <c r="A29" s="309" t="s">
        <v>154</v>
      </c>
      <c r="B29" s="297">
        <v>732</v>
      </c>
      <c r="C29" s="297">
        <v>736</v>
      </c>
      <c r="D29" s="297">
        <v>736</v>
      </c>
      <c r="E29" s="297">
        <v>736</v>
      </c>
      <c r="F29" s="297">
        <v>736</v>
      </c>
      <c r="G29" s="297">
        <v>736</v>
      </c>
      <c r="H29" s="297">
        <v>736</v>
      </c>
      <c r="I29" s="297">
        <v>736</v>
      </c>
      <c r="J29" s="297">
        <v>740</v>
      </c>
      <c r="K29" s="297">
        <v>740</v>
      </c>
      <c r="L29" s="297">
        <v>740</v>
      </c>
      <c r="M29" s="297">
        <v>740</v>
      </c>
      <c r="N29" s="297">
        <v>740</v>
      </c>
      <c r="O29" s="297">
        <v>740</v>
      </c>
      <c r="P29" s="297">
        <v>740</v>
      </c>
      <c r="Q29" s="297">
        <v>743</v>
      </c>
      <c r="R29" s="297">
        <v>743</v>
      </c>
      <c r="S29" s="297">
        <v>743</v>
      </c>
      <c r="T29" s="297">
        <v>743</v>
      </c>
      <c r="U29" s="297">
        <v>743</v>
      </c>
      <c r="V29" s="297">
        <v>743</v>
      </c>
      <c r="W29" s="297">
        <v>743</v>
      </c>
      <c r="X29" s="297">
        <v>748</v>
      </c>
      <c r="Y29" s="297">
        <v>748</v>
      </c>
      <c r="Z29" s="297">
        <v>748</v>
      </c>
      <c r="AA29" s="297">
        <v>748</v>
      </c>
      <c r="AB29" s="297">
        <v>748</v>
      </c>
      <c r="AC29" s="297">
        <v>748</v>
      </c>
      <c r="AD29" s="297">
        <v>748</v>
      </c>
      <c r="AE29" s="297">
        <v>754</v>
      </c>
      <c r="AF29" s="301">
        <f t="shared" si="0"/>
        <v>22</v>
      </c>
      <c r="AG29" s="297">
        <v>732</v>
      </c>
      <c r="AH29" s="144">
        <v>22</v>
      </c>
      <c r="AI29" s="307"/>
      <c r="AJ29" s="190"/>
    </row>
    <row r="30" spans="1:36">
      <c r="A30" s="303"/>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301">
        <f t="shared" si="0"/>
        <v>0</v>
      </c>
      <c r="AG30" s="292"/>
      <c r="AJ30" s="190"/>
    </row>
    <row r="31" spans="1:36">
      <c r="A31" s="282" t="s">
        <v>74</v>
      </c>
      <c r="B31" s="295" t="s">
        <v>75</v>
      </c>
      <c r="C31" s="295" t="s">
        <v>75</v>
      </c>
      <c r="D31" s="295" t="s">
        <v>75</v>
      </c>
      <c r="E31" s="295" t="s">
        <v>75</v>
      </c>
      <c r="F31" s="295" t="s">
        <v>75</v>
      </c>
      <c r="G31" s="295" t="s">
        <v>75</v>
      </c>
      <c r="H31" s="295" t="s">
        <v>75</v>
      </c>
      <c r="I31" s="295" t="s">
        <v>75</v>
      </c>
      <c r="J31" s="295" t="s">
        <v>75</v>
      </c>
      <c r="K31" s="295" t="s">
        <v>75</v>
      </c>
      <c r="L31" s="295" t="s">
        <v>75</v>
      </c>
      <c r="M31" s="295" t="s">
        <v>75</v>
      </c>
      <c r="N31" s="295" t="s">
        <v>75</v>
      </c>
      <c r="O31" s="295" t="s">
        <v>75</v>
      </c>
      <c r="P31" s="295" t="s">
        <v>75</v>
      </c>
      <c r="Q31" s="295" t="s">
        <v>75</v>
      </c>
      <c r="R31" s="295" t="s">
        <v>75</v>
      </c>
      <c r="S31" s="295" t="s">
        <v>75</v>
      </c>
      <c r="T31" s="295" t="s">
        <v>75</v>
      </c>
      <c r="U31" s="295" t="s">
        <v>75</v>
      </c>
      <c r="V31" s="295" t="s">
        <v>75</v>
      </c>
      <c r="W31" s="295" t="s">
        <v>75</v>
      </c>
      <c r="X31" s="295" t="s">
        <v>75</v>
      </c>
      <c r="Y31" s="295" t="s">
        <v>75</v>
      </c>
      <c r="Z31" s="295" t="s">
        <v>75</v>
      </c>
      <c r="AA31" s="295" t="s">
        <v>75</v>
      </c>
      <c r="AB31" s="295" t="s">
        <v>75</v>
      </c>
      <c r="AC31" s="295" t="s">
        <v>75</v>
      </c>
      <c r="AD31" s="295" t="s">
        <v>75</v>
      </c>
      <c r="AE31" s="295" t="s">
        <v>75</v>
      </c>
      <c r="AF31" s="296"/>
      <c r="AG31" s="295" t="s">
        <v>75</v>
      </c>
    </row>
    <row r="32" spans="1:36" ht="25.5">
      <c r="A32" s="282" t="s">
        <v>77</v>
      </c>
      <c r="B32" s="21" t="s">
        <v>78</v>
      </c>
      <c r="C32" s="21" t="s">
        <v>78</v>
      </c>
      <c r="D32" s="21" t="s">
        <v>78</v>
      </c>
      <c r="E32" s="21" t="s">
        <v>78</v>
      </c>
      <c r="F32" s="21" t="s">
        <v>78</v>
      </c>
      <c r="G32" s="21" t="s">
        <v>78</v>
      </c>
      <c r="H32" s="21" t="s">
        <v>78</v>
      </c>
      <c r="I32" s="21" t="s">
        <v>78</v>
      </c>
      <c r="J32" s="21" t="s">
        <v>78</v>
      </c>
      <c r="K32" s="21" t="s">
        <v>78</v>
      </c>
      <c r="L32" s="21" t="s">
        <v>78</v>
      </c>
      <c r="M32" s="21" t="s">
        <v>78</v>
      </c>
      <c r="N32" s="21" t="s">
        <v>78</v>
      </c>
      <c r="O32" s="21" t="s">
        <v>78</v>
      </c>
      <c r="P32" s="21" t="s">
        <v>78</v>
      </c>
      <c r="Q32" s="21" t="s">
        <v>78</v>
      </c>
      <c r="R32" s="21" t="s">
        <v>78</v>
      </c>
      <c r="S32" s="21" t="s">
        <v>78</v>
      </c>
      <c r="T32" s="21" t="s">
        <v>78</v>
      </c>
      <c r="U32" s="21" t="s">
        <v>78</v>
      </c>
      <c r="V32" s="21" t="s">
        <v>78</v>
      </c>
      <c r="W32" s="21" t="s">
        <v>78</v>
      </c>
      <c r="X32" s="21" t="s">
        <v>78</v>
      </c>
      <c r="Y32" s="21" t="s">
        <v>78</v>
      </c>
      <c r="Z32" s="21" t="s">
        <v>78</v>
      </c>
      <c r="AA32" s="21" t="s">
        <v>78</v>
      </c>
      <c r="AB32" s="21" t="s">
        <v>78</v>
      </c>
      <c r="AC32" s="21" t="s">
        <v>78</v>
      </c>
      <c r="AD32" s="21" t="s">
        <v>78</v>
      </c>
      <c r="AE32" s="21" t="s">
        <v>78</v>
      </c>
      <c r="AF32" s="209"/>
      <c r="AG32" s="21" t="s">
        <v>78</v>
      </c>
    </row>
    <row r="33" spans="1:33" ht="25.5">
      <c r="A33" s="282" t="s">
        <v>80</v>
      </c>
      <c r="B33" s="21" t="s">
        <v>1006</v>
      </c>
      <c r="C33" s="21" t="s">
        <v>1007</v>
      </c>
      <c r="D33" s="21" t="s">
        <v>1008</v>
      </c>
      <c r="E33" s="21" t="s">
        <v>1009</v>
      </c>
      <c r="F33" s="21" t="s">
        <v>1010</v>
      </c>
      <c r="G33" s="21" t="s">
        <v>1008</v>
      </c>
      <c r="H33" s="21" t="s">
        <v>1010</v>
      </c>
      <c r="I33" s="21" t="s">
        <v>1008</v>
      </c>
      <c r="J33" s="21" t="s">
        <v>1011</v>
      </c>
      <c r="K33" s="21" t="s">
        <v>1012</v>
      </c>
      <c r="L33" s="21" t="s">
        <v>1013</v>
      </c>
      <c r="M33" s="21" t="s">
        <v>1014</v>
      </c>
      <c r="N33" s="21" t="s">
        <v>1015</v>
      </c>
      <c r="O33" s="21" t="s">
        <v>1015</v>
      </c>
      <c r="P33" s="21" t="s">
        <v>1016</v>
      </c>
      <c r="Q33" s="21" t="s">
        <v>1014</v>
      </c>
      <c r="R33" s="21" t="s">
        <v>1016</v>
      </c>
      <c r="S33" s="21" t="s">
        <v>1014</v>
      </c>
      <c r="T33" s="21" t="s">
        <v>1015</v>
      </c>
      <c r="U33" s="21" t="s">
        <v>1017</v>
      </c>
      <c r="V33" s="21" t="s">
        <v>1018</v>
      </c>
      <c r="W33" s="21" t="s">
        <v>1018</v>
      </c>
      <c r="X33" s="21" t="s">
        <v>1019</v>
      </c>
      <c r="Y33" s="21" t="s">
        <v>1020</v>
      </c>
      <c r="Z33" s="21" t="s">
        <v>1021</v>
      </c>
      <c r="AA33" s="21" t="s">
        <v>1021</v>
      </c>
      <c r="AB33" s="21" t="s">
        <v>1021</v>
      </c>
      <c r="AC33" s="21" t="s">
        <v>1021</v>
      </c>
      <c r="AD33" s="21" t="s">
        <v>1022</v>
      </c>
      <c r="AE33" s="21" t="s">
        <v>1022</v>
      </c>
      <c r="AF33" s="209"/>
      <c r="AG33" s="21" t="s">
        <v>1023</v>
      </c>
    </row>
    <row r="34" spans="1:33" ht="15.75" thickBot="1">
      <c r="A34" s="310" t="s">
        <v>81</v>
      </c>
      <c r="B34" s="311" t="s">
        <v>1024</v>
      </c>
      <c r="C34" s="311" t="s">
        <v>1024</v>
      </c>
      <c r="D34" s="311" t="s">
        <v>1024</v>
      </c>
      <c r="E34" s="311" t="s">
        <v>1024</v>
      </c>
      <c r="F34" s="311" t="s">
        <v>1024</v>
      </c>
      <c r="G34" s="311" t="s">
        <v>1024</v>
      </c>
      <c r="H34" s="311" t="s">
        <v>1024</v>
      </c>
      <c r="I34" s="311" t="s">
        <v>1024</v>
      </c>
      <c r="J34" s="311" t="s">
        <v>1024</v>
      </c>
      <c r="K34" s="311" t="s">
        <v>1024</v>
      </c>
      <c r="L34" s="311" t="s">
        <v>1024</v>
      </c>
      <c r="M34" s="311" t="s">
        <v>1024</v>
      </c>
      <c r="N34" s="311" t="s">
        <v>1024</v>
      </c>
      <c r="O34" s="311" t="s">
        <v>1024</v>
      </c>
      <c r="P34" s="311" t="s">
        <v>1024</v>
      </c>
      <c r="Q34" s="311" t="s">
        <v>1024</v>
      </c>
      <c r="R34" s="311" t="s">
        <v>1024</v>
      </c>
      <c r="S34" s="311" t="s">
        <v>1024</v>
      </c>
      <c r="T34" s="311" t="s">
        <v>1024</v>
      </c>
      <c r="U34" s="311" t="s">
        <v>1024</v>
      </c>
      <c r="V34" s="311" t="s">
        <v>1024</v>
      </c>
      <c r="W34" s="311" t="s">
        <v>1024</v>
      </c>
      <c r="X34" s="311" t="s">
        <v>1024</v>
      </c>
      <c r="Y34" s="311" t="s">
        <v>1024</v>
      </c>
      <c r="Z34" s="311" t="s">
        <v>1024</v>
      </c>
      <c r="AA34" s="311" t="s">
        <v>1024</v>
      </c>
      <c r="AB34" s="311" t="s">
        <v>1024</v>
      </c>
      <c r="AC34" s="311" t="s">
        <v>1024</v>
      </c>
      <c r="AD34" s="311" t="s">
        <v>1024</v>
      </c>
      <c r="AE34" s="311" t="s">
        <v>1024</v>
      </c>
      <c r="AF34" s="209"/>
      <c r="AG34" s="311" t="s">
        <v>1024</v>
      </c>
    </row>
    <row r="35" spans="1:33">
      <c r="AF35" s="211"/>
    </row>
    <row r="36" spans="1:33">
      <c r="AF36" s="211"/>
    </row>
  </sheetData>
  <mergeCells count="1">
    <mergeCell ref="A1:AG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644D-23B6-46AB-8099-40EAD6CF3A98}">
  <dimension ref="A1:AK36"/>
  <sheetViews>
    <sheetView topLeftCell="P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6.570312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45200</v>
      </c>
      <c r="C2" s="281">
        <v>45201</v>
      </c>
      <c r="D2" s="281">
        <v>45202</v>
      </c>
      <c r="E2" s="281">
        <v>45203</v>
      </c>
      <c r="F2" s="281">
        <v>45204</v>
      </c>
      <c r="G2" s="281">
        <v>45205</v>
      </c>
      <c r="H2" s="281">
        <v>45206</v>
      </c>
      <c r="I2" s="281">
        <v>45207</v>
      </c>
      <c r="J2" s="281">
        <v>45208</v>
      </c>
      <c r="K2" s="281">
        <v>45209</v>
      </c>
      <c r="L2" s="281">
        <v>45210</v>
      </c>
      <c r="M2" s="281">
        <v>45211</v>
      </c>
      <c r="N2" s="281">
        <v>45212</v>
      </c>
      <c r="O2" s="281">
        <v>45213</v>
      </c>
      <c r="P2" s="281">
        <v>45214</v>
      </c>
      <c r="Q2" s="281">
        <v>45215</v>
      </c>
      <c r="R2" s="281">
        <v>45216</v>
      </c>
      <c r="S2" s="281">
        <v>45217</v>
      </c>
      <c r="T2" s="281">
        <v>45218</v>
      </c>
      <c r="U2" s="281">
        <v>45219</v>
      </c>
      <c r="V2" s="281">
        <v>45220</v>
      </c>
      <c r="W2" s="281">
        <v>45221</v>
      </c>
      <c r="X2" s="281">
        <v>45222</v>
      </c>
      <c r="Y2" s="281">
        <v>45223</v>
      </c>
      <c r="Z2" s="281">
        <v>45224</v>
      </c>
      <c r="AA2" s="281">
        <v>45225</v>
      </c>
      <c r="AB2" s="281">
        <v>45226</v>
      </c>
      <c r="AC2" s="281">
        <v>45227</v>
      </c>
      <c r="AD2" s="281">
        <v>45228</v>
      </c>
      <c r="AE2" s="281">
        <v>45229</v>
      </c>
      <c r="AF2" s="281">
        <v>45230</v>
      </c>
      <c r="AG2" s="281"/>
      <c r="AH2" s="281">
        <v>45199</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286" t="s">
        <v>1566</v>
      </c>
      <c r="C4" s="286" t="s">
        <v>1567</v>
      </c>
      <c r="D4" s="286" t="s">
        <v>1568</v>
      </c>
      <c r="E4" s="289" t="s">
        <v>1569</v>
      </c>
      <c r="F4" s="313" t="s">
        <v>1570</v>
      </c>
      <c r="G4" s="404" t="s">
        <v>1571</v>
      </c>
      <c r="H4" s="404" t="s">
        <v>1572</v>
      </c>
      <c r="I4" s="404" t="s">
        <v>1573</v>
      </c>
      <c r="J4" s="286" t="s">
        <v>1574</v>
      </c>
      <c r="K4" s="286" t="s">
        <v>1575</v>
      </c>
      <c r="L4" s="286" t="s">
        <v>1576</v>
      </c>
      <c r="M4" s="286" t="s">
        <v>1577</v>
      </c>
      <c r="N4" s="286" t="s">
        <v>1578</v>
      </c>
      <c r="O4" s="286" t="s">
        <v>1579</v>
      </c>
      <c r="P4" s="286" t="s">
        <v>1580</v>
      </c>
      <c r="Q4" s="286" t="s">
        <v>1581</v>
      </c>
      <c r="R4" s="286" t="s">
        <v>1582</v>
      </c>
      <c r="S4" s="286" t="s">
        <v>1583</v>
      </c>
      <c r="T4" s="286" t="s">
        <v>1584</v>
      </c>
      <c r="U4" s="286" t="s">
        <v>1585</v>
      </c>
      <c r="V4" s="286" t="s">
        <v>1586</v>
      </c>
      <c r="W4" s="286" t="s">
        <v>1587</v>
      </c>
      <c r="X4" s="286" t="s">
        <v>1588</v>
      </c>
      <c r="Y4" s="286" t="s">
        <v>1589</v>
      </c>
      <c r="Z4" s="286" t="s">
        <v>1590</v>
      </c>
      <c r="AA4" s="286" t="s">
        <v>1591</v>
      </c>
      <c r="AB4" s="289" t="s">
        <v>1592</v>
      </c>
      <c r="AC4" s="286" t="s">
        <v>1593</v>
      </c>
      <c r="AD4" s="286" t="s">
        <v>1594</v>
      </c>
      <c r="AE4" s="286" t="s">
        <v>1595</v>
      </c>
      <c r="AF4" s="286" t="s">
        <v>1596</v>
      </c>
      <c r="AG4" s="287"/>
      <c r="AH4" s="286" t="s">
        <v>781</v>
      </c>
      <c r="AI4" s="288"/>
    </row>
    <row r="5" spans="1:37" ht="20.100000000000001" customHeight="1">
      <c r="A5" s="285" t="s">
        <v>55</v>
      </c>
      <c r="B5" s="286" t="s">
        <v>1597</v>
      </c>
      <c r="C5" s="286" t="s">
        <v>1598</v>
      </c>
      <c r="D5" s="286" t="s">
        <v>1599</v>
      </c>
      <c r="E5" s="286" t="s">
        <v>1600</v>
      </c>
      <c r="F5" s="286" t="s">
        <v>1601</v>
      </c>
      <c r="G5" s="286" t="s">
        <v>1602</v>
      </c>
      <c r="H5" s="286" t="s">
        <v>1603</v>
      </c>
      <c r="I5" s="286" t="s">
        <v>1604</v>
      </c>
      <c r="J5" s="286" t="s">
        <v>1605</v>
      </c>
      <c r="K5" s="286" t="s">
        <v>1606</v>
      </c>
      <c r="L5" s="286" t="s">
        <v>1607</v>
      </c>
      <c r="M5" s="286" t="s">
        <v>1608</v>
      </c>
      <c r="N5" s="286" t="s">
        <v>1609</v>
      </c>
      <c r="O5" s="286" t="s">
        <v>1610</v>
      </c>
      <c r="P5" s="286" t="s">
        <v>1611</v>
      </c>
      <c r="Q5" s="286" t="s">
        <v>1612</v>
      </c>
      <c r="R5" s="286" t="s">
        <v>1613</v>
      </c>
      <c r="S5" s="286" t="s">
        <v>1614</v>
      </c>
      <c r="T5" s="286" t="s">
        <v>1615</v>
      </c>
      <c r="U5" s="286" t="s">
        <v>1616</v>
      </c>
      <c r="V5" s="286" t="s">
        <v>1617</v>
      </c>
      <c r="W5" s="286" t="s">
        <v>1618</v>
      </c>
      <c r="X5" s="286" t="s">
        <v>1619</v>
      </c>
      <c r="Y5" s="286" t="s">
        <v>1620</v>
      </c>
      <c r="Z5" s="286" t="s">
        <v>1621</v>
      </c>
      <c r="AA5" s="286" t="s">
        <v>1622</v>
      </c>
      <c r="AB5" s="289" t="s">
        <v>1623</v>
      </c>
      <c r="AC5" s="286" t="s">
        <v>1624</v>
      </c>
      <c r="AD5" s="286" t="s">
        <v>1625</v>
      </c>
      <c r="AE5" s="286" t="s">
        <v>1626</v>
      </c>
      <c r="AF5" s="286" t="s">
        <v>1627</v>
      </c>
      <c r="AG5" s="287"/>
      <c r="AH5" s="286" t="s">
        <v>812</v>
      </c>
      <c r="AI5" s="288"/>
    </row>
    <row r="6" spans="1:37" ht="20.100000000000001" customHeight="1">
      <c r="A6" s="285" t="s">
        <v>56</v>
      </c>
      <c r="B6" s="289" t="s">
        <v>1628</v>
      </c>
      <c r="C6" s="289" t="s">
        <v>1629</v>
      </c>
      <c r="D6" s="289" t="s">
        <v>1630</v>
      </c>
      <c r="E6" s="289" t="s">
        <v>1631</v>
      </c>
      <c r="F6" s="289" t="s">
        <v>1632</v>
      </c>
      <c r="G6" s="289" t="s">
        <v>1633</v>
      </c>
      <c r="H6" s="289" t="s">
        <v>1634</v>
      </c>
      <c r="I6" s="289" t="s">
        <v>1635</v>
      </c>
      <c r="J6" s="289" t="s">
        <v>1636</v>
      </c>
      <c r="K6" s="289" t="s">
        <v>1637</v>
      </c>
      <c r="L6" s="289" t="s">
        <v>1638</v>
      </c>
      <c r="M6" s="289" t="s">
        <v>1639</v>
      </c>
      <c r="N6" s="289" t="s">
        <v>1640</v>
      </c>
      <c r="O6" s="289" t="s">
        <v>1641</v>
      </c>
      <c r="P6" s="289" t="s">
        <v>1642</v>
      </c>
      <c r="Q6" s="289" t="s">
        <v>1643</v>
      </c>
      <c r="R6" s="289" t="s">
        <v>1644</v>
      </c>
      <c r="S6" s="289" t="s">
        <v>1645</v>
      </c>
      <c r="T6" s="289" t="s">
        <v>1646</v>
      </c>
      <c r="U6" s="289" t="s">
        <v>1647</v>
      </c>
      <c r="V6" s="289" t="s">
        <v>1648</v>
      </c>
      <c r="W6" s="289" t="s">
        <v>1649</v>
      </c>
      <c r="X6" s="289" t="s">
        <v>1650</v>
      </c>
      <c r="Y6" s="289" t="s">
        <v>1651</v>
      </c>
      <c r="Z6" s="289" t="s">
        <v>1652</v>
      </c>
      <c r="AA6" s="289" t="s">
        <v>1653</v>
      </c>
      <c r="AB6" s="289" t="s">
        <v>1654</v>
      </c>
      <c r="AC6" s="289" t="s">
        <v>1655</v>
      </c>
      <c r="AD6" s="289" t="s">
        <v>1656</v>
      </c>
      <c r="AE6" s="289" t="s">
        <v>1657</v>
      </c>
      <c r="AF6" s="289" t="s">
        <v>1658</v>
      </c>
      <c r="AG6" s="287"/>
      <c r="AH6" s="289" t="s">
        <v>843</v>
      </c>
      <c r="AI6" s="288"/>
    </row>
    <row r="7" spans="1:37" ht="20.100000000000001" customHeight="1">
      <c r="A7" s="285" t="s">
        <v>57</v>
      </c>
      <c r="B7" s="289" t="s">
        <v>1659</v>
      </c>
      <c r="C7" s="289" t="s">
        <v>1660</v>
      </c>
      <c r="D7" s="289" t="s">
        <v>1661</v>
      </c>
      <c r="E7" s="289" t="s">
        <v>1662</v>
      </c>
      <c r="F7" s="289" t="s">
        <v>1663</v>
      </c>
      <c r="G7" s="289" t="s">
        <v>1664</v>
      </c>
      <c r="H7" s="289" t="s">
        <v>1665</v>
      </c>
      <c r="I7" s="289" t="s">
        <v>1666</v>
      </c>
      <c r="J7" s="289" t="s">
        <v>1667</v>
      </c>
      <c r="K7" s="289" t="s">
        <v>1668</v>
      </c>
      <c r="L7" s="289" t="s">
        <v>1669</v>
      </c>
      <c r="M7" s="289" t="s">
        <v>1670</v>
      </c>
      <c r="N7" s="289" t="s">
        <v>1671</v>
      </c>
      <c r="O7" s="289" t="s">
        <v>1672</v>
      </c>
      <c r="P7" s="289" t="s">
        <v>1673</v>
      </c>
      <c r="Q7" s="289" t="s">
        <v>1674</v>
      </c>
      <c r="R7" s="289" t="s">
        <v>1675</v>
      </c>
      <c r="S7" s="289" t="s">
        <v>1676</v>
      </c>
      <c r="T7" s="289" t="s">
        <v>1677</v>
      </c>
      <c r="U7" s="289" t="s">
        <v>1678</v>
      </c>
      <c r="V7" s="289" t="s">
        <v>1679</v>
      </c>
      <c r="W7" s="289" t="s">
        <v>1680</v>
      </c>
      <c r="X7" s="289" t="s">
        <v>1681</v>
      </c>
      <c r="Y7" s="289" t="s">
        <v>1682</v>
      </c>
      <c r="Z7" s="289" t="s">
        <v>1683</v>
      </c>
      <c r="AA7" s="289" t="s">
        <v>1684</v>
      </c>
      <c r="AB7" s="289">
        <v>10173852</v>
      </c>
      <c r="AC7" s="289" t="s">
        <v>1685</v>
      </c>
      <c r="AD7" s="289" t="s">
        <v>1686</v>
      </c>
      <c r="AE7" s="289" t="s">
        <v>1687</v>
      </c>
      <c r="AF7" s="289" t="s">
        <v>1688</v>
      </c>
      <c r="AG7" s="287"/>
      <c r="AH7" s="289" t="s">
        <v>874</v>
      </c>
      <c r="AI7" s="288"/>
    </row>
    <row r="8" spans="1:37" ht="20.100000000000001" customHeight="1">
      <c r="A8" s="285" t="s">
        <v>58</v>
      </c>
      <c r="B8" s="289" t="s">
        <v>900</v>
      </c>
      <c r="C8" s="313" t="s">
        <v>1689</v>
      </c>
      <c r="D8" s="313" t="s">
        <v>1690</v>
      </c>
      <c r="E8" s="289" t="s">
        <v>1691</v>
      </c>
      <c r="F8" s="313" t="s">
        <v>1692</v>
      </c>
      <c r="G8" s="313" t="s">
        <v>1693</v>
      </c>
      <c r="H8" s="289" t="s">
        <v>1694</v>
      </c>
      <c r="I8" s="289" t="s">
        <v>1695</v>
      </c>
      <c r="J8" s="313" t="s">
        <v>1696</v>
      </c>
      <c r="K8" s="313" t="s">
        <v>1697</v>
      </c>
      <c r="L8" s="289" t="s">
        <v>1698</v>
      </c>
      <c r="M8" s="289" t="s">
        <v>1699</v>
      </c>
      <c r="N8" s="289" t="s">
        <v>1700</v>
      </c>
      <c r="O8" s="289" t="s">
        <v>1701</v>
      </c>
      <c r="P8" s="289" t="s">
        <v>1702</v>
      </c>
      <c r="Q8" s="289" t="s">
        <v>1703</v>
      </c>
      <c r="R8" s="289" t="s">
        <v>1704</v>
      </c>
      <c r="S8" s="289" t="s">
        <v>1705</v>
      </c>
      <c r="T8" s="289" t="s">
        <v>1706</v>
      </c>
      <c r="U8" s="289" t="s">
        <v>1707</v>
      </c>
      <c r="V8" s="289" t="s">
        <v>1708</v>
      </c>
      <c r="W8" s="289" t="s">
        <v>1709</v>
      </c>
      <c r="X8" s="289" t="s">
        <v>1710</v>
      </c>
      <c r="Y8" s="289" t="s">
        <v>1711</v>
      </c>
      <c r="Z8" s="289" t="s">
        <v>1712</v>
      </c>
      <c r="AA8" s="289" t="s">
        <v>1713</v>
      </c>
      <c r="AB8" s="289" t="s">
        <v>1714</v>
      </c>
      <c r="AC8" s="289" t="s">
        <v>1715</v>
      </c>
      <c r="AD8" s="289" t="s">
        <v>1716</v>
      </c>
      <c r="AE8" s="289" t="s">
        <v>1716</v>
      </c>
      <c r="AF8" s="289" t="s">
        <v>1716</v>
      </c>
      <c r="AG8" s="287"/>
      <c r="AH8" s="289" t="s">
        <v>900</v>
      </c>
      <c r="AI8" s="288"/>
    </row>
    <row r="9" spans="1:37" ht="20.100000000000001" customHeight="1">
      <c r="A9" s="285" t="s">
        <v>59</v>
      </c>
      <c r="B9" s="289" t="s">
        <v>1717</v>
      </c>
      <c r="C9" s="289" t="s">
        <v>1718</v>
      </c>
      <c r="D9" s="289" t="s">
        <v>1719</v>
      </c>
      <c r="E9" s="289" t="s">
        <v>1720</v>
      </c>
      <c r="F9" s="289" t="s">
        <v>1721</v>
      </c>
      <c r="G9" s="289" t="s">
        <v>1722</v>
      </c>
      <c r="H9" s="289" t="s">
        <v>1723</v>
      </c>
      <c r="I9" s="289" t="s">
        <v>1724</v>
      </c>
      <c r="J9" s="289" t="s">
        <v>1725</v>
      </c>
      <c r="K9" s="289" t="s">
        <v>1726</v>
      </c>
      <c r="L9" s="289" t="s">
        <v>1727</v>
      </c>
      <c r="M9" s="289" t="s">
        <v>1728</v>
      </c>
      <c r="N9" s="289" t="s">
        <v>1729</v>
      </c>
      <c r="O9" s="289" t="s">
        <v>1730</v>
      </c>
      <c r="P9" s="289" t="s">
        <v>1731</v>
      </c>
      <c r="Q9" s="289" t="s">
        <v>1732</v>
      </c>
      <c r="R9" s="289" t="s">
        <v>1733</v>
      </c>
      <c r="S9" s="289" t="s">
        <v>1734</v>
      </c>
      <c r="T9" s="289" t="s">
        <v>1735</v>
      </c>
      <c r="U9" s="289" t="s">
        <v>1736</v>
      </c>
      <c r="V9" s="289" t="s">
        <v>1737</v>
      </c>
      <c r="W9" s="289" t="s">
        <v>1738</v>
      </c>
      <c r="X9" s="289" t="s">
        <v>1739</v>
      </c>
      <c r="Y9" s="289" t="s">
        <v>1740</v>
      </c>
      <c r="Z9" s="289" t="s">
        <v>1741</v>
      </c>
      <c r="AA9" s="289" t="s">
        <v>1742</v>
      </c>
      <c r="AB9" s="289">
        <v>20799656</v>
      </c>
      <c r="AC9" s="289" t="s">
        <v>1743</v>
      </c>
      <c r="AD9" s="289" t="s">
        <v>1744</v>
      </c>
      <c r="AE9" s="289" t="s">
        <v>1745</v>
      </c>
      <c r="AF9" s="289" t="s">
        <v>1746</v>
      </c>
      <c r="AG9" s="290"/>
      <c r="AH9" s="289" t="s">
        <v>931</v>
      </c>
      <c r="AI9" s="288"/>
    </row>
    <row r="10" spans="1:37" ht="20.100000000000001" customHeight="1">
      <c r="A10" s="285" t="s">
        <v>60</v>
      </c>
      <c r="B10" s="289" t="s">
        <v>1747</v>
      </c>
      <c r="C10" s="289" t="s">
        <v>1748</v>
      </c>
      <c r="D10" s="289" t="s">
        <v>1749</v>
      </c>
      <c r="E10" s="289" t="s">
        <v>1750</v>
      </c>
      <c r="F10" s="289" t="s">
        <v>1751</v>
      </c>
      <c r="G10" s="289" t="s">
        <v>1752</v>
      </c>
      <c r="H10" s="289" t="s">
        <v>1753</v>
      </c>
      <c r="I10" s="289" t="s">
        <v>1754</v>
      </c>
      <c r="J10" s="289" t="s">
        <v>1755</v>
      </c>
      <c r="K10" s="289" t="s">
        <v>1756</v>
      </c>
      <c r="L10" s="289" t="s">
        <v>1757</v>
      </c>
      <c r="M10" s="289" t="s">
        <v>1758</v>
      </c>
      <c r="N10" s="289" t="s">
        <v>1759</v>
      </c>
      <c r="O10" s="289" t="s">
        <v>1760</v>
      </c>
      <c r="P10" s="289" t="s">
        <v>1761</v>
      </c>
      <c r="Q10" s="289" t="s">
        <v>1762</v>
      </c>
      <c r="R10" s="289" t="s">
        <v>1763</v>
      </c>
      <c r="S10" s="289" t="s">
        <v>1764</v>
      </c>
      <c r="T10" s="289" t="s">
        <v>1765</v>
      </c>
      <c r="U10" s="289" t="s">
        <v>1766</v>
      </c>
      <c r="V10" s="289" t="s">
        <v>1767</v>
      </c>
      <c r="W10" s="289" t="s">
        <v>1768</v>
      </c>
      <c r="X10" s="289" t="s">
        <v>1769</v>
      </c>
      <c r="Y10" s="289" t="s">
        <v>1770</v>
      </c>
      <c r="Z10" s="289" t="s">
        <v>1771</v>
      </c>
      <c r="AA10" s="289" t="s">
        <v>1772</v>
      </c>
      <c r="AB10" s="289" t="s">
        <v>1773</v>
      </c>
      <c r="AC10" s="289" t="s">
        <v>1774</v>
      </c>
      <c r="AD10" s="289" t="s">
        <v>1775</v>
      </c>
      <c r="AE10" s="289" t="s">
        <v>1776</v>
      </c>
      <c r="AF10" s="289" t="s">
        <v>1777</v>
      </c>
      <c r="AG10" s="287"/>
      <c r="AH10" s="289" t="s">
        <v>962</v>
      </c>
      <c r="AI10" s="288"/>
    </row>
    <row r="11" spans="1:37" ht="22.5" customHeight="1">
      <c r="A11" s="285" t="s">
        <v>61</v>
      </c>
      <c r="B11" s="289" t="s">
        <v>1778</v>
      </c>
      <c r="C11" s="289" t="s">
        <v>1779</v>
      </c>
      <c r="D11" s="289" t="s">
        <v>1780</v>
      </c>
      <c r="E11" s="289" t="s">
        <v>1781</v>
      </c>
      <c r="F11" s="289" t="s">
        <v>1782</v>
      </c>
      <c r="G11" s="289" t="s">
        <v>1783</v>
      </c>
      <c r="H11" s="289" t="s">
        <v>1784</v>
      </c>
      <c r="I11" s="289" t="s">
        <v>1785</v>
      </c>
      <c r="J11" s="289" t="s">
        <v>1786</v>
      </c>
      <c r="K11" s="289" t="s">
        <v>1787</v>
      </c>
      <c r="L11" s="289" t="s">
        <v>1788</v>
      </c>
      <c r="M11" s="289" t="s">
        <v>1789</v>
      </c>
      <c r="N11" s="289" t="s">
        <v>1790</v>
      </c>
      <c r="O11" s="289" t="s">
        <v>1791</v>
      </c>
      <c r="P11" s="289" t="s">
        <v>1792</v>
      </c>
      <c r="Q11" s="289" t="s">
        <v>1793</v>
      </c>
      <c r="R11" s="289" t="s">
        <v>1794</v>
      </c>
      <c r="S11" s="289" t="s">
        <v>1795</v>
      </c>
      <c r="T11" s="289" t="s">
        <v>1796</v>
      </c>
      <c r="U11" s="289" t="s">
        <v>1797</v>
      </c>
      <c r="V11" s="289" t="s">
        <v>1798</v>
      </c>
      <c r="W11" s="289" t="s">
        <v>1799</v>
      </c>
      <c r="X11" s="289" t="s">
        <v>1800</v>
      </c>
      <c r="Y11" s="289" t="s">
        <v>1801</v>
      </c>
      <c r="Z11" s="289" t="s">
        <v>1802</v>
      </c>
      <c r="AA11" s="289" t="s">
        <v>1803</v>
      </c>
      <c r="AB11" s="289" t="s">
        <v>1804</v>
      </c>
      <c r="AC11" s="289" t="s">
        <v>1805</v>
      </c>
      <c r="AD11" s="289" t="s">
        <v>1806</v>
      </c>
      <c r="AE11" s="289" t="s">
        <v>1807</v>
      </c>
      <c r="AF11" s="289" t="s">
        <v>1808</v>
      </c>
      <c r="AG11" s="287"/>
      <c r="AH11" s="289" t="s">
        <v>993</v>
      </c>
      <c r="AI11" s="288"/>
    </row>
    <row r="12" spans="1:37" s="294" customFormat="1" ht="18" customHeight="1">
      <c r="A12" s="291" t="s">
        <v>62</v>
      </c>
      <c r="B12" s="292"/>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2"/>
      <c r="AG12" s="293"/>
      <c r="AH12" s="292"/>
    </row>
    <row r="13" spans="1:37">
      <c r="A13" s="282" t="s">
        <v>63</v>
      </c>
      <c r="B13" s="295" t="s">
        <v>64</v>
      </c>
      <c r="C13" s="295" t="s">
        <v>64</v>
      </c>
      <c r="D13" s="295" t="s">
        <v>64</v>
      </c>
      <c r="E13" s="295" t="s">
        <v>64</v>
      </c>
      <c r="F13" s="295" t="s">
        <v>64</v>
      </c>
      <c r="G13" s="295" t="s">
        <v>64</v>
      </c>
      <c r="H13" s="295" t="s">
        <v>64</v>
      </c>
      <c r="I13" s="295" t="s">
        <v>64</v>
      </c>
      <c r="J13" s="295" t="s">
        <v>64</v>
      </c>
      <c r="K13" s="295" t="s">
        <v>64</v>
      </c>
      <c r="L13" s="295" t="s">
        <v>64</v>
      </c>
      <c r="M13" s="295" t="s">
        <v>64</v>
      </c>
      <c r="N13" s="295" t="s">
        <v>64</v>
      </c>
      <c r="O13" s="295" t="s">
        <v>64</v>
      </c>
      <c r="P13" s="295" t="s">
        <v>64</v>
      </c>
      <c r="Q13" s="295" t="s">
        <v>64</v>
      </c>
      <c r="R13" s="295" t="s">
        <v>64</v>
      </c>
      <c r="S13" s="295" t="s">
        <v>64</v>
      </c>
      <c r="T13" s="295" t="s">
        <v>64</v>
      </c>
      <c r="U13" s="295" t="s">
        <v>64</v>
      </c>
      <c r="V13" s="295" t="s">
        <v>64</v>
      </c>
      <c r="W13" s="295" t="s">
        <v>64</v>
      </c>
      <c r="X13" s="295" t="s">
        <v>64</v>
      </c>
      <c r="Y13" s="295" t="s">
        <v>64</v>
      </c>
      <c r="Z13" s="295" t="s">
        <v>64</v>
      </c>
      <c r="AA13" s="295" t="s">
        <v>64</v>
      </c>
      <c r="AB13" s="295" t="s">
        <v>64</v>
      </c>
      <c r="AC13" s="295" t="s">
        <v>64</v>
      </c>
      <c r="AD13" s="295" t="s">
        <v>64</v>
      </c>
      <c r="AE13" s="295" t="s">
        <v>64</v>
      </c>
      <c r="AF13" s="295" t="s">
        <v>64</v>
      </c>
      <c r="AG13" s="296"/>
      <c r="AH13" s="295" t="s">
        <v>64</v>
      </c>
    </row>
    <row r="14" spans="1:37">
      <c r="A14" s="282" t="s">
        <v>995</v>
      </c>
      <c r="B14" s="306">
        <v>32412971</v>
      </c>
      <c r="C14" s="306">
        <v>32412971</v>
      </c>
      <c r="D14" s="306">
        <v>32412971</v>
      </c>
      <c r="E14" s="306">
        <v>32412971</v>
      </c>
      <c r="F14" s="306">
        <v>32412971</v>
      </c>
      <c r="G14" s="306">
        <v>32412971</v>
      </c>
      <c r="H14" s="306">
        <v>324129.71000000002</v>
      </c>
      <c r="I14" s="306">
        <v>324129.71000000002</v>
      </c>
      <c r="J14" s="306">
        <v>324129.71000000002</v>
      </c>
      <c r="K14" s="306">
        <v>324129.71000000002</v>
      </c>
      <c r="L14" s="306">
        <v>324129.71000000002</v>
      </c>
      <c r="M14" s="306">
        <v>324129.71000000002</v>
      </c>
      <c r="N14" s="306">
        <v>324129.71000000002</v>
      </c>
      <c r="O14" s="306">
        <v>327028</v>
      </c>
      <c r="P14" s="306">
        <v>327028</v>
      </c>
      <c r="Q14" s="306">
        <v>327028</v>
      </c>
      <c r="R14" s="306">
        <v>327028</v>
      </c>
      <c r="S14" s="297">
        <v>327028</v>
      </c>
      <c r="T14" s="297">
        <v>327028</v>
      </c>
      <c r="U14" s="297">
        <v>328335</v>
      </c>
      <c r="V14" s="297">
        <v>328335</v>
      </c>
      <c r="W14" s="297">
        <v>328335</v>
      </c>
      <c r="X14" s="297">
        <v>328335</v>
      </c>
      <c r="Y14" s="297">
        <v>328335</v>
      </c>
      <c r="Z14" s="297">
        <v>328335</v>
      </c>
      <c r="AA14" s="297">
        <v>328335</v>
      </c>
      <c r="AB14" s="297">
        <v>328335</v>
      </c>
      <c r="AC14" s="297">
        <v>329471</v>
      </c>
      <c r="AD14" s="297">
        <v>329471</v>
      </c>
      <c r="AE14" s="297">
        <v>329471</v>
      </c>
      <c r="AF14" s="297">
        <v>329471</v>
      </c>
      <c r="AG14" s="298">
        <f>AF14-AH14</f>
        <v>5341.289999999979</v>
      </c>
      <c r="AH14" s="297">
        <v>324129.71000000002</v>
      </c>
      <c r="AI14" s="299">
        <v>5341.29</v>
      </c>
      <c r="AJ14" s="299"/>
      <c r="AK14" s="300"/>
    </row>
    <row r="15" spans="1:37" ht="25.5">
      <c r="A15" s="282" t="s">
        <v>67</v>
      </c>
      <c r="B15" s="297">
        <v>7631</v>
      </c>
      <c r="C15" s="297">
        <v>7725</v>
      </c>
      <c r="D15" s="297">
        <v>7725</v>
      </c>
      <c r="E15" s="297">
        <v>7725</v>
      </c>
      <c r="F15" s="297">
        <v>7725</v>
      </c>
      <c r="G15" s="297">
        <v>7732</v>
      </c>
      <c r="H15" s="297">
        <v>7739</v>
      </c>
      <c r="I15" s="297">
        <v>7744</v>
      </c>
      <c r="J15" s="297">
        <v>7745</v>
      </c>
      <c r="K15" s="297">
        <v>7745</v>
      </c>
      <c r="L15" s="297">
        <v>7745</v>
      </c>
      <c r="M15" s="297">
        <v>7745</v>
      </c>
      <c r="N15" s="297">
        <v>7745</v>
      </c>
      <c r="O15" s="297">
        <v>7747</v>
      </c>
      <c r="P15" s="297">
        <v>7747</v>
      </c>
      <c r="Q15" s="297">
        <v>7747</v>
      </c>
      <c r="R15" s="297">
        <v>7747</v>
      </c>
      <c r="S15" s="297">
        <v>7747</v>
      </c>
      <c r="T15" s="297">
        <v>7747</v>
      </c>
      <c r="U15" s="297">
        <v>7747</v>
      </c>
      <c r="V15" s="297">
        <v>7747</v>
      </c>
      <c r="W15" s="297">
        <v>7747</v>
      </c>
      <c r="X15" s="297">
        <v>7747</v>
      </c>
      <c r="Y15" s="297">
        <v>7747</v>
      </c>
      <c r="Z15" s="297">
        <v>7747</v>
      </c>
      <c r="AA15" s="297">
        <v>7747</v>
      </c>
      <c r="AB15" s="297">
        <v>7747</v>
      </c>
      <c r="AC15" s="297">
        <v>7747</v>
      </c>
      <c r="AD15" s="297">
        <v>7747</v>
      </c>
      <c r="AE15" s="297">
        <v>7747</v>
      </c>
      <c r="AF15" s="297">
        <v>7747</v>
      </c>
      <c r="AG15" s="301"/>
      <c r="AH15" s="297">
        <v>7537</v>
      </c>
      <c r="AJ15" s="299"/>
      <c r="AK15" s="302"/>
    </row>
    <row r="16" spans="1:37" ht="25.5">
      <c r="A16" s="282" t="s">
        <v>68</v>
      </c>
      <c r="B16" s="297">
        <v>11175</v>
      </c>
      <c r="C16" s="297">
        <v>11180</v>
      </c>
      <c r="D16" s="297">
        <v>11186</v>
      </c>
      <c r="E16" s="297">
        <v>11191</v>
      </c>
      <c r="F16" s="297">
        <v>11196</v>
      </c>
      <c r="G16" s="297">
        <v>11201</v>
      </c>
      <c r="H16" s="297">
        <v>11209</v>
      </c>
      <c r="I16" s="297">
        <v>11213</v>
      </c>
      <c r="J16" s="297">
        <v>11218</v>
      </c>
      <c r="K16" s="297">
        <v>11224</v>
      </c>
      <c r="L16" s="297">
        <v>11230</v>
      </c>
      <c r="M16" s="297">
        <v>11235</v>
      </c>
      <c r="N16" s="297">
        <v>11312</v>
      </c>
      <c r="O16" s="297">
        <v>11312</v>
      </c>
      <c r="P16" s="297">
        <v>11469</v>
      </c>
      <c r="Q16" s="297">
        <v>11582</v>
      </c>
      <c r="R16" s="297">
        <v>11658</v>
      </c>
      <c r="S16" s="297">
        <v>11684</v>
      </c>
      <c r="T16" s="297">
        <v>11723</v>
      </c>
      <c r="U16" s="297">
        <v>11895</v>
      </c>
      <c r="V16" s="297">
        <v>11895</v>
      </c>
      <c r="W16" s="297">
        <v>11895</v>
      </c>
      <c r="X16" s="297">
        <v>11996</v>
      </c>
      <c r="Y16" s="297">
        <v>12159</v>
      </c>
      <c r="Z16" s="297">
        <v>12229</v>
      </c>
      <c r="AA16" s="297">
        <v>12283</v>
      </c>
      <c r="AB16" s="297">
        <v>12361</v>
      </c>
      <c r="AC16" s="297">
        <v>12361</v>
      </c>
      <c r="AD16" s="297">
        <v>12465</v>
      </c>
      <c r="AE16" s="297">
        <v>12465</v>
      </c>
      <c r="AF16" s="297">
        <v>12465</v>
      </c>
      <c r="AG16" s="301"/>
      <c r="AH16" s="297">
        <v>11170</v>
      </c>
      <c r="AJ16" s="299"/>
      <c r="AK16" s="302"/>
    </row>
    <row r="17" spans="1:37" ht="20.100000000000001" customHeight="1">
      <c r="A17" s="303"/>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304"/>
      <c r="AH17" s="292"/>
      <c r="AK17" s="302"/>
    </row>
    <row r="18" spans="1:37">
      <c r="A18" s="282" t="s">
        <v>69</v>
      </c>
      <c r="B18" s="295" t="s">
        <v>64</v>
      </c>
      <c r="C18" s="295" t="s">
        <v>64</v>
      </c>
      <c r="D18" s="295" t="s">
        <v>64</v>
      </c>
      <c r="E18" s="295" t="s">
        <v>64</v>
      </c>
      <c r="F18" s="295" t="s">
        <v>64</v>
      </c>
      <c r="G18" s="295" t="s">
        <v>64</v>
      </c>
      <c r="H18" s="295" t="s">
        <v>64</v>
      </c>
      <c r="I18" s="295" t="s">
        <v>64</v>
      </c>
      <c r="J18" s="295" t="s">
        <v>64</v>
      </c>
      <c r="K18" s="295" t="s">
        <v>64</v>
      </c>
      <c r="L18" s="295" t="s">
        <v>64</v>
      </c>
      <c r="M18" s="295" t="s">
        <v>64</v>
      </c>
      <c r="N18" s="295" t="s">
        <v>64</v>
      </c>
      <c r="O18" s="295" t="s">
        <v>64</v>
      </c>
      <c r="P18" s="295" t="s">
        <v>64</v>
      </c>
      <c r="Q18" s="295" t="s">
        <v>64</v>
      </c>
      <c r="R18" s="295" t="s">
        <v>64</v>
      </c>
      <c r="S18" s="295" t="s">
        <v>64</v>
      </c>
      <c r="T18" s="295" t="s">
        <v>64</v>
      </c>
      <c r="U18" s="295" t="s">
        <v>64</v>
      </c>
      <c r="V18" s="295" t="s">
        <v>64</v>
      </c>
      <c r="W18" s="295" t="s">
        <v>64</v>
      </c>
      <c r="X18" s="295" t="s">
        <v>64</v>
      </c>
      <c r="Y18" s="295" t="s">
        <v>64</v>
      </c>
      <c r="Z18" s="295" t="s">
        <v>64</v>
      </c>
      <c r="AA18" s="295" t="s">
        <v>64</v>
      </c>
      <c r="AB18" s="295" t="s">
        <v>64</v>
      </c>
      <c r="AC18" s="295" t="s">
        <v>64</v>
      </c>
      <c r="AD18" s="295" t="s">
        <v>64</v>
      </c>
      <c r="AE18" s="295" t="s">
        <v>64</v>
      </c>
      <c r="AF18" s="295" t="s">
        <v>64</v>
      </c>
      <c r="AG18" s="305"/>
      <c r="AH18" s="295" t="s">
        <v>64</v>
      </c>
      <c r="AK18" s="171"/>
    </row>
    <row r="19" spans="1:37" ht="25.5">
      <c r="A19" s="282" t="s">
        <v>70</v>
      </c>
      <c r="B19" s="306">
        <v>76358</v>
      </c>
      <c r="C19" s="306">
        <v>76385</v>
      </c>
      <c r="D19" s="306">
        <v>76435</v>
      </c>
      <c r="E19" s="306">
        <v>76494</v>
      </c>
      <c r="F19" s="306">
        <v>76508</v>
      </c>
      <c r="G19" s="306">
        <v>76525</v>
      </c>
      <c r="H19" s="306">
        <v>76540</v>
      </c>
      <c r="I19" s="306">
        <v>76555</v>
      </c>
      <c r="J19" s="306">
        <v>76585</v>
      </c>
      <c r="K19" s="306">
        <v>76611</v>
      </c>
      <c r="L19" s="306">
        <v>76633</v>
      </c>
      <c r="M19" s="306">
        <v>76639</v>
      </c>
      <c r="N19" s="306">
        <v>76639</v>
      </c>
      <c r="O19" s="306">
        <v>76639</v>
      </c>
      <c r="P19" s="306">
        <v>76639</v>
      </c>
      <c r="Q19" s="306">
        <v>76639</v>
      </c>
      <c r="R19" s="306">
        <v>76639</v>
      </c>
      <c r="S19" s="306">
        <v>76667</v>
      </c>
      <c r="T19" s="306">
        <v>76667</v>
      </c>
      <c r="U19" s="306">
        <v>76682</v>
      </c>
      <c r="V19" s="306">
        <v>76682</v>
      </c>
      <c r="W19" s="306">
        <v>76754</v>
      </c>
      <c r="X19" s="306">
        <v>76775</v>
      </c>
      <c r="Y19" s="306">
        <v>76775</v>
      </c>
      <c r="Z19" s="306">
        <v>76809</v>
      </c>
      <c r="AA19" s="306">
        <v>76845</v>
      </c>
      <c r="AB19" s="306">
        <v>76845</v>
      </c>
      <c r="AC19" s="306">
        <v>76845</v>
      </c>
      <c r="AD19" s="306">
        <v>76885</v>
      </c>
      <c r="AE19" s="306">
        <v>76903</v>
      </c>
      <c r="AF19" s="306">
        <v>76926</v>
      </c>
      <c r="AG19" s="301">
        <f>AF19-AH19</f>
        <v>585</v>
      </c>
      <c r="AH19" s="306">
        <v>76341</v>
      </c>
      <c r="AI19" s="307">
        <v>585</v>
      </c>
      <c r="AJ19" s="307"/>
      <c r="AK19" s="300"/>
    </row>
    <row r="20" spans="1:37" ht="25.5">
      <c r="A20" s="282" t="s">
        <v>71</v>
      </c>
      <c r="B20" s="297" t="s">
        <v>1005</v>
      </c>
      <c r="C20" s="297" t="s">
        <v>1005</v>
      </c>
      <c r="D20" s="297" t="s">
        <v>1005</v>
      </c>
      <c r="E20" s="297" t="s">
        <v>1809</v>
      </c>
      <c r="F20" s="297" t="s">
        <v>1809</v>
      </c>
      <c r="G20" s="297" t="s">
        <v>1809</v>
      </c>
      <c r="H20" s="297" t="s">
        <v>1809</v>
      </c>
      <c r="I20" s="297" t="s">
        <v>1809</v>
      </c>
      <c r="J20" s="297" t="s">
        <v>1809</v>
      </c>
      <c r="K20" s="297" t="s">
        <v>1809</v>
      </c>
      <c r="L20" s="297" t="s">
        <v>1809</v>
      </c>
      <c r="M20" s="297" t="s">
        <v>1809</v>
      </c>
      <c r="N20" s="297" t="s">
        <v>1809</v>
      </c>
      <c r="O20" s="297" t="s">
        <v>1809</v>
      </c>
      <c r="P20" s="297" t="s">
        <v>1809</v>
      </c>
      <c r="Q20" s="297" t="s">
        <v>1809</v>
      </c>
      <c r="R20" s="297" t="s">
        <v>1809</v>
      </c>
      <c r="S20" s="297" t="s">
        <v>1809</v>
      </c>
      <c r="T20" s="297" t="s">
        <v>1810</v>
      </c>
      <c r="U20" s="297" t="s">
        <v>1811</v>
      </c>
      <c r="V20" s="297" t="s">
        <v>1811</v>
      </c>
      <c r="W20" s="297" t="s">
        <v>1812</v>
      </c>
      <c r="X20" s="297" t="s">
        <v>1813</v>
      </c>
      <c r="Y20" s="297" t="s">
        <v>1813</v>
      </c>
      <c r="Z20" s="297" t="s">
        <v>1814</v>
      </c>
      <c r="AA20" s="297" t="s">
        <v>1815</v>
      </c>
      <c r="AB20" s="297" t="s">
        <v>1815</v>
      </c>
      <c r="AC20" s="297" t="s">
        <v>1815</v>
      </c>
      <c r="AD20" s="297" t="s">
        <v>1815</v>
      </c>
      <c r="AE20" s="297" t="s">
        <v>1815</v>
      </c>
      <c r="AF20" s="297" t="s">
        <v>1815</v>
      </c>
      <c r="AG20" s="301" t="e">
        <f t="shared" ref="AG20:AG30" si="0">AF20-AH20</f>
        <v>#VALUE!</v>
      </c>
      <c r="AH20" s="297" t="s">
        <v>1005</v>
      </c>
      <c r="AJ20" s="307"/>
      <c r="AK20" s="190"/>
    </row>
    <row r="21" spans="1:37">
      <c r="A21" s="282" t="s">
        <v>72</v>
      </c>
      <c r="B21" s="297">
        <v>167664</v>
      </c>
      <c r="C21" s="297">
        <v>167664</v>
      </c>
      <c r="D21" s="297">
        <v>167664</v>
      </c>
      <c r="E21" s="297">
        <v>167664</v>
      </c>
      <c r="F21" s="297">
        <v>167664</v>
      </c>
      <c r="G21" s="297">
        <v>167664</v>
      </c>
      <c r="H21" s="297">
        <v>167664</v>
      </c>
      <c r="I21" s="297">
        <v>167664</v>
      </c>
      <c r="J21" s="297">
        <v>167664</v>
      </c>
      <c r="K21" s="297">
        <v>167664</v>
      </c>
      <c r="L21" s="297">
        <v>167664</v>
      </c>
      <c r="M21" s="297">
        <v>167664</v>
      </c>
      <c r="N21" s="297">
        <v>167664</v>
      </c>
      <c r="O21" s="297">
        <v>170290</v>
      </c>
      <c r="P21" s="297">
        <v>170290</v>
      </c>
      <c r="Q21" s="297">
        <v>170290</v>
      </c>
      <c r="R21" s="297">
        <v>170290</v>
      </c>
      <c r="S21" s="297">
        <v>170290</v>
      </c>
      <c r="T21" s="297">
        <v>170290</v>
      </c>
      <c r="U21" s="297">
        <v>170290</v>
      </c>
      <c r="V21" s="297">
        <v>170532</v>
      </c>
      <c r="W21" s="297">
        <v>170532</v>
      </c>
      <c r="X21" s="297">
        <v>170532</v>
      </c>
      <c r="Y21" s="297">
        <v>170532</v>
      </c>
      <c r="Z21" s="297">
        <v>170532</v>
      </c>
      <c r="AA21" s="297">
        <v>170532</v>
      </c>
      <c r="AB21" s="297">
        <v>170532</v>
      </c>
      <c r="AC21" s="297">
        <v>170777</v>
      </c>
      <c r="AD21" s="297">
        <v>170777</v>
      </c>
      <c r="AE21" s="297">
        <v>170777</v>
      </c>
      <c r="AF21" s="297">
        <v>170777</v>
      </c>
      <c r="AG21" s="301">
        <f t="shared" si="0"/>
        <v>3113</v>
      </c>
      <c r="AH21" s="297">
        <v>167664</v>
      </c>
      <c r="AI21" s="144">
        <v>3113</v>
      </c>
      <c r="AJ21" s="307"/>
      <c r="AK21" s="308"/>
    </row>
    <row r="22" spans="1:37">
      <c r="A22" s="282" t="s">
        <v>73</v>
      </c>
      <c r="B22" s="297">
        <v>200508</v>
      </c>
      <c r="C22" s="297">
        <v>200647</v>
      </c>
      <c r="D22" s="297">
        <v>200768</v>
      </c>
      <c r="E22" s="297">
        <v>200881</v>
      </c>
      <c r="F22" s="297">
        <v>201017</v>
      </c>
      <c r="G22" s="297">
        <v>201017</v>
      </c>
      <c r="H22" s="297">
        <v>201017</v>
      </c>
      <c r="I22" s="297">
        <v>201359</v>
      </c>
      <c r="J22" s="297">
        <v>201490</v>
      </c>
      <c r="K22" s="297">
        <v>201589</v>
      </c>
      <c r="L22" s="297">
        <v>201688</v>
      </c>
      <c r="M22" s="297">
        <v>201788</v>
      </c>
      <c r="N22" s="297">
        <v>201959</v>
      </c>
      <c r="O22" s="297">
        <v>201994</v>
      </c>
      <c r="P22" s="297">
        <v>202085</v>
      </c>
      <c r="Q22" s="297">
        <v>202179</v>
      </c>
      <c r="R22" s="297">
        <v>202273</v>
      </c>
      <c r="S22" s="297">
        <v>202374</v>
      </c>
      <c r="T22" s="297">
        <v>202472</v>
      </c>
      <c r="U22" s="297">
        <v>202662</v>
      </c>
      <c r="V22" s="297">
        <v>202662</v>
      </c>
      <c r="W22" s="297">
        <v>202752</v>
      </c>
      <c r="X22" s="297">
        <v>202844</v>
      </c>
      <c r="Y22" s="297">
        <v>202990</v>
      </c>
      <c r="Z22" s="297">
        <v>203076</v>
      </c>
      <c r="AA22" s="297">
        <v>203166</v>
      </c>
      <c r="AB22" s="297">
        <v>203211</v>
      </c>
      <c r="AC22" s="297">
        <v>203229</v>
      </c>
      <c r="AD22" s="297">
        <v>203271</v>
      </c>
      <c r="AE22" s="297">
        <v>203316</v>
      </c>
      <c r="AF22" s="297">
        <v>203361</v>
      </c>
      <c r="AG22" s="301">
        <f t="shared" si="0"/>
        <v>2945</v>
      </c>
      <c r="AH22" s="297">
        <v>200416</v>
      </c>
      <c r="AI22" s="144">
        <v>2945</v>
      </c>
      <c r="AJ22" s="307"/>
      <c r="AK22" s="190"/>
    </row>
    <row r="23" spans="1:37">
      <c r="A23" s="309" t="s">
        <v>136</v>
      </c>
      <c r="B23" s="297">
        <v>9478</v>
      </c>
      <c r="C23" s="297">
        <v>9478</v>
      </c>
      <c r="D23" s="297">
        <v>9478</v>
      </c>
      <c r="E23" s="297">
        <v>9478</v>
      </c>
      <c r="F23" s="297">
        <v>9478</v>
      </c>
      <c r="G23" s="297">
        <v>9478</v>
      </c>
      <c r="H23" s="297">
        <v>9478</v>
      </c>
      <c r="I23" s="297">
        <v>9478</v>
      </c>
      <c r="J23" s="297">
        <v>9478</v>
      </c>
      <c r="K23" s="297">
        <v>9478</v>
      </c>
      <c r="L23" s="297">
        <v>9478</v>
      </c>
      <c r="M23" s="297">
        <v>9478</v>
      </c>
      <c r="N23" s="297">
        <v>9478</v>
      </c>
      <c r="O23" s="297">
        <v>9673</v>
      </c>
      <c r="P23" s="297">
        <v>9673</v>
      </c>
      <c r="Q23" s="297">
        <v>9673</v>
      </c>
      <c r="R23" s="297">
        <v>9673</v>
      </c>
      <c r="S23" s="297">
        <v>9673</v>
      </c>
      <c r="T23" s="297">
        <v>9673</v>
      </c>
      <c r="U23" s="297">
        <v>9673</v>
      </c>
      <c r="V23" s="297">
        <v>9740</v>
      </c>
      <c r="W23" s="297">
        <v>9740</v>
      </c>
      <c r="X23" s="297">
        <v>9740</v>
      </c>
      <c r="Y23" s="297">
        <v>9740</v>
      </c>
      <c r="Z23" s="297">
        <v>9740</v>
      </c>
      <c r="AA23" s="297">
        <v>9740</v>
      </c>
      <c r="AB23" s="297">
        <v>9740</v>
      </c>
      <c r="AC23" s="297">
        <v>9831</v>
      </c>
      <c r="AD23" s="297">
        <v>9831</v>
      </c>
      <c r="AE23" s="297">
        <v>9831</v>
      </c>
      <c r="AF23" s="297">
        <v>9831</v>
      </c>
      <c r="AG23" s="301">
        <f t="shared" si="0"/>
        <v>353</v>
      </c>
      <c r="AH23" s="297">
        <v>9478</v>
      </c>
      <c r="AI23" s="144">
        <v>353</v>
      </c>
      <c r="AJ23" s="307"/>
      <c r="AK23" s="190"/>
    </row>
    <row r="24" spans="1:37">
      <c r="A24" s="309" t="s">
        <v>139</v>
      </c>
      <c r="B24" s="297">
        <v>6664</v>
      </c>
      <c r="C24" s="297">
        <v>6664</v>
      </c>
      <c r="D24" s="297">
        <v>6664</v>
      </c>
      <c r="E24" s="297">
        <v>6664</v>
      </c>
      <c r="F24" s="297">
        <v>6664</v>
      </c>
      <c r="G24" s="297">
        <v>6664</v>
      </c>
      <c r="H24" s="297">
        <v>6664</v>
      </c>
      <c r="I24" s="297">
        <v>6664</v>
      </c>
      <c r="J24" s="297">
        <v>6664</v>
      </c>
      <c r="K24" s="297">
        <v>6664</v>
      </c>
      <c r="L24" s="297">
        <v>6664</v>
      </c>
      <c r="M24" s="297">
        <v>6664</v>
      </c>
      <c r="N24" s="297">
        <v>6664</v>
      </c>
      <c r="O24" s="297">
        <v>6945</v>
      </c>
      <c r="P24" s="297">
        <v>6945</v>
      </c>
      <c r="Q24" s="297">
        <v>6945</v>
      </c>
      <c r="R24" s="297">
        <v>6945</v>
      </c>
      <c r="S24" s="297">
        <v>6945</v>
      </c>
      <c r="T24" s="297">
        <v>6945</v>
      </c>
      <c r="U24" s="297">
        <v>6945</v>
      </c>
      <c r="V24" s="297">
        <v>6988</v>
      </c>
      <c r="W24" s="297">
        <v>6988</v>
      </c>
      <c r="X24" s="297">
        <v>6988</v>
      </c>
      <c r="Y24" s="297">
        <v>6988</v>
      </c>
      <c r="Z24" s="297">
        <v>6988</v>
      </c>
      <c r="AA24" s="297">
        <v>6988</v>
      </c>
      <c r="AB24" s="297">
        <v>6988</v>
      </c>
      <c r="AC24" s="297">
        <v>7028</v>
      </c>
      <c r="AD24" s="297">
        <v>7028</v>
      </c>
      <c r="AE24" s="297">
        <v>7028</v>
      </c>
      <c r="AF24" s="297">
        <v>7028</v>
      </c>
      <c r="AG24" s="301">
        <f t="shared" si="0"/>
        <v>364</v>
      </c>
      <c r="AH24" s="297">
        <v>6664</v>
      </c>
      <c r="AI24" s="144">
        <v>364</v>
      </c>
      <c r="AJ24" s="307"/>
      <c r="AK24" s="190"/>
    </row>
    <row r="25" spans="1:37">
      <c r="A25" s="309" t="s">
        <v>142</v>
      </c>
      <c r="B25" s="297">
        <v>2545</v>
      </c>
      <c r="C25" s="297">
        <v>2545</v>
      </c>
      <c r="D25" s="297">
        <v>2545</v>
      </c>
      <c r="E25" s="297">
        <v>2545</v>
      </c>
      <c r="F25" s="297">
        <v>2545</v>
      </c>
      <c r="G25" s="297">
        <v>2545</v>
      </c>
      <c r="H25" s="297">
        <v>2545</v>
      </c>
      <c r="I25" s="297">
        <v>2545</v>
      </c>
      <c r="J25" s="297">
        <v>2545</v>
      </c>
      <c r="K25" s="297">
        <v>2545</v>
      </c>
      <c r="L25" s="297">
        <v>2545</v>
      </c>
      <c r="M25" s="297">
        <v>2545</v>
      </c>
      <c r="N25" s="297">
        <v>2545</v>
      </c>
      <c r="O25" s="297">
        <v>2763</v>
      </c>
      <c r="P25" s="297">
        <v>2763</v>
      </c>
      <c r="Q25" s="297">
        <v>2763</v>
      </c>
      <c r="R25" s="297">
        <v>2763</v>
      </c>
      <c r="S25" s="297">
        <v>2763</v>
      </c>
      <c r="T25" s="297">
        <v>2763</v>
      </c>
      <c r="U25" s="297">
        <v>2763</v>
      </c>
      <c r="V25" s="297">
        <v>2782</v>
      </c>
      <c r="W25" s="297">
        <v>2782</v>
      </c>
      <c r="X25" s="297">
        <v>2782</v>
      </c>
      <c r="Y25" s="297">
        <v>2782</v>
      </c>
      <c r="Z25" s="297">
        <v>2782</v>
      </c>
      <c r="AA25" s="297">
        <v>2782</v>
      </c>
      <c r="AB25" s="297">
        <v>2782</v>
      </c>
      <c r="AC25" s="297">
        <v>2796</v>
      </c>
      <c r="AD25" s="297">
        <v>2796</v>
      </c>
      <c r="AE25" s="297">
        <v>2796</v>
      </c>
      <c r="AF25" s="297">
        <v>2796</v>
      </c>
      <c r="AG25" s="301">
        <f t="shared" si="0"/>
        <v>251</v>
      </c>
      <c r="AH25" s="297">
        <v>2545</v>
      </c>
      <c r="AI25" s="144">
        <v>251</v>
      </c>
      <c r="AJ25" s="307"/>
      <c r="AK25" s="190"/>
    </row>
    <row r="26" spans="1:37">
      <c r="A26" s="309" t="s">
        <v>145</v>
      </c>
      <c r="B26" s="297">
        <v>1434</v>
      </c>
      <c r="C26" s="297">
        <v>1434</v>
      </c>
      <c r="D26" s="297">
        <v>1434</v>
      </c>
      <c r="E26" s="297">
        <v>1434</v>
      </c>
      <c r="F26" s="297">
        <v>1434</v>
      </c>
      <c r="G26" s="297">
        <v>1434</v>
      </c>
      <c r="H26" s="297">
        <v>1434</v>
      </c>
      <c r="I26" s="297">
        <v>1434</v>
      </c>
      <c r="J26" s="297">
        <v>1434</v>
      </c>
      <c r="K26" s="297">
        <v>1434</v>
      </c>
      <c r="L26" s="297">
        <v>1434</v>
      </c>
      <c r="M26" s="297">
        <v>1434</v>
      </c>
      <c r="N26" s="297">
        <v>1434</v>
      </c>
      <c r="O26" s="297">
        <v>1493</v>
      </c>
      <c r="P26" s="297">
        <v>1493</v>
      </c>
      <c r="Q26" s="297">
        <v>1493</v>
      </c>
      <c r="R26" s="297">
        <v>1493</v>
      </c>
      <c r="S26" s="297">
        <v>1493</v>
      </c>
      <c r="T26" s="297">
        <v>1493</v>
      </c>
      <c r="U26" s="297">
        <v>1493</v>
      </c>
      <c r="V26" s="297">
        <v>1508</v>
      </c>
      <c r="W26" s="297">
        <v>1508</v>
      </c>
      <c r="X26" s="297">
        <v>1508</v>
      </c>
      <c r="Y26" s="297">
        <v>1508</v>
      </c>
      <c r="Z26" s="297">
        <v>1508</v>
      </c>
      <c r="AA26" s="297">
        <v>1508</v>
      </c>
      <c r="AB26" s="297">
        <v>1508</v>
      </c>
      <c r="AC26" s="297">
        <v>1521</v>
      </c>
      <c r="AD26" s="297">
        <v>1521</v>
      </c>
      <c r="AE26" s="297">
        <v>1521</v>
      </c>
      <c r="AF26" s="297">
        <v>1521</v>
      </c>
      <c r="AG26" s="301">
        <f t="shared" si="0"/>
        <v>87</v>
      </c>
      <c r="AH26" s="297">
        <v>1434</v>
      </c>
      <c r="AI26" s="144">
        <v>87</v>
      </c>
      <c r="AJ26" s="307"/>
      <c r="AK26" s="190"/>
    </row>
    <row r="27" spans="1:37">
      <c r="A27" s="309" t="s">
        <v>148</v>
      </c>
      <c r="B27" s="297">
        <v>9822</v>
      </c>
      <c r="C27" s="297">
        <v>9822</v>
      </c>
      <c r="D27" s="297">
        <v>9822</v>
      </c>
      <c r="E27" s="297">
        <v>9822</v>
      </c>
      <c r="F27" s="297">
        <v>9822</v>
      </c>
      <c r="G27" s="297">
        <v>9822</v>
      </c>
      <c r="H27" s="297">
        <v>9822</v>
      </c>
      <c r="I27" s="297">
        <v>9822</v>
      </c>
      <c r="J27" s="297">
        <v>9822</v>
      </c>
      <c r="K27" s="297">
        <v>9822</v>
      </c>
      <c r="L27" s="297">
        <v>9822</v>
      </c>
      <c r="M27" s="297">
        <v>9822</v>
      </c>
      <c r="N27" s="297">
        <v>9822</v>
      </c>
      <c r="O27" s="297">
        <v>10940</v>
      </c>
      <c r="P27" s="297">
        <v>10940</v>
      </c>
      <c r="Q27" s="297">
        <v>10940</v>
      </c>
      <c r="R27" s="297">
        <v>10940</v>
      </c>
      <c r="S27" s="297">
        <v>10940</v>
      </c>
      <c r="T27" s="297">
        <v>10940</v>
      </c>
      <c r="U27" s="297">
        <v>10940</v>
      </c>
      <c r="V27" s="297">
        <v>11270</v>
      </c>
      <c r="W27" s="297">
        <v>11270</v>
      </c>
      <c r="X27" s="297">
        <v>11270</v>
      </c>
      <c r="Y27" s="297">
        <v>11270</v>
      </c>
      <c r="Z27" s="297">
        <v>11270</v>
      </c>
      <c r="AA27" s="297">
        <v>11270</v>
      </c>
      <c r="AB27" s="297">
        <v>11270</v>
      </c>
      <c r="AC27" s="297">
        <v>11378</v>
      </c>
      <c r="AD27" s="297">
        <v>11378</v>
      </c>
      <c r="AE27" s="297">
        <v>11378</v>
      </c>
      <c r="AF27" s="297">
        <v>11378</v>
      </c>
      <c r="AG27" s="301">
        <f t="shared" si="0"/>
        <v>1556</v>
      </c>
      <c r="AH27" s="297">
        <v>9822</v>
      </c>
      <c r="AI27" s="144">
        <v>1556</v>
      </c>
      <c r="AJ27" s="307"/>
      <c r="AK27" s="190"/>
    </row>
    <row r="28" spans="1:37">
      <c r="A28" s="309" t="s">
        <v>151</v>
      </c>
      <c r="B28" s="297">
        <v>1339</v>
      </c>
      <c r="C28" s="297">
        <v>1339</v>
      </c>
      <c r="D28" s="297">
        <v>1339</v>
      </c>
      <c r="E28" s="297">
        <v>1339</v>
      </c>
      <c r="F28" s="297">
        <v>1339</v>
      </c>
      <c r="G28" s="297">
        <v>1339</v>
      </c>
      <c r="H28" s="297">
        <v>1339</v>
      </c>
      <c r="I28" s="297">
        <v>1339</v>
      </c>
      <c r="J28" s="297">
        <v>1339</v>
      </c>
      <c r="K28" s="297">
        <v>1339</v>
      </c>
      <c r="L28" s="297">
        <v>1339</v>
      </c>
      <c r="M28" s="297">
        <v>1339</v>
      </c>
      <c r="N28" s="297">
        <v>1339</v>
      </c>
      <c r="O28" s="297">
        <v>1339</v>
      </c>
      <c r="P28" s="297">
        <v>1339</v>
      </c>
      <c r="Q28" s="297">
        <v>1339</v>
      </c>
      <c r="R28" s="297">
        <v>1339</v>
      </c>
      <c r="S28" s="297">
        <v>1339</v>
      </c>
      <c r="T28" s="297">
        <v>1339</v>
      </c>
      <c r="U28" s="297">
        <v>1339</v>
      </c>
      <c r="V28" s="297">
        <v>1339</v>
      </c>
      <c r="W28" s="297">
        <v>1339</v>
      </c>
      <c r="X28" s="297">
        <v>1339</v>
      </c>
      <c r="Y28" s="297">
        <v>1339</v>
      </c>
      <c r="Z28" s="297">
        <v>1339</v>
      </c>
      <c r="AA28" s="297">
        <v>1339</v>
      </c>
      <c r="AB28" s="297">
        <v>1339</v>
      </c>
      <c r="AC28" s="297">
        <v>1339</v>
      </c>
      <c r="AD28" s="297">
        <v>1339</v>
      </c>
      <c r="AE28" s="297">
        <v>1339</v>
      </c>
      <c r="AF28" s="297">
        <v>1339</v>
      </c>
      <c r="AG28" s="301">
        <f t="shared" si="0"/>
        <v>0</v>
      </c>
      <c r="AH28" s="297">
        <v>1339</v>
      </c>
      <c r="AI28" s="144">
        <v>0</v>
      </c>
      <c r="AJ28" s="307"/>
      <c r="AK28" s="190"/>
    </row>
    <row r="29" spans="1:37">
      <c r="A29" s="309" t="s">
        <v>154</v>
      </c>
      <c r="B29" s="297">
        <v>754</v>
      </c>
      <c r="C29" s="297">
        <v>754</v>
      </c>
      <c r="D29" s="297">
        <v>754</v>
      </c>
      <c r="E29" s="297">
        <v>754</v>
      </c>
      <c r="F29" s="297">
        <v>754</v>
      </c>
      <c r="G29" s="297">
        <v>754</v>
      </c>
      <c r="H29" s="297">
        <v>754</v>
      </c>
      <c r="I29" s="297">
        <v>754</v>
      </c>
      <c r="J29" s="297">
        <v>754</v>
      </c>
      <c r="K29" s="297">
        <v>754</v>
      </c>
      <c r="L29" s="297">
        <v>754</v>
      </c>
      <c r="M29" s="297">
        <v>754</v>
      </c>
      <c r="N29" s="297">
        <v>754</v>
      </c>
      <c r="O29" s="297">
        <v>763</v>
      </c>
      <c r="P29" s="297">
        <v>763</v>
      </c>
      <c r="Q29" s="297">
        <v>763</v>
      </c>
      <c r="R29" s="297">
        <v>763</v>
      </c>
      <c r="S29" s="297">
        <v>763</v>
      </c>
      <c r="T29" s="297">
        <v>763</v>
      </c>
      <c r="U29" s="297">
        <v>763</v>
      </c>
      <c r="V29" s="297">
        <v>767</v>
      </c>
      <c r="W29" s="297">
        <v>767</v>
      </c>
      <c r="X29" s="297">
        <v>767</v>
      </c>
      <c r="Y29" s="297">
        <v>767</v>
      </c>
      <c r="Z29" s="297">
        <v>767</v>
      </c>
      <c r="AA29" s="297">
        <v>767</v>
      </c>
      <c r="AB29" s="297">
        <v>767</v>
      </c>
      <c r="AC29" s="297">
        <v>771</v>
      </c>
      <c r="AD29" s="297">
        <v>771</v>
      </c>
      <c r="AE29" s="297">
        <v>771</v>
      </c>
      <c r="AF29" s="297">
        <v>771</v>
      </c>
      <c r="AG29" s="301">
        <f t="shared" si="0"/>
        <v>17</v>
      </c>
      <c r="AH29" s="297">
        <v>754</v>
      </c>
      <c r="AI29" s="144">
        <v>17</v>
      </c>
      <c r="AJ29" s="307"/>
      <c r="AK29" s="190"/>
    </row>
    <row r="30" spans="1:37">
      <c r="A30" s="303"/>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301">
        <f t="shared" si="0"/>
        <v>0</v>
      </c>
      <c r="AH30" s="292"/>
      <c r="AK30" s="190"/>
    </row>
    <row r="31" spans="1:37">
      <c r="A31" s="282" t="s">
        <v>74</v>
      </c>
      <c r="B31" s="295" t="s">
        <v>75</v>
      </c>
      <c r="C31" s="295" t="s">
        <v>75</v>
      </c>
      <c r="D31" s="295" t="s">
        <v>75</v>
      </c>
      <c r="E31" s="295" t="s">
        <v>75</v>
      </c>
      <c r="F31" s="295" t="s">
        <v>75</v>
      </c>
      <c r="G31" s="295" t="s">
        <v>75</v>
      </c>
      <c r="H31" s="295" t="s">
        <v>75</v>
      </c>
      <c r="I31" s="295" t="s">
        <v>75</v>
      </c>
      <c r="J31" s="295" t="s">
        <v>75</v>
      </c>
      <c r="K31" s="295" t="s">
        <v>75</v>
      </c>
      <c r="L31" s="295" t="s">
        <v>75</v>
      </c>
      <c r="M31" s="295" t="s">
        <v>75</v>
      </c>
      <c r="N31" s="295" t="s">
        <v>75</v>
      </c>
      <c r="O31" s="295" t="s">
        <v>75</v>
      </c>
      <c r="P31" s="295" t="s">
        <v>75</v>
      </c>
      <c r="Q31" s="295" t="s">
        <v>75</v>
      </c>
      <c r="R31" s="295" t="s">
        <v>75</v>
      </c>
      <c r="S31" s="295" t="s">
        <v>75</v>
      </c>
      <c r="T31" s="295" t="s">
        <v>75</v>
      </c>
      <c r="U31" s="295" t="s">
        <v>75</v>
      </c>
      <c r="V31" s="295" t="s">
        <v>75</v>
      </c>
      <c r="W31" s="295" t="s">
        <v>75</v>
      </c>
      <c r="X31" s="295" t="s">
        <v>75</v>
      </c>
      <c r="Y31" s="295" t="s">
        <v>75</v>
      </c>
      <c r="Z31" s="295" t="s">
        <v>75</v>
      </c>
      <c r="AA31" s="295" t="s">
        <v>75</v>
      </c>
      <c r="AB31" s="295" t="s">
        <v>75</v>
      </c>
      <c r="AC31" s="295" t="s">
        <v>75</v>
      </c>
      <c r="AD31" s="295" t="s">
        <v>75</v>
      </c>
      <c r="AE31" s="295" t="s">
        <v>75</v>
      </c>
      <c r="AF31" s="295" t="s">
        <v>75</v>
      </c>
      <c r="AG31" s="296"/>
      <c r="AH31" s="295" t="s">
        <v>75</v>
      </c>
    </row>
    <row r="32" spans="1:37" ht="25.5">
      <c r="A32" s="282" t="s">
        <v>77</v>
      </c>
      <c r="B32" s="21" t="s">
        <v>78</v>
      </c>
      <c r="C32" s="21" t="s">
        <v>78</v>
      </c>
      <c r="D32" s="21" t="s">
        <v>78</v>
      </c>
      <c r="E32" s="21" t="s">
        <v>78</v>
      </c>
      <c r="F32" s="21" t="s">
        <v>78</v>
      </c>
      <c r="G32" s="21" t="s">
        <v>78</v>
      </c>
      <c r="H32" s="21" t="s">
        <v>78</v>
      </c>
      <c r="I32" s="21" t="s">
        <v>78</v>
      </c>
      <c r="J32" s="21" t="s">
        <v>78</v>
      </c>
      <c r="K32" s="21" t="s">
        <v>78</v>
      </c>
      <c r="L32" s="21" t="s">
        <v>78</v>
      </c>
      <c r="M32" s="21" t="s">
        <v>78</v>
      </c>
      <c r="N32" s="21" t="s">
        <v>78</v>
      </c>
      <c r="O32" s="21" t="s">
        <v>78</v>
      </c>
      <c r="P32" s="21" t="s">
        <v>78</v>
      </c>
      <c r="Q32" s="21" t="s">
        <v>78</v>
      </c>
      <c r="R32" s="21" t="s">
        <v>78</v>
      </c>
      <c r="S32" s="21" t="s">
        <v>78</v>
      </c>
      <c r="T32" s="21" t="s">
        <v>78</v>
      </c>
      <c r="U32" s="21" t="s">
        <v>78</v>
      </c>
      <c r="V32" s="21" t="s">
        <v>78</v>
      </c>
      <c r="W32" s="21" t="s">
        <v>78</v>
      </c>
      <c r="X32" s="21" t="s">
        <v>78</v>
      </c>
      <c r="Y32" s="21" t="s">
        <v>78</v>
      </c>
      <c r="Z32" s="21" t="s">
        <v>78</v>
      </c>
      <c r="AA32" s="21" t="s">
        <v>78</v>
      </c>
      <c r="AB32" s="21" t="s">
        <v>78</v>
      </c>
      <c r="AC32" s="21" t="s">
        <v>78</v>
      </c>
      <c r="AD32" s="21" t="s">
        <v>78</v>
      </c>
      <c r="AE32" s="21" t="s">
        <v>78</v>
      </c>
      <c r="AF32" s="21" t="s">
        <v>78</v>
      </c>
      <c r="AG32" s="209"/>
      <c r="AH32" s="21" t="s">
        <v>78</v>
      </c>
    </row>
    <row r="33" spans="1:34" ht="25.5">
      <c r="A33" s="282" t="s">
        <v>80</v>
      </c>
      <c r="B33" s="21" t="s">
        <v>1014</v>
      </c>
      <c r="C33" s="21" t="s">
        <v>1014</v>
      </c>
      <c r="D33" s="21" t="s">
        <v>1014</v>
      </c>
      <c r="E33" s="21" t="s">
        <v>1014</v>
      </c>
      <c r="F33" s="21" t="s">
        <v>1014</v>
      </c>
      <c r="G33" s="21" t="s">
        <v>1014</v>
      </c>
      <c r="H33" s="21" t="s">
        <v>1014</v>
      </c>
      <c r="I33" s="21" t="s">
        <v>1014</v>
      </c>
      <c r="J33" s="21" t="s">
        <v>1014</v>
      </c>
      <c r="K33" s="21" t="s">
        <v>1015</v>
      </c>
      <c r="L33" s="21" t="s">
        <v>1015</v>
      </c>
      <c r="M33" s="21" t="s">
        <v>1015</v>
      </c>
      <c r="N33" s="21" t="s">
        <v>1015</v>
      </c>
      <c r="O33" s="21" t="s">
        <v>1020</v>
      </c>
      <c r="P33" s="21" t="s">
        <v>1020</v>
      </c>
      <c r="Q33" s="21" t="s">
        <v>1020</v>
      </c>
      <c r="R33" s="21" t="s">
        <v>1017</v>
      </c>
      <c r="S33" s="21" t="s">
        <v>1017</v>
      </c>
      <c r="T33" s="21" t="s">
        <v>1017</v>
      </c>
      <c r="U33" s="21" t="s">
        <v>1014</v>
      </c>
      <c r="V33" s="21" t="s">
        <v>1014</v>
      </c>
      <c r="W33" s="21" t="s">
        <v>1014</v>
      </c>
      <c r="X33" s="21" t="s">
        <v>1014</v>
      </c>
      <c r="Y33" s="21" t="s">
        <v>1014</v>
      </c>
      <c r="Z33" s="21" t="s">
        <v>1014</v>
      </c>
      <c r="AA33" s="21" t="s">
        <v>1014</v>
      </c>
      <c r="AB33" s="21" t="s">
        <v>1014</v>
      </c>
      <c r="AC33" s="21" t="s">
        <v>1816</v>
      </c>
      <c r="AD33" s="21" t="s">
        <v>1816</v>
      </c>
      <c r="AE33" s="21" t="s">
        <v>1816</v>
      </c>
      <c r="AF33" s="21" t="s">
        <v>1816</v>
      </c>
      <c r="AG33" s="209"/>
      <c r="AH33" s="21" t="s">
        <v>1022</v>
      </c>
    </row>
    <row r="34" spans="1:34" ht="15.75" thickBot="1">
      <c r="A34" s="310" t="s">
        <v>81</v>
      </c>
      <c r="B34" s="311" t="s">
        <v>1024</v>
      </c>
      <c r="C34" s="311" t="s">
        <v>1024</v>
      </c>
      <c r="D34" s="311" t="s">
        <v>1024</v>
      </c>
      <c r="E34" s="311" t="s">
        <v>1024</v>
      </c>
      <c r="F34" s="311" t="s">
        <v>1024</v>
      </c>
      <c r="G34" s="311" t="s">
        <v>1024</v>
      </c>
      <c r="H34" s="311" t="s">
        <v>1024</v>
      </c>
      <c r="I34" s="311" t="s">
        <v>1024</v>
      </c>
      <c r="J34" s="311" t="s">
        <v>1024</v>
      </c>
      <c r="K34" s="311" t="s">
        <v>1024</v>
      </c>
      <c r="L34" s="311" t="s">
        <v>1024</v>
      </c>
      <c r="M34" s="311" t="s">
        <v>1024</v>
      </c>
      <c r="N34" s="311" t="s">
        <v>1024</v>
      </c>
      <c r="O34" s="311" t="s">
        <v>1024</v>
      </c>
      <c r="P34" s="311" t="s">
        <v>1024</v>
      </c>
      <c r="Q34" s="311" t="s">
        <v>1024</v>
      </c>
      <c r="R34" s="311" t="s">
        <v>1024</v>
      </c>
      <c r="S34" s="311" t="s">
        <v>1024</v>
      </c>
      <c r="T34" s="311" t="s">
        <v>1024</v>
      </c>
      <c r="U34" s="311" t="s">
        <v>1024</v>
      </c>
      <c r="V34" s="311" t="s">
        <v>1024</v>
      </c>
      <c r="W34" s="311" t="s">
        <v>1024</v>
      </c>
      <c r="X34" s="311" t="s">
        <v>1024</v>
      </c>
      <c r="Y34" s="311" t="s">
        <v>1024</v>
      </c>
      <c r="Z34" s="311" t="s">
        <v>1024</v>
      </c>
      <c r="AA34" s="311" t="s">
        <v>1024</v>
      </c>
      <c r="AB34" s="311" t="s">
        <v>1024</v>
      </c>
      <c r="AC34" s="311" t="s">
        <v>1817</v>
      </c>
      <c r="AD34" s="311" t="s">
        <v>1817</v>
      </c>
      <c r="AE34" s="311" t="s">
        <v>1817</v>
      </c>
      <c r="AF34" s="311" t="s">
        <v>1817</v>
      </c>
      <c r="AG34" s="209"/>
      <c r="AH34" s="311" t="s">
        <v>1024</v>
      </c>
    </row>
    <row r="35" spans="1:34">
      <c r="AG35" s="211"/>
    </row>
    <row r="36" spans="1:34">
      <c r="AG36" s="211"/>
    </row>
  </sheetData>
  <mergeCells count="1">
    <mergeCell ref="A1:AH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F24A-E223-488F-B018-3153AD2C596E}">
  <dimension ref="A1:AJ36"/>
  <sheetViews>
    <sheetView topLeftCell="P1"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16.570312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45231</v>
      </c>
      <c r="C2" s="281">
        <v>45232</v>
      </c>
      <c r="D2" s="281">
        <v>45233</v>
      </c>
      <c r="E2" s="281">
        <v>45234</v>
      </c>
      <c r="F2" s="281">
        <v>45235</v>
      </c>
      <c r="G2" s="281">
        <v>45236</v>
      </c>
      <c r="H2" s="281">
        <v>45237</v>
      </c>
      <c r="I2" s="281">
        <v>45238</v>
      </c>
      <c r="J2" s="281">
        <v>45239</v>
      </c>
      <c r="K2" s="281">
        <v>45240</v>
      </c>
      <c r="L2" s="281">
        <v>45241</v>
      </c>
      <c r="M2" s="281">
        <v>45242</v>
      </c>
      <c r="N2" s="281">
        <v>45243</v>
      </c>
      <c r="O2" s="281">
        <v>45244</v>
      </c>
      <c r="P2" s="281">
        <v>45245</v>
      </c>
      <c r="Q2" s="281">
        <v>45246</v>
      </c>
      <c r="R2" s="281">
        <v>45247</v>
      </c>
      <c r="S2" s="281">
        <v>45248</v>
      </c>
      <c r="T2" s="281">
        <v>45249</v>
      </c>
      <c r="U2" s="281">
        <v>45250</v>
      </c>
      <c r="V2" s="281">
        <v>45251</v>
      </c>
      <c r="W2" s="281">
        <v>45252</v>
      </c>
      <c r="X2" s="281">
        <v>45253</v>
      </c>
      <c r="Y2" s="281">
        <v>45254</v>
      </c>
      <c r="Z2" s="281">
        <v>45255</v>
      </c>
      <c r="AA2" s="281">
        <v>45256</v>
      </c>
      <c r="AB2" s="281">
        <v>45257</v>
      </c>
      <c r="AC2" s="281">
        <v>45258</v>
      </c>
      <c r="AD2" s="281">
        <v>45259</v>
      </c>
      <c r="AE2" s="281">
        <v>45260</v>
      </c>
      <c r="AF2" s="281"/>
      <c r="AG2" s="281">
        <v>45230</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286" t="s">
        <v>1818</v>
      </c>
      <c r="C4" s="286" t="s">
        <v>1819</v>
      </c>
      <c r="D4" s="286" t="s">
        <v>1820</v>
      </c>
      <c r="E4" s="286" t="s">
        <v>1821</v>
      </c>
      <c r="F4" s="286" t="s">
        <v>1822</v>
      </c>
      <c r="G4" s="286" t="s">
        <v>1823</v>
      </c>
      <c r="H4" s="286" t="s">
        <v>1824</v>
      </c>
      <c r="I4" s="286" t="s">
        <v>1825</v>
      </c>
      <c r="J4" s="286" t="s">
        <v>1826</v>
      </c>
      <c r="K4" s="286" t="s">
        <v>1827</v>
      </c>
      <c r="L4" s="286" t="s">
        <v>1828</v>
      </c>
      <c r="M4" s="286" t="s">
        <v>1829</v>
      </c>
      <c r="N4" s="286" t="s">
        <v>1830</v>
      </c>
      <c r="O4" s="286" t="s">
        <v>1831</v>
      </c>
      <c r="P4" s="286" t="s">
        <v>1832</v>
      </c>
      <c r="Q4" s="286" t="s">
        <v>1833</v>
      </c>
      <c r="R4" s="286" t="s">
        <v>1834</v>
      </c>
      <c r="S4" s="286" t="s">
        <v>1835</v>
      </c>
      <c r="T4" s="286" t="s">
        <v>1836</v>
      </c>
      <c r="U4" s="286" t="s">
        <v>1837</v>
      </c>
      <c r="V4" s="286" t="s">
        <v>1838</v>
      </c>
      <c r="W4" s="286" t="s">
        <v>1839</v>
      </c>
      <c r="X4" s="286" t="s">
        <v>1840</v>
      </c>
      <c r="Y4" s="286" t="s">
        <v>1841</v>
      </c>
      <c r="Z4" s="286" t="s">
        <v>1842</v>
      </c>
      <c r="AA4" s="286" t="s">
        <v>1843</v>
      </c>
      <c r="AB4" s="286" t="s">
        <v>1844</v>
      </c>
      <c r="AC4" s="286" t="s">
        <v>1845</v>
      </c>
      <c r="AD4" s="286" t="s">
        <v>1846</v>
      </c>
      <c r="AE4" s="286" t="s">
        <v>1847</v>
      </c>
      <c r="AF4" s="287"/>
      <c r="AG4" s="286" t="s">
        <v>1596</v>
      </c>
      <c r="AH4" s="288"/>
    </row>
    <row r="5" spans="1:36" ht="20.100000000000001" customHeight="1">
      <c r="A5" s="285" t="s">
        <v>55</v>
      </c>
      <c r="B5" s="286" t="s">
        <v>1848</v>
      </c>
      <c r="C5" s="286" t="s">
        <v>1849</v>
      </c>
      <c r="D5" s="286" t="s">
        <v>1850</v>
      </c>
      <c r="E5" s="286" t="s">
        <v>1851</v>
      </c>
      <c r="F5" s="286" t="s">
        <v>1852</v>
      </c>
      <c r="G5" s="286" t="s">
        <v>1853</v>
      </c>
      <c r="H5" s="286" t="s">
        <v>1854</v>
      </c>
      <c r="I5" s="286" t="s">
        <v>1855</v>
      </c>
      <c r="J5" s="286" t="s">
        <v>1856</v>
      </c>
      <c r="K5" s="286" t="s">
        <v>1857</v>
      </c>
      <c r="L5" s="286" t="s">
        <v>1858</v>
      </c>
      <c r="M5" s="286" t="s">
        <v>1859</v>
      </c>
      <c r="N5" s="286" t="s">
        <v>1860</v>
      </c>
      <c r="O5" s="286" t="s">
        <v>1861</v>
      </c>
      <c r="P5" s="286" t="s">
        <v>1862</v>
      </c>
      <c r="Q5" s="286" t="s">
        <v>1863</v>
      </c>
      <c r="R5" s="286" t="s">
        <v>1864</v>
      </c>
      <c r="S5" s="286" t="s">
        <v>1865</v>
      </c>
      <c r="T5" s="286" t="s">
        <v>1866</v>
      </c>
      <c r="U5" s="286" t="s">
        <v>1867</v>
      </c>
      <c r="V5" s="286" t="s">
        <v>1868</v>
      </c>
      <c r="W5" s="286" t="s">
        <v>1869</v>
      </c>
      <c r="X5" s="286" t="s">
        <v>1870</v>
      </c>
      <c r="Y5" s="286" t="s">
        <v>1871</v>
      </c>
      <c r="Z5" s="286" t="s">
        <v>1872</v>
      </c>
      <c r="AA5" s="286" t="s">
        <v>1873</v>
      </c>
      <c r="AB5" s="286" t="s">
        <v>1874</v>
      </c>
      <c r="AC5" s="286" t="s">
        <v>1875</v>
      </c>
      <c r="AD5" s="286" t="s">
        <v>1876</v>
      </c>
      <c r="AE5" s="286" t="s">
        <v>1877</v>
      </c>
      <c r="AF5" s="287"/>
      <c r="AG5" s="286" t="s">
        <v>1627</v>
      </c>
      <c r="AH5" s="288"/>
    </row>
    <row r="6" spans="1:36" ht="20.100000000000001" customHeight="1">
      <c r="A6" s="285" t="s">
        <v>56</v>
      </c>
      <c r="B6" s="289" t="s">
        <v>1878</v>
      </c>
      <c r="C6" s="289" t="s">
        <v>1879</v>
      </c>
      <c r="D6" s="289" t="s">
        <v>1880</v>
      </c>
      <c r="E6" s="289" t="s">
        <v>1881</v>
      </c>
      <c r="F6" s="289" t="s">
        <v>1882</v>
      </c>
      <c r="G6" s="289" t="s">
        <v>1883</v>
      </c>
      <c r="H6" s="289" t="s">
        <v>1884</v>
      </c>
      <c r="I6" s="289" t="s">
        <v>1885</v>
      </c>
      <c r="J6" s="289" t="s">
        <v>1886</v>
      </c>
      <c r="K6" s="289" t="s">
        <v>1887</v>
      </c>
      <c r="L6" s="289" t="s">
        <v>1888</v>
      </c>
      <c r="M6" s="289" t="s">
        <v>1889</v>
      </c>
      <c r="N6" s="289" t="s">
        <v>1890</v>
      </c>
      <c r="O6" s="289" t="s">
        <v>1891</v>
      </c>
      <c r="P6" s="289" t="s">
        <v>1892</v>
      </c>
      <c r="Q6" s="289" t="s">
        <v>1893</v>
      </c>
      <c r="R6" s="289" t="s">
        <v>1894</v>
      </c>
      <c r="S6" s="289" t="s">
        <v>1895</v>
      </c>
      <c r="T6" s="289" t="s">
        <v>1896</v>
      </c>
      <c r="U6" s="289" t="s">
        <v>1897</v>
      </c>
      <c r="V6" s="289" t="s">
        <v>1898</v>
      </c>
      <c r="W6" s="289" t="s">
        <v>1899</v>
      </c>
      <c r="X6" s="289" t="s">
        <v>1900</v>
      </c>
      <c r="Y6" s="289" t="s">
        <v>1901</v>
      </c>
      <c r="Z6" s="289" t="s">
        <v>1902</v>
      </c>
      <c r="AA6" s="289" t="s">
        <v>1903</v>
      </c>
      <c r="AB6" s="289" t="s">
        <v>1904</v>
      </c>
      <c r="AC6" s="289" t="s">
        <v>1905</v>
      </c>
      <c r="AD6" s="289" t="s">
        <v>1906</v>
      </c>
      <c r="AE6" s="289" t="s">
        <v>1907</v>
      </c>
      <c r="AF6" s="287"/>
      <c r="AG6" s="289" t="s">
        <v>1658</v>
      </c>
      <c r="AH6" s="288"/>
    </row>
    <row r="7" spans="1:36" ht="20.100000000000001" customHeight="1">
      <c r="A7" s="285" t="s">
        <v>57</v>
      </c>
      <c r="B7" s="289" t="s">
        <v>1908</v>
      </c>
      <c r="C7" s="289" t="s">
        <v>1909</v>
      </c>
      <c r="D7" s="289" t="s">
        <v>1910</v>
      </c>
      <c r="E7" s="289" t="s">
        <v>1911</v>
      </c>
      <c r="F7" s="289" t="s">
        <v>1912</v>
      </c>
      <c r="G7" s="289" t="s">
        <v>1913</v>
      </c>
      <c r="H7" s="289" t="s">
        <v>1914</v>
      </c>
      <c r="I7" s="289" t="s">
        <v>1915</v>
      </c>
      <c r="J7" s="289" t="s">
        <v>1916</v>
      </c>
      <c r="K7" s="289" t="s">
        <v>1917</v>
      </c>
      <c r="L7" s="289" t="s">
        <v>1918</v>
      </c>
      <c r="M7" s="289" t="s">
        <v>1919</v>
      </c>
      <c r="N7" s="289" t="s">
        <v>1920</v>
      </c>
      <c r="O7" s="289" t="s">
        <v>1921</v>
      </c>
      <c r="P7" s="289" t="s">
        <v>1922</v>
      </c>
      <c r="Q7" s="289" t="s">
        <v>1923</v>
      </c>
      <c r="R7" s="289" t="s">
        <v>1924</v>
      </c>
      <c r="S7" s="289" t="s">
        <v>1925</v>
      </c>
      <c r="T7" s="289" t="s">
        <v>1926</v>
      </c>
      <c r="U7" s="289" t="s">
        <v>1927</v>
      </c>
      <c r="V7" s="289" t="s">
        <v>1928</v>
      </c>
      <c r="W7" s="289" t="s">
        <v>1929</v>
      </c>
      <c r="X7" s="289" t="s">
        <v>1930</v>
      </c>
      <c r="Y7" s="289" t="s">
        <v>1931</v>
      </c>
      <c r="Z7" s="289" t="s">
        <v>1932</v>
      </c>
      <c r="AA7" s="289" t="s">
        <v>1933</v>
      </c>
      <c r="AB7" s="289" t="s">
        <v>1934</v>
      </c>
      <c r="AC7" s="289" t="s">
        <v>1935</v>
      </c>
      <c r="AD7" s="289" t="s">
        <v>1936</v>
      </c>
      <c r="AE7" s="289" t="s">
        <v>1937</v>
      </c>
      <c r="AF7" s="287"/>
      <c r="AG7" s="289" t="s">
        <v>1688</v>
      </c>
      <c r="AH7" s="288"/>
    </row>
    <row r="8" spans="1:36" ht="20.100000000000001" customHeight="1">
      <c r="A8" s="285" t="s">
        <v>58</v>
      </c>
      <c r="B8" s="289" t="s">
        <v>1716</v>
      </c>
      <c r="C8" s="289" t="s">
        <v>1716</v>
      </c>
      <c r="D8" s="289" t="s">
        <v>1716</v>
      </c>
      <c r="E8" s="289" t="s">
        <v>1938</v>
      </c>
      <c r="F8" s="289" t="s">
        <v>1939</v>
      </c>
      <c r="G8" s="289" t="s">
        <v>1940</v>
      </c>
      <c r="H8" s="289" t="s">
        <v>1941</v>
      </c>
      <c r="I8" s="289" t="s">
        <v>1942</v>
      </c>
      <c r="J8" s="289" t="s">
        <v>1943</v>
      </c>
      <c r="K8" s="289" t="s">
        <v>1944</v>
      </c>
      <c r="L8" s="289" t="s">
        <v>1945</v>
      </c>
      <c r="M8" s="289" t="s">
        <v>1946</v>
      </c>
      <c r="N8" s="289" t="s">
        <v>1947</v>
      </c>
      <c r="O8" s="289" t="s">
        <v>1948</v>
      </c>
      <c r="P8" s="289" t="s">
        <v>1949</v>
      </c>
      <c r="Q8" s="289" t="s">
        <v>1950</v>
      </c>
      <c r="R8" s="289" t="s">
        <v>1951</v>
      </c>
      <c r="S8" s="289" t="s">
        <v>1952</v>
      </c>
      <c r="T8" s="289" t="s">
        <v>1953</v>
      </c>
      <c r="U8" s="289" t="s">
        <v>1954</v>
      </c>
      <c r="V8" s="289" t="s">
        <v>1955</v>
      </c>
      <c r="W8" s="289" t="s">
        <v>1956</v>
      </c>
      <c r="X8" s="289" t="s">
        <v>1957</v>
      </c>
      <c r="Y8" s="289" t="s">
        <v>1958</v>
      </c>
      <c r="Z8" s="289" t="s">
        <v>1959</v>
      </c>
      <c r="AA8" s="289" t="s">
        <v>1959</v>
      </c>
      <c r="AB8" s="289" t="s">
        <v>1959</v>
      </c>
      <c r="AC8" s="289" t="s">
        <v>1959</v>
      </c>
      <c r="AD8" s="289" t="s">
        <v>1959</v>
      </c>
      <c r="AE8" s="289" t="s">
        <v>1959</v>
      </c>
      <c r="AF8" s="287"/>
      <c r="AG8" s="289" t="s">
        <v>1716</v>
      </c>
      <c r="AH8" s="288"/>
    </row>
    <row r="9" spans="1:36" ht="20.100000000000001" customHeight="1">
      <c r="A9" s="285" t="s">
        <v>59</v>
      </c>
      <c r="B9" s="289" t="s">
        <v>1960</v>
      </c>
      <c r="C9" s="289" t="s">
        <v>1961</v>
      </c>
      <c r="D9" s="289" t="s">
        <v>1962</v>
      </c>
      <c r="E9" s="289" t="s">
        <v>1963</v>
      </c>
      <c r="F9" s="289" t="s">
        <v>1964</v>
      </c>
      <c r="G9" s="289" t="s">
        <v>1965</v>
      </c>
      <c r="H9" s="289" t="s">
        <v>1966</v>
      </c>
      <c r="I9" s="289" t="s">
        <v>1967</v>
      </c>
      <c r="J9" s="289" t="s">
        <v>1968</v>
      </c>
      <c r="K9" s="289" t="s">
        <v>1969</v>
      </c>
      <c r="L9" s="289" t="s">
        <v>1970</v>
      </c>
      <c r="M9" s="289" t="s">
        <v>1971</v>
      </c>
      <c r="N9" s="289" t="s">
        <v>1972</v>
      </c>
      <c r="O9" s="289" t="s">
        <v>1973</v>
      </c>
      <c r="P9" s="289" t="s">
        <v>1974</v>
      </c>
      <c r="Q9" s="289" t="s">
        <v>1975</v>
      </c>
      <c r="R9" s="289" t="s">
        <v>1976</v>
      </c>
      <c r="S9" s="289" t="s">
        <v>1977</v>
      </c>
      <c r="T9" s="289" t="s">
        <v>1978</v>
      </c>
      <c r="U9" s="289" t="s">
        <v>1979</v>
      </c>
      <c r="V9" s="289" t="s">
        <v>1980</v>
      </c>
      <c r="W9" s="289" t="s">
        <v>1981</v>
      </c>
      <c r="X9" s="289" t="s">
        <v>1982</v>
      </c>
      <c r="Y9" s="289" t="s">
        <v>1983</v>
      </c>
      <c r="Z9" s="289" t="s">
        <v>1984</v>
      </c>
      <c r="AA9" s="289" t="s">
        <v>1985</v>
      </c>
      <c r="AB9" s="289" t="s">
        <v>1986</v>
      </c>
      <c r="AC9" s="289" t="s">
        <v>1987</v>
      </c>
      <c r="AD9" s="289" t="s">
        <v>1988</v>
      </c>
      <c r="AE9" s="289" t="s">
        <v>1989</v>
      </c>
      <c r="AF9" s="290"/>
      <c r="AG9" s="289" t="s">
        <v>1746</v>
      </c>
      <c r="AH9" s="288"/>
    </row>
    <row r="10" spans="1:36" ht="20.100000000000001" customHeight="1">
      <c r="A10" s="285" t="s">
        <v>60</v>
      </c>
      <c r="B10" s="289" t="s">
        <v>1990</v>
      </c>
      <c r="C10" s="289" t="s">
        <v>1991</v>
      </c>
      <c r="D10" s="289" t="s">
        <v>1992</v>
      </c>
      <c r="E10" s="289" t="s">
        <v>1993</v>
      </c>
      <c r="F10" s="289" t="s">
        <v>1994</v>
      </c>
      <c r="G10" s="289" t="s">
        <v>1995</v>
      </c>
      <c r="H10" s="289" t="s">
        <v>1996</v>
      </c>
      <c r="I10" s="289" t="s">
        <v>1997</v>
      </c>
      <c r="J10" s="289" t="s">
        <v>1998</v>
      </c>
      <c r="K10" s="289" t="s">
        <v>1999</v>
      </c>
      <c r="L10" s="289" t="s">
        <v>2000</v>
      </c>
      <c r="M10" s="289" t="s">
        <v>2001</v>
      </c>
      <c r="N10" s="289" t="s">
        <v>2002</v>
      </c>
      <c r="O10" s="289" t="s">
        <v>2003</v>
      </c>
      <c r="P10" s="289" t="s">
        <v>2004</v>
      </c>
      <c r="Q10" s="289" t="s">
        <v>2005</v>
      </c>
      <c r="R10" s="289" t="s">
        <v>2006</v>
      </c>
      <c r="S10" s="289" t="s">
        <v>2007</v>
      </c>
      <c r="T10" s="289" t="s">
        <v>2008</v>
      </c>
      <c r="U10" s="289" t="s">
        <v>2009</v>
      </c>
      <c r="V10" s="289" t="s">
        <v>2010</v>
      </c>
      <c r="W10" s="289" t="s">
        <v>2011</v>
      </c>
      <c r="X10" s="289" t="s">
        <v>2012</v>
      </c>
      <c r="Y10" s="289" t="s">
        <v>2013</v>
      </c>
      <c r="Z10" s="289" t="s">
        <v>2014</v>
      </c>
      <c r="AA10" s="289" t="s">
        <v>2015</v>
      </c>
      <c r="AB10" s="289" t="s">
        <v>2016</v>
      </c>
      <c r="AC10" s="289" t="s">
        <v>2017</v>
      </c>
      <c r="AD10" s="289" t="s">
        <v>2018</v>
      </c>
      <c r="AE10" s="289" t="s">
        <v>2019</v>
      </c>
      <c r="AF10" s="287"/>
      <c r="AG10" s="289" t="s">
        <v>1777</v>
      </c>
      <c r="AH10" s="288"/>
    </row>
    <row r="11" spans="1:36" ht="22.5" customHeight="1">
      <c r="A11" s="285" t="s">
        <v>61</v>
      </c>
      <c r="B11" s="289" t="s">
        <v>2020</v>
      </c>
      <c r="C11" s="289" t="s">
        <v>2021</v>
      </c>
      <c r="D11" s="289" t="s">
        <v>2022</v>
      </c>
      <c r="E11" s="289" t="s">
        <v>2023</v>
      </c>
      <c r="F11" s="289" t="s">
        <v>2024</v>
      </c>
      <c r="G11" s="289" t="s">
        <v>2025</v>
      </c>
      <c r="H11" s="289" t="s">
        <v>2026</v>
      </c>
      <c r="I11" s="289" t="s">
        <v>2027</v>
      </c>
      <c r="J11" s="289" t="s">
        <v>2028</v>
      </c>
      <c r="K11" s="289" t="s">
        <v>2029</v>
      </c>
      <c r="L11" s="289" t="s">
        <v>2030</v>
      </c>
      <c r="M11" s="289" t="s">
        <v>2031</v>
      </c>
      <c r="N11" s="289" t="s">
        <v>2032</v>
      </c>
      <c r="O11" s="289" t="s">
        <v>2033</v>
      </c>
      <c r="P11" s="289" t="s">
        <v>2034</v>
      </c>
      <c r="Q11" s="289" t="s">
        <v>2035</v>
      </c>
      <c r="R11" s="289" t="s">
        <v>2036</v>
      </c>
      <c r="S11" s="289" t="s">
        <v>2037</v>
      </c>
      <c r="T11" s="289" t="s">
        <v>2038</v>
      </c>
      <c r="U11" s="289" t="s">
        <v>2039</v>
      </c>
      <c r="V11" s="289" t="s">
        <v>2040</v>
      </c>
      <c r="W11" s="289" t="s">
        <v>2041</v>
      </c>
      <c r="X11" s="289" t="s">
        <v>2042</v>
      </c>
      <c r="Y11" s="289" t="s">
        <v>2043</v>
      </c>
      <c r="Z11" s="289" t="s">
        <v>2044</v>
      </c>
      <c r="AA11" s="289" t="s">
        <v>2045</v>
      </c>
      <c r="AB11" s="289" t="s">
        <v>2046</v>
      </c>
      <c r="AC11" s="289" t="s">
        <v>2047</v>
      </c>
      <c r="AD11" s="289" t="s">
        <v>2048</v>
      </c>
      <c r="AE11" s="289" t="s">
        <v>2049</v>
      </c>
      <c r="AF11" s="287"/>
      <c r="AG11" s="289" t="s">
        <v>1808</v>
      </c>
      <c r="AH11" s="288"/>
    </row>
    <row r="12" spans="1:36" s="294" customFormat="1" ht="18" customHeight="1">
      <c r="A12" s="291" t="s">
        <v>62</v>
      </c>
      <c r="B12" s="292"/>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3"/>
      <c r="AG12" s="292"/>
    </row>
    <row r="13" spans="1:36">
      <c r="A13" s="282" t="s">
        <v>63</v>
      </c>
      <c r="B13" s="295" t="s">
        <v>64</v>
      </c>
      <c r="C13" s="295" t="s">
        <v>64</v>
      </c>
      <c r="D13" s="295" t="s">
        <v>64</v>
      </c>
      <c r="E13" s="295" t="s">
        <v>64</v>
      </c>
      <c r="F13" s="295" t="s">
        <v>64</v>
      </c>
      <c r="G13" s="295" t="s">
        <v>64</v>
      </c>
      <c r="H13" s="295" t="s">
        <v>64</v>
      </c>
      <c r="I13" s="295" t="s">
        <v>64</v>
      </c>
      <c r="J13" s="295" t="s">
        <v>64</v>
      </c>
      <c r="K13" s="295" t="s">
        <v>64</v>
      </c>
      <c r="L13" s="295" t="s">
        <v>64</v>
      </c>
      <c r="M13" s="295" t="s">
        <v>64</v>
      </c>
      <c r="N13" s="295" t="s">
        <v>64</v>
      </c>
      <c r="O13" s="295" t="s">
        <v>64</v>
      </c>
      <c r="P13" s="295" t="s">
        <v>64</v>
      </c>
      <c r="Q13" s="295" t="s">
        <v>64</v>
      </c>
      <c r="R13" s="295" t="s">
        <v>64</v>
      </c>
      <c r="S13" s="295" t="s">
        <v>64</v>
      </c>
      <c r="T13" s="295" t="s">
        <v>64</v>
      </c>
      <c r="U13" s="295" t="s">
        <v>64</v>
      </c>
      <c r="V13" s="295" t="s">
        <v>64</v>
      </c>
      <c r="W13" s="295" t="s">
        <v>64</v>
      </c>
      <c r="X13" s="295" t="s">
        <v>64</v>
      </c>
      <c r="Y13" s="295" t="s">
        <v>64</v>
      </c>
      <c r="Z13" s="295" t="s">
        <v>64</v>
      </c>
      <c r="AA13" s="295" t="s">
        <v>64</v>
      </c>
      <c r="AB13" s="295" t="s">
        <v>64</v>
      </c>
      <c r="AC13" s="295" t="s">
        <v>64</v>
      </c>
      <c r="AD13" s="295" t="s">
        <v>64</v>
      </c>
      <c r="AE13" s="295" t="s">
        <v>64</v>
      </c>
      <c r="AF13" s="296"/>
      <c r="AG13" s="295" t="s">
        <v>64</v>
      </c>
    </row>
    <row r="14" spans="1:36">
      <c r="A14" s="282" t="s">
        <v>995</v>
      </c>
      <c r="B14" s="297">
        <v>329471</v>
      </c>
      <c r="C14" s="297">
        <v>329471</v>
      </c>
      <c r="D14" s="297">
        <v>329471</v>
      </c>
      <c r="E14" s="297">
        <v>330069</v>
      </c>
      <c r="F14" s="297">
        <v>330069</v>
      </c>
      <c r="G14" s="297">
        <v>330069</v>
      </c>
      <c r="H14" s="297">
        <v>330069</v>
      </c>
      <c r="I14" s="297">
        <v>330069</v>
      </c>
      <c r="J14" s="297">
        <v>330069</v>
      </c>
      <c r="K14" s="297">
        <v>330069</v>
      </c>
      <c r="L14" s="297">
        <v>330595</v>
      </c>
      <c r="M14" s="297">
        <v>330595</v>
      </c>
      <c r="N14" s="297">
        <v>330595</v>
      </c>
      <c r="O14" s="297">
        <v>330595</v>
      </c>
      <c r="P14" s="297">
        <v>330595</v>
      </c>
      <c r="Q14" s="297">
        <v>330595</v>
      </c>
      <c r="R14" s="297">
        <v>330595</v>
      </c>
      <c r="S14" s="297">
        <v>331131</v>
      </c>
      <c r="T14" s="297">
        <v>331131</v>
      </c>
      <c r="U14" s="297">
        <v>331131</v>
      </c>
      <c r="V14" s="297">
        <v>331131</v>
      </c>
      <c r="W14" s="297">
        <v>331131</v>
      </c>
      <c r="X14" s="297">
        <v>331131</v>
      </c>
      <c r="Y14" s="297">
        <v>331131</v>
      </c>
      <c r="Z14" s="297">
        <v>331885</v>
      </c>
      <c r="AA14" s="297">
        <v>331885</v>
      </c>
      <c r="AB14" s="297">
        <v>331885</v>
      </c>
      <c r="AC14" s="297">
        <v>331885</v>
      </c>
      <c r="AD14" s="297">
        <v>331885</v>
      </c>
      <c r="AE14" s="297">
        <v>331885</v>
      </c>
      <c r="AF14" s="298">
        <f>AE14-AG14</f>
        <v>2414</v>
      </c>
      <c r="AG14" s="297">
        <v>329471</v>
      </c>
      <c r="AH14" s="299">
        <v>2414</v>
      </c>
      <c r="AI14" s="299"/>
      <c r="AJ14" s="300"/>
    </row>
    <row r="15" spans="1:36" ht="25.5">
      <c r="A15" s="282" t="s">
        <v>67</v>
      </c>
      <c r="B15" s="297">
        <v>7747</v>
      </c>
      <c r="C15" s="297">
        <v>7751</v>
      </c>
      <c r="D15" s="297">
        <v>7751</v>
      </c>
      <c r="E15" s="297">
        <v>7751</v>
      </c>
      <c r="F15" s="297">
        <v>7751</v>
      </c>
      <c r="G15" s="297">
        <v>7751</v>
      </c>
      <c r="H15" s="297">
        <v>7751</v>
      </c>
      <c r="I15" s="297">
        <v>7751</v>
      </c>
      <c r="J15" s="297">
        <v>7751</v>
      </c>
      <c r="K15" s="297">
        <v>7751</v>
      </c>
      <c r="L15" s="297">
        <v>7751</v>
      </c>
      <c r="M15" s="297">
        <v>7751</v>
      </c>
      <c r="N15" s="297">
        <v>7751</v>
      </c>
      <c r="O15" s="297">
        <v>7751</v>
      </c>
      <c r="P15" s="297">
        <v>7751</v>
      </c>
      <c r="Q15" s="297">
        <v>7751</v>
      </c>
      <c r="R15" s="297">
        <v>7757</v>
      </c>
      <c r="S15" s="297">
        <v>7758</v>
      </c>
      <c r="T15" s="297">
        <v>7759</v>
      </c>
      <c r="U15" s="297">
        <v>7762</v>
      </c>
      <c r="V15" s="297">
        <v>7767</v>
      </c>
      <c r="W15" s="297">
        <v>7770</v>
      </c>
      <c r="X15" s="297">
        <v>7773</v>
      </c>
      <c r="Y15" s="297">
        <v>7774</v>
      </c>
      <c r="Z15" s="297">
        <v>7775</v>
      </c>
      <c r="AA15" s="297">
        <v>7778</v>
      </c>
      <c r="AB15" s="297">
        <v>7780</v>
      </c>
      <c r="AC15" s="297">
        <v>7784</v>
      </c>
      <c r="AD15" s="297">
        <v>7787</v>
      </c>
      <c r="AE15" s="297">
        <v>7788</v>
      </c>
      <c r="AF15" s="298">
        <f t="shared" ref="AF15:AF34" si="0">AE15-AG15</f>
        <v>41</v>
      </c>
      <c r="AG15" s="297">
        <v>7747</v>
      </c>
      <c r="AI15" s="299"/>
      <c r="AJ15" s="302"/>
    </row>
    <row r="16" spans="1:36" ht="25.5">
      <c r="A16" s="282" t="s">
        <v>68</v>
      </c>
      <c r="B16" s="297">
        <v>12465</v>
      </c>
      <c r="C16" s="297">
        <v>12465</v>
      </c>
      <c r="D16" s="297">
        <v>12465</v>
      </c>
      <c r="E16" s="297">
        <v>12524</v>
      </c>
      <c r="F16" s="297">
        <v>12525</v>
      </c>
      <c r="G16" s="297">
        <v>12525</v>
      </c>
      <c r="H16" s="297">
        <v>12525</v>
      </c>
      <c r="I16" s="297">
        <v>12525</v>
      </c>
      <c r="J16" s="297">
        <v>12525</v>
      </c>
      <c r="K16" s="297">
        <v>12525</v>
      </c>
      <c r="L16" s="297">
        <v>12525</v>
      </c>
      <c r="M16" s="297">
        <v>12525</v>
      </c>
      <c r="N16" s="297">
        <v>12525</v>
      </c>
      <c r="O16" s="297">
        <v>12525</v>
      </c>
      <c r="P16" s="297">
        <v>12525</v>
      </c>
      <c r="Q16" s="297">
        <v>12525</v>
      </c>
      <c r="R16" s="297">
        <v>12525</v>
      </c>
      <c r="S16" s="297">
        <v>12525</v>
      </c>
      <c r="T16" s="297">
        <v>12525</v>
      </c>
      <c r="U16" s="297">
        <v>12525</v>
      </c>
      <c r="V16" s="297">
        <v>12525</v>
      </c>
      <c r="W16" s="297">
        <v>12620</v>
      </c>
      <c r="X16" s="297">
        <v>12692</v>
      </c>
      <c r="Y16" s="297">
        <v>12735</v>
      </c>
      <c r="Z16" s="297">
        <v>12735</v>
      </c>
      <c r="AA16" s="297">
        <v>12735</v>
      </c>
      <c r="AB16" s="297">
        <v>12735</v>
      </c>
      <c r="AC16" s="297">
        <v>12735</v>
      </c>
      <c r="AD16" s="297">
        <v>12735</v>
      </c>
      <c r="AE16" s="297">
        <v>12735</v>
      </c>
      <c r="AF16" s="298">
        <f t="shared" si="0"/>
        <v>270</v>
      </c>
      <c r="AG16" s="297">
        <v>12465</v>
      </c>
      <c r="AI16" s="299"/>
      <c r="AJ16" s="302"/>
    </row>
    <row r="17" spans="1:36" ht="20.100000000000001" customHeight="1">
      <c r="A17" s="303"/>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8">
        <f t="shared" si="0"/>
        <v>0</v>
      </c>
      <c r="AG17" s="292"/>
      <c r="AJ17" s="302"/>
    </row>
    <row r="18" spans="1:36">
      <c r="A18" s="282" t="s">
        <v>69</v>
      </c>
      <c r="B18" s="295" t="s">
        <v>64</v>
      </c>
      <c r="C18" s="295" t="s">
        <v>64</v>
      </c>
      <c r="D18" s="295" t="s">
        <v>64</v>
      </c>
      <c r="E18" s="295" t="s">
        <v>64</v>
      </c>
      <c r="F18" s="295" t="s">
        <v>64</v>
      </c>
      <c r="G18" s="295" t="s">
        <v>64</v>
      </c>
      <c r="H18" s="295" t="s">
        <v>64</v>
      </c>
      <c r="I18" s="295" t="s">
        <v>64</v>
      </c>
      <c r="J18" s="295" t="s">
        <v>64</v>
      </c>
      <c r="K18" s="295" t="s">
        <v>64</v>
      </c>
      <c r="L18" s="295" t="s">
        <v>64</v>
      </c>
      <c r="M18" s="295" t="s">
        <v>64</v>
      </c>
      <c r="N18" s="295" t="s">
        <v>64</v>
      </c>
      <c r="O18" s="295" t="s">
        <v>64</v>
      </c>
      <c r="P18" s="295" t="s">
        <v>64</v>
      </c>
      <c r="Q18" s="295" t="s">
        <v>64</v>
      </c>
      <c r="R18" s="295" t="s">
        <v>64</v>
      </c>
      <c r="S18" s="295" t="s">
        <v>64</v>
      </c>
      <c r="T18" s="295" t="s">
        <v>64</v>
      </c>
      <c r="U18" s="295" t="s">
        <v>64</v>
      </c>
      <c r="V18" s="295" t="s">
        <v>64</v>
      </c>
      <c r="W18" s="295" t="s">
        <v>64</v>
      </c>
      <c r="X18" s="295" t="s">
        <v>64</v>
      </c>
      <c r="Y18" s="295" t="s">
        <v>64</v>
      </c>
      <c r="Z18" s="295" t="s">
        <v>64</v>
      </c>
      <c r="AA18" s="295" t="s">
        <v>64</v>
      </c>
      <c r="AB18" s="295" t="s">
        <v>64</v>
      </c>
      <c r="AC18" s="295" t="s">
        <v>64</v>
      </c>
      <c r="AD18" s="295" t="s">
        <v>64</v>
      </c>
      <c r="AE18" s="295" t="s">
        <v>64</v>
      </c>
      <c r="AF18" s="298" t="e">
        <f t="shared" si="0"/>
        <v>#VALUE!</v>
      </c>
      <c r="AG18" s="295" t="s">
        <v>64</v>
      </c>
      <c r="AJ18" s="171"/>
    </row>
    <row r="19" spans="1:36" ht="25.5">
      <c r="A19" s="282" t="s">
        <v>70</v>
      </c>
      <c r="B19" s="306">
        <v>76934</v>
      </c>
      <c r="C19" s="306">
        <v>76946</v>
      </c>
      <c r="D19" s="306">
        <v>76972</v>
      </c>
      <c r="E19" s="306">
        <v>76972</v>
      </c>
      <c r="F19" s="306">
        <v>76986</v>
      </c>
      <c r="G19" s="306">
        <v>76998</v>
      </c>
      <c r="H19" s="306">
        <v>77061</v>
      </c>
      <c r="I19" s="306">
        <v>77076</v>
      </c>
      <c r="J19" s="306">
        <v>77083</v>
      </c>
      <c r="K19" s="306">
        <v>77112</v>
      </c>
      <c r="L19" s="306">
        <v>77112</v>
      </c>
      <c r="M19" s="306">
        <v>77116</v>
      </c>
      <c r="N19" s="306">
        <v>77129</v>
      </c>
      <c r="O19" s="306">
        <v>77140</v>
      </c>
      <c r="P19" s="306">
        <v>77160</v>
      </c>
      <c r="Q19" s="306">
        <v>77181</v>
      </c>
      <c r="R19" s="306">
        <v>77208</v>
      </c>
      <c r="S19" s="306">
        <v>77208</v>
      </c>
      <c r="T19" s="306">
        <v>77223</v>
      </c>
      <c r="U19" s="306">
        <v>77226</v>
      </c>
      <c r="V19" s="306">
        <v>77226</v>
      </c>
      <c r="W19" s="306">
        <v>77226</v>
      </c>
      <c r="X19" s="306">
        <v>77300</v>
      </c>
      <c r="Y19" s="306">
        <v>77327</v>
      </c>
      <c r="Z19" s="306">
        <v>77327</v>
      </c>
      <c r="AA19" s="306">
        <v>77327</v>
      </c>
      <c r="AB19" s="306">
        <v>77327</v>
      </c>
      <c r="AC19" s="306">
        <v>77368</v>
      </c>
      <c r="AD19" s="306">
        <v>77382</v>
      </c>
      <c r="AE19" s="306">
        <v>77392</v>
      </c>
      <c r="AF19" s="298">
        <f t="shared" si="0"/>
        <v>466</v>
      </c>
      <c r="AG19" s="306">
        <v>76926</v>
      </c>
      <c r="AH19" s="307">
        <v>466</v>
      </c>
      <c r="AI19" s="307"/>
      <c r="AJ19" s="300"/>
    </row>
    <row r="20" spans="1:36" ht="25.5">
      <c r="A20" s="282" t="s">
        <v>71</v>
      </c>
      <c r="B20" s="297" t="s">
        <v>1815</v>
      </c>
      <c r="C20" s="297" t="s">
        <v>1815</v>
      </c>
      <c r="D20" s="297" t="s">
        <v>1815</v>
      </c>
      <c r="E20" s="297" t="s">
        <v>1815</v>
      </c>
      <c r="F20" s="297" t="s">
        <v>1815</v>
      </c>
      <c r="G20" s="297" t="s">
        <v>1815</v>
      </c>
      <c r="H20" s="297" t="s">
        <v>2050</v>
      </c>
      <c r="I20" s="297" t="s">
        <v>2050</v>
      </c>
      <c r="J20" s="297" t="s">
        <v>2050</v>
      </c>
      <c r="K20" s="297" t="s">
        <v>2051</v>
      </c>
      <c r="L20" s="297" t="s">
        <v>2051</v>
      </c>
      <c r="M20" s="297" t="s">
        <v>2051</v>
      </c>
      <c r="N20" s="297" t="s">
        <v>2051</v>
      </c>
      <c r="O20" s="297" t="s">
        <v>2051</v>
      </c>
      <c r="P20" s="297" t="s">
        <v>2052</v>
      </c>
      <c r="Q20" s="297" t="s">
        <v>2053</v>
      </c>
      <c r="R20" s="297" t="s">
        <v>2054</v>
      </c>
      <c r="S20" s="297" t="s">
        <v>2054</v>
      </c>
      <c r="T20" s="297" t="s">
        <v>2055</v>
      </c>
      <c r="U20" s="297" t="s">
        <v>2056</v>
      </c>
      <c r="V20" s="297" t="s">
        <v>2056</v>
      </c>
      <c r="W20" s="297" t="s">
        <v>2057</v>
      </c>
      <c r="X20" s="297" t="s">
        <v>2057</v>
      </c>
      <c r="Y20" s="297" t="s">
        <v>2057</v>
      </c>
      <c r="Z20" s="297" t="s">
        <v>2057</v>
      </c>
      <c r="AA20" s="297" t="s">
        <v>2057</v>
      </c>
      <c r="AB20" s="297" t="s">
        <v>2057</v>
      </c>
      <c r="AC20" s="297" t="s">
        <v>2058</v>
      </c>
      <c r="AD20" s="297" t="s">
        <v>2059</v>
      </c>
      <c r="AE20" s="297" t="s">
        <v>2059</v>
      </c>
      <c r="AF20" s="298" t="e">
        <f t="shared" si="0"/>
        <v>#VALUE!</v>
      </c>
      <c r="AG20" s="297" t="s">
        <v>1815</v>
      </c>
      <c r="AI20" s="307"/>
      <c r="AJ20" s="190"/>
    </row>
    <row r="21" spans="1:36">
      <c r="A21" s="282" t="s">
        <v>72</v>
      </c>
      <c r="B21" s="297">
        <v>170777</v>
      </c>
      <c r="C21" s="297">
        <v>170777</v>
      </c>
      <c r="D21" s="297">
        <v>170777</v>
      </c>
      <c r="E21" s="297">
        <v>172060</v>
      </c>
      <c r="F21" s="297">
        <v>172060</v>
      </c>
      <c r="G21" s="297">
        <v>172060</v>
      </c>
      <c r="H21" s="297">
        <v>172060</v>
      </c>
      <c r="I21" s="297">
        <v>172060</v>
      </c>
      <c r="J21" s="297">
        <v>172060</v>
      </c>
      <c r="K21" s="297">
        <v>172060</v>
      </c>
      <c r="L21" s="297">
        <v>173114</v>
      </c>
      <c r="M21" s="297">
        <v>173114</v>
      </c>
      <c r="N21" s="297">
        <v>173114</v>
      </c>
      <c r="O21" s="297">
        <v>173114</v>
      </c>
      <c r="P21" s="297">
        <v>173114</v>
      </c>
      <c r="Q21" s="297">
        <v>173114</v>
      </c>
      <c r="R21" s="297">
        <v>173114</v>
      </c>
      <c r="S21" s="297">
        <v>174076</v>
      </c>
      <c r="T21" s="297">
        <v>174076</v>
      </c>
      <c r="U21" s="297">
        <v>174076</v>
      </c>
      <c r="V21" s="297">
        <v>174076</v>
      </c>
      <c r="W21" s="297">
        <v>174076</v>
      </c>
      <c r="X21" s="297">
        <v>174076</v>
      </c>
      <c r="Y21" s="297">
        <v>174076</v>
      </c>
      <c r="Z21" s="297">
        <v>174730</v>
      </c>
      <c r="AA21" s="297">
        <v>174730</v>
      </c>
      <c r="AB21" s="297">
        <v>174730</v>
      </c>
      <c r="AC21" s="297">
        <v>174730</v>
      </c>
      <c r="AD21" s="297">
        <v>174730</v>
      </c>
      <c r="AE21" s="297">
        <v>174730</v>
      </c>
      <c r="AF21" s="298">
        <f t="shared" si="0"/>
        <v>3953</v>
      </c>
      <c r="AG21" s="297">
        <v>170777</v>
      </c>
      <c r="AH21" s="144">
        <v>3953</v>
      </c>
      <c r="AI21" s="307"/>
      <c r="AJ21" s="308"/>
    </row>
    <row r="22" spans="1:36">
      <c r="A22" s="282" t="s">
        <v>73</v>
      </c>
      <c r="B22" s="297">
        <v>203406</v>
      </c>
      <c r="C22" s="297">
        <v>203454</v>
      </c>
      <c r="D22" s="297">
        <v>203534</v>
      </c>
      <c r="E22" s="297">
        <v>203578</v>
      </c>
      <c r="F22" s="297">
        <v>203620</v>
      </c>
      <c r="G22" s="297">
        <v>203668</v>
      </c>
      <c r="H22" s="297">
        <v>203708</v>
      </c>
      <c r="I22" s="297">
        <v>203758</v>
      </c>
      <c r="J22" s="297">
        <v>203797</v>
      </c>
      <c r="K22" s="297">
        <v>203837</v>
      </c>
      <c r="L22" s="297">
        <v>203876</v>
      </c>
      <c r="M22" s="297">
        <v>203923</v>
      </c>
      <c r="N22" s="297">
        <v>203964</v>
      </c>
      <c r="O22" s="297">
        <v>204012</v>
      </c>
      <c r="P22" s="297">
        <v>204052</v>
      </c>
      <c r="Q22" s="297">
        <v>204092</v>
      </c>
      <c r="R22" s="297">
        <v>204138</v>
      </c>
      <c r="S22" s="297">
        <v>204175</v>
      </c>
      <c r="T22" s="297">
        <v>204210</v>
      </c>
      <c r="U22" s="297">
        <v>204254</v>
      </c>
      <c r="V22" s="297">
        <v>204289</v>
      </c>
      <c r="W22" s="297">
        <v>204335</v>
      </c>
      <c r="X22" s="297">
        <v>204382</v>
      </c>
      <c r="Y22" s="297">
        <v>204416</v>
      </c>
      <c r="Z22" s="297">
        <v>204449</v>
      </c>
      <c r="AA22" s="297">
        <v>204487</v>
      </c>
      <c r="AB22" s="297">
        <v>204528</v>
      </c>
      <c r="AC22" s="297">
        <v>204563</v>
      </c>
      <c r="AD22" s="297">
        <v>204608</v>
      </c>
      <c r="AE22" s="297">
        <v>204643</v>
      </c>
      <c r="AF22" s="298">
        <f t="shared" si="0"/>
        <v>1282</v>
      </c>
      <c r="AG22" s="297">
        <v>203361</v>
      </c>
      <c r="AH22" s="144">
        <v>1282</v>
      </c>
      <c r="AI22" s="307"/>
      <c r="AJ22" s="190"/>
    </row>
    <row r="23" spans="1:36">
      <c r="A23" s="309" t="s">
        <v>136</v>
      </c>
      <c r="B23" s="297">
        <v>9831</v>
      </c>
      <c r="C23" s="297">
        <v>9831</v>
      </c>
      <c r="D23" s="297">
        <v>9831</v>
      </c>
      <c r="E23" s="297">
        <v>9901</v>
      </c>
      <c r="F23" s="297">
        <v>9901</v>
      </c>
      <c r="G23" s="297">
        <v>9901</v>
      </c>
      <c r="H23" s="297">
        <v>9901</v>
      </c>
      <c r="I23" s="297">
        <v>9901</v>
      </c>
      <c r="J23" s="297">
        <v>9901</v>
      </c>
      <c r="K23" s="297">
        <v>9901</v>
      </c>
      <c r="L23" s="297">
        <v>9976</v>
      </c>
      <c r="M23" s="297">
        <v>9976</v>
      </c>
      <c r="N23" s="297">
        <v>9976</v>
      </c>
      <c r="O23" s="297">
        <v>9976</v>
      </c>
      <c r="P23" s="297">
        <v>9976</v>
      </c>
      <c r="Q23" s="297">
        <v>9976</v>
      </c>
      <c r="R23" s="297">
        <v>9976</v>
      </c>
      <c r="S23" s="297">
        <v>10042</v>
      </c>
      <c r="T23" s="297">
        <v>10042</v>
      </c>
      <c r="U23" s="297">
        <v>10042</v>
      </c>
      <c r="V23" s="297">
        <v>10042</v>
      </c>
      <c r="W23" s="297">
        <v>10042</v>
      </c>
      <c r="X23" s="297">
        <v>10042</v>
      </c>
      <c r="Y23" s="297">
        <v>10042</v>
      </c>
      <c r="Z23" s="297">
        <v>10103</v>
      </c>
      <c r="AA23" s="297">
        <v>10103</v>
      </c>
      <c r="AB23" s="297">
        <v>10103</v>
      </c>
      <c r="AC23" s="297">
        <v>10103</v>
      </c>
      <c r="AD23" s="297">
        <v>10103</v>
      </c>
      <c r="AE23" s="297">
        <v>10103</v>
      </c>
      <c r="AF23" s="298">
        <f t="shared" si="0"/>
        <v>272</v>
      </c>
      <c r="AG23" s="297">
        <v>9831</v>
      </c>
      <c r="AH23" s="144">
        <v>272</v>
      </c>
      <c r="AI23" s="307"/>
      <c r="AJ23" s="190"/>
    </row>
    <row r="24" spans="1:36">
      <c r="A24" s="309" t="s">
        <v>139</v>
      </c>
      <c r="B24" s="297">
        <v>7028</v>
      </c>
      <c r="C24" s="297">
        <v>7028</v>
      </c>
      <c r="D24" s="297">
        <v>7028</v>
      </c>
      <c r="E24" s="297">
        <v>7070</v>
      </c>
      <c r="F24" s="297">
        <v>7070</v>
      </c>
      <c r="G24" s="297">
        <v>7070</v>
      </c>
      <c r="H24" s="297">
        <v>7070</v>
      </c>
      <c r="I24" s="297">
        <v>7070</v>
      </c>
      <c r="J24" s="297">
        <v>7070</v>
      </c>
      <c r="K24" s="297">
        <v>7070</v>
      </c>
      <c r="L24" s="297">
        <v>7070</v>
      </c>
      <c r="M24" s="297">
        <v>7070</v>
      </c>
      <c r="N24" s="297">
        <v>7070</v>
      </c>
      <c r="O24" s="297">
        <v>7070</v>
      </c>
      <c r="P24" s="297">
        <v>7070</v>
      </c>
      <c r="Q24" s="297">
        <v>7070</v>
      </c>
      <c r="R24" s="297">
        <v>7070</v>
      </c>
      <c r="S24" s="297">
        <v>7158</v>
      </c>
      <c r="T24" s="297">
        <v>7158</v>
      </c>
      <c r="U24" s="297">
        <v>7158</v>
      </c>
      <c r="V24" s="297">
        <v>7158</v>
      </c>
      <c r="W24" s="297">
        <v>7158</v>
      </c>
      <c r="X24" s="297">
        <v>7158</v>
      </c>
      <c r="Y24" s="297">
        <v>7158</v>
      </c>
      <c r="Z24" s="297">
        <v>7196</v>
      </c>
      <c r="AA24" s="297">
        <v>7196</v>
      </c>
      <c r="AB24" s="297">
        <v>7196</v>
      </c>
      <c r="AC24" s="297">
        <v>7196</v>
      </c>
      <c r="AD24" s="297">
        <v>7196</v>
      </c>
      <c r="AE24" s="297">
        <v>7196</v>
      </c>
      <c r="AF24" s="298">
        <f t="shared" si="0"/>
        <v>168</v>
      </c>
      <c r="AG24" s="297">
        <v>7028</v>
      </c>
      <c r="AH24" s="144">
        <v>168</v>
      </c>
      <c r="AI24" s="307"/>
      <c r="AJ24" s="190"/>
    </row>
    <row r="25" spans="1:36">
      <c r="A25" s="309" t="s">
        <v>142</v>
      </c>
      <c r="B25" s="297">
        <v>2796</v>
      </c>
      <c r="C25" s="297">
        <v>2796</v>
      </c>
      <c r="D25" s="297">
        <v>2796</v>
      </c>
      <c r="E25" s="297">
        <v>2812</v>
      </c>
      <c r="F25" s="297">
        <v>2812</v>
      </c>
      <c r="G25" s="297">
        <v>2812</v>
      </c>
      <c r="H25" s="297">
        <v>2812</v>
      </c>
      <c r="I25" s="297">
        <v>2812</v>
      </c>
      <c r="J25" s="297">
        <v>2812</v>
      </c>
      <c r="K25" s="297">
        <v>2812</v>
      </c>
      <c r="L25" s="297">
        <v>2834</v>
      </c>
      <c r="M25" s="297">
        <v>2834</v>
      </c>
      <c r="N25" s="297">
        <v>2834</v>
      </c>
      <c r="O25" s="297">
        <v>2834</v>
      </c>
      <c r="P25" s="297">
        <v>2834</v>
      </c>
      <c r="Q25" s="297">
        <v>2834</v>
      </c>
      <c r="R25" s="297">
        <v>2834</v>
      </c>
      <c r="S25" s="297">
        <v>2858</v>
      </c>
      <c r="T25" s="297">
        <v>2858</v>
      </c>
      <c r="U25" s="297">
        <v>2858</v>
      </c>
      <c r="V25" s="297">
        <v>2858</v>
      </c>
      <c r="W25" s="297">
        <v>2858</v>
      </c>
      <c r="X25" s="297">
        <v>2858</v>
      </c>
      <c r="Y25" s="297">
        <v>2858</v>
      </c>
      <c r="Z25" s="297">
        <v>2882</v>
      </c>
      <c r="AA25" s="297">
        <v>2882</v>
      </c>
      <c r="AB25" s="297">
        <v>2882</v>
      </c>
      <c r="AC25" s="297">
        <v>2882</v>
      </c>
      <c r="AD25" s="297">
        <v>2882</v>
      </c>
      <c r="AE25" s="297">
        <v>2882</v>
      </c>
      <c r="AF25" s="298">
        <f t="shared" si="0"/>
        <v>86</v>
      </c>
      <c r="AG25" s="297">
        <v>2796</v>
      </c>
      <c r="AH25" s="144">
        <v>86</v>
      </c>
      <c r="AI25" s="307"/>
      <c r="AJ25" s="190"/>
    </row>
    <row r="26" spans="1:36">
      <c r="A26" s="309" t="s">
        <v>145</v>
      </c>
      <c r="B26" s="297">
        <v>1521</v>
      </c>
      <c r="C26" s="297">
        <v>1521</v>
      </c>
      <c r="D26" s="297">
        <v>1521</v>
      </c>
      <c r="E26" s="297">
        <v>1521</v>
      </c>
      <c r="F26" s="297">
        <v>1521</v>
      </c>
      <c r="G26" s="297">
        <v>1521</v>
      </c>
      <c r="H26" s="297">
        <v>1521</v>
      </c>
      <c r="I26" s="297">
        <v>1521</v>
      </c>
      <c r="J26" s="297">
        <v>1521</v>
      </c>
      <c r="K26" s="297">
        <v>1521</v>
      </c>
      <c r="L26" s="297">
        <v>1546</v>
      </c>
      <c r="M26" s="297">
        <v>1546</v>
      </c>
      <c r="N26" s="297">
        <v>1546</v>
      </c>
      <c r="O26" s="297">
        <v>1546</v>
      </c>
      <c r="P26" s="297">
        <v>1546</v>
      </c>
      <c r="Q26" s="297">
        <v>1546</v>
      </c>
      <c r="R26" s="297">
        <v>1546</v>
      </c>
      <c r="S26" s="297">
        <v>1560</v>
      </c>
      <c r="T26" s="297">
        <v>1560</v>
      </c>
      <c r="U26" s="297">
        <v>1560</v>
      </c>
      <c r="V26" s="297">
        <v>1560</v>
      </c>
      <c r="W26" s="297">
        <v>1560</v>
      </c>
      <c r="X26" s="297">
        <v>1560</v>
      </c>
      <c r="Y26" s="297">
        <v>1560</v>
      </c>
      <c r="Z26" s="297">
        <v>1574</v>
      </c>
      <c r="AA26" s="297">
        <v>1574</v>
      </c>
      <c r="AB26" s="297">
        <v>1574</v>
      </c>
      <c r="AC26" s="297">
        <v>1574</v>
      </c>
      <c r="AD26" s="297">
        <v>1574</v>
      </c>
      <c r="AE26" s="297">
        <v>1574</v>
      </c>
      <c r="AF26" s="298">
        <f t="shared" si="0"/>
        <v>53</v>
      </c>
      <c r="AG26" s="297">
        <v>1521</v>
      </c>
      <c r="AH26" s="144">
        <v>53</v>
      </c>
      <c r="AI26" s="307"/>
      <c r="AJ26" s="190"/>
    </row>
    <row r="27" spans="1:36">
      <c r="A27" s="309" t="s">
        <v>148</v>
      </c>
      <c r="B27" s="297">
        <v>11378</v>
      </c>
      <c r="C27" s="297">
        <v>11378</v>
      </c>
      <c r="D27" s="297">
        <v>11378</v>
      </c>
      <c r="E27" s="297">
        <v>11507</v>
      </c>
      <c r="F27" s="297">
        <v>11507</v>
      </c>
      <c r="G27" s="297">
        <v>11507</v>
      </c>
      <c r="H27" s="297">
        <v>11507</v>
      </c>
      <c r="I27" s="297">
        <v>11507</v>
      </c>
      <c r="J27" s="297">
        <v>11507</v>
      </c>
      <c r="K27" s="297">
        <v>11507</v>
      </c>
      <c r="L27" s="297">
        <v>11603</v>
      </c>
      <c r="M27" s="297">
        <v>11603</v>
      </c>
      <c r="N27" s="297">
        <v>11603</v>
      </c>
      <c r="O27" s="297">
        <v>11603</v>
      </c>
      <c r="P27" s="297">
        <v>11603</v>
      </c>
      <c r="Q27" s="297">
        <v>11603</v>
      </c>
      <c r="R27" s="297">
        <v>11603</v>
      </c>
      <c r="S27" s="297">
        <v>11705</v>
      </c>
      <c r="T27" s="297">
        <v>11705</v>
      </c>
      <c r="U27" s="297">
        <v>11705</v>
      </c>
      <c r="V27" s="297">
        <v>11705</v>
      </c>
      <c r="W27" s="297">
        <v>11705</v>
      </c>
      <c r="X27" s="297">
        <v>11705</v>
      </c>
      <c r="Y27" s="297">
        <v>11705</v>
      </c>
      <c r="Z27" s="297">
        <v>11819</v>
      </c>
      <c r="AA27" s="297">
        <v>11819</v>
      </c>
      <c r="AB27" s="297">
        <v>11819</v>
      </c>
      <c r="AC27" s="297">
        <v>11819</v>
      </c>
      <c r="AD27" s="297">
        <v>11819</v>
      </c>
      <c r="AE27" s="297">
        <v>11819</v>
      </c>
      <c r="AF27" s="298">
        <f t="shared" si="0"/>
        <v>441</v>
      </c>
      <c r="AG27" s="297">
        <v>11378</v>
      </c>
      <c r="AH27" s="144">
        <v>441</v>
      </c>
      <c r="AI27" s="307"/>
      <c r="AJ27" s="190"/>
    </row>
    <row r="28" spans="1:36">
      <c r="A28" s="309" t="s">
        <v>151</v>
      </c>
      <c r="B28" s="297">
        <v>1339</v>
      </c>
      <c r="C28" s="297">
        <v>1339</v>
      </c>
      <c r="D28" s="297">
        <v>1339</v>
      </c>
      <c r="E28" s="297">
        <v>1339</v>
      </c>
      <c r="F28" s="297">
        <v>1339</v>
      </c>
      <c r="G28" s="297">
        <v>1339</v>
      </c>
      <c r="H28" s="297">
        <v>1339</v>
      </c>
      <c r="I28" s="297">
        <v>1339</v>
      </c>
      <c r="J28" s="297">
        <v>1339</v>
      </c>
      <c r="K28" s="297">
        <v>1339</v>
      </c>
      <c r="L28" s="297">
        <v>1339</v>
      </c>
      <c r="M28" s="297">
        <v>1339</v>
      </c>
      <c r="N28" s="297">
        <v>1339</v>
      </c>
      <c r="O28" s="297">
        <v>1339</v>
      </c>
      <c r="P28" s="297">
        <v>1339</v>
      </c>
      <c r="Q28" s="297">
        <v>1339</v>
      </c>
      <c r="R28" s="297">
        <v>1339</v>
      </c>
      <c r="S28" s="297">
        <v>1339</v>
      </c>
      <c r="T28" s="297">
        <v>1339</v>
      </c>
      <c r="U28" s="297">
        <v>1339</v>
      </c>
      <c r="V28" s="297">
        <v>1339</v>
      </c>
      <c r="W28" s="297">
        <v>1339</v>
      </c>
      <c r="X28" s="297">
        <v>1339</v>
      </c>
      <c r="Y28" s="297">
        <v>1339</v>
      </c>
      <c r="Z28" s="297">
        <v>1339</v>
      </c>
      <c r="AA28" s="297">
        <v>1339</v>
      </c>
      <c r="AB28" s="297">
        <v>1339</v>
      </c>
      <c r="AC28" s="297">
        <v>1339</v>
      </c>
      <c r="AD28" s="297">
        <v>1339</v>
      </c>
      <c r="AE28" s="297">
        <v>1339</v>
      </c>
      <c r="AF28" s="298">
        <f t="shared" si="0"/>
        <v>0</v>
      </c>
      <c r="AG28" s="297">
        <v>1339</v>
      </c>
      <c r="AH28" s="144">
        <v>0</v>
      </c>
      <c r="AI28" s="307"/>
      <c r="AJ28" s="190"/>
    </row>
    <row r="29" spans="1:36">
      <c r="A29" s="309" t="s">
        <v>154</v>
      </c>
      <c r="B29" s="297">
        <v>771</v>
      </c>
      <c r="C29" s="297">
        <v>771</v>
      </c>
      <c r="D29" s="297">
        <v>771</v>
      </c>
      <c r="E29" s="297">
        <v>775</v>
      </c>
      <c r="F29" s="297">
        <v>775</v>
      </c>
      <c r="G29" s="297">
        <v>775</v>
      </c>
      <c r="H29" s="297">
        <v>775</v>
      </c>
      <c r="I29" s="297">
        <v>775</v>
      </c>
      <c r="J29" s="297">
        <v>775</v>
      </c>
      <c r="K29" s="297">
        <v>775</v>
      </c>
      <c r="L29" s="297">
        <v>780</v>
      </c>
      <c r="M29" s="297">
        <v>780</v>
      </c>
      <c r="N29" s="297">
        <v>780</v>
      </c>
      <c r="O29" s="297">
        <v>780</v>
      </c>
      <c r="P29" s="297">
        <v>780</v>
      </c>
      <c r="Q29" s="297">
        <v>780</v>
      </c>
      <c r="R29" s="297">
        <v>780</v>
      </c>
      <c r="S29" s="297">
        <v>784</v>
      </c>
      <c r="T29" s="297">
        <v>784</v>
      </c>
      <c r="U29" s="297">
        <v>784</v>
      </c>
      <c r="V29" s="297">
        <v>784</v>
      </c>
      <c r="W29" s="297">
        <v>784</v>
      </c>
      <c r="X29" s="297">
        <v>784</v>
      </c>
      <c r="Y29" s="297">
        <v>784</v>
      </c>
      <c r="Z29" s="297">
        <v>788</v>
      </c>
      <c r="AA29" s="297">
        <v>788</v>
      </c>
      <c r="AB29" s="297">
        <v>788</v>
      </c>
      <c r="AC29" s="297">
        <v>788</v>
      </c>
      <c r="AD29" s="297">
        <v>788</v>
      </c>
      <c r="AE29" s="297">
        <v>788</v>
      </c>
      <c r="AF29" s="298">
        <f t="shared" si="0"/>
        <v>17</v>
      </c>
      <c r="AG29" s="297">
        <v>771</v>
      </c>
      <c r="AH29" s="144">
        <v>17</v>
      </c>
      <c r="AI29" s="307"/>
      <c r="AJ29" s="190"/>
    </row>
    <row r="30" spans="1:36">
      <c r="A30" s="303"/>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8">
        <f t="shared" si="0"/>
        <v>0</v>
      </c>
      <c r="AG30" s="292"/>
      <c r="AJ30" s="190"/>
    </row>
    <row r="31" spans="1:36">
      <c r="A31" s="282" t="s">
        <v>74</v>
      </c>
      <c r="B31" s="295" t="s">
        <v>75</v>
      </c>
      <c r="C31" s="295" t="s">
        <v>75</v>
      </c>
      <c r="D31" s="295" t="s">
        <v>75</v>
      </c>
      <c r="E31" s="295" t="s">
        <v>75</v>
      </c>
      <c r="F31" s="295" t="s">
        <v>75</v>
      </c>
      <c r="G31" s="295" t="s">
        <v>75</v>
      </c>
      <c r="H31" s="295" t="s">
        <v>75</v>
      </c>
      <c r="I31" s="295" t="s">
        <v>75</v>
      </c>
      <c r="J31" s="295" t="s">
        <v>75</v>
      </c>
      <c r="K31" s="295" t="s">
        <v>75</v>
      </c>
      <c r="L31" s="295" t="s">
        <v>75</v>
      </c>
      <c r="M31" s="295" t="s">
        <v>75</v>
      </c>
      <c r="N31" s="295" t="s">
        <v>75</v>
      </c>
      <c r="O31" s="295" t="s">
        <v>75</v>
      </c>
      <c r="P31" s="295" t="s">
        <v>75</v>
      </c>
      <c r="Q31" s="295" t="s">
        <v>75</v>
      </c>
      <c r="R31" s="295" t="s">
        <v>75</v>
      </c>
      <c r="S31" s="295" t="s">
        <v>75</v>
      </c>
      <c r="T31" s="295" t="s">
        <v>75</v>
      </c>
      <c r="U31" s="295" t="s">
        <v>75</v>
      </c>
      <c r="V31" s="295" t="s">
        <v>75</v>
      </c>
      <c r="W31" s="295" t="s">
        <v>75</v>
      </c>
      <c r="X31" s="295" t="s">
        <v>75</v>
      </c>
      <c r="Y31" s="295" t="s">
        <v>75</v>
      </c>
      <c r="Z31" s="295" t="s">
        <v>75</v>
      </c>
      <c r="AA31" s="295" t="s">
        <v>75</v>
      </c>
      <c r="AB31" s="295" t="s">
        <v>75</v>
      </c>
      <c r="AC31" s="295" t="s">
        <v>75</v>
      </c>
      <c r="AD31" s="295" t="s">
        <v>75</v>
      </c>
      <c r="AE31" s="295" t="s">
        <v>75</v>
      </c>
      <c r="AF31" s="298" t="e">
        <f t="shared" si="0"/>
        <v>#VALUE!</v>
      </c>
      <c r="AG31" s="295" t="s">
        <v>75</v>
      </c>
    </row>
    <row r="32" spans="1:36" ht="25.5">
      <c r="A32" s="282" t="s">
        <v>77</v>
      </c>
      <c r="B32" s="21" t="s">
        <v>78</v>
      </c>
      <c r="C32" s="21" t="s">
        <v>78</v>
      </c>
      <c r="D32" s="21" t="s">
        <v>78</v>
      </c>
      <c r="E32" s="21" t="s">
        <v>78</v>
      </c>
      <c r="F32" s="21" t="s">
        <v>78</v>
      </c>
      <c r="G32" s="21" t="s">
        <v>78</v>
      </c>
      <c r="H32" s="21" t="s">
        <v>78</v>
      </c>
      <c r="I32" s="21" t="s">
        <v>78</v>
      </c>
      <c r="J32" s="21" t="s">
        <v>78</v>
      </c>
      <c r="K32" s="21" t="s">
        <v>78</v>
      </c>
      <c r="L32" s="21" t="s">
        <v>78</v>
      </c>
      <c r="M32" s="21" t="s">
        <v>78</v>
      </c>
      <c r="N32" s="21" t="s">
        <v>78</v>
      </c>
      <c r="O32" s="21" t="s">
        <v>78</v>
      </c>
      <c r="P32" s="21" t="s">
        <v>78</v>
      </c>
      <c r="Q32" s="21" t="s">
        <v>78</v>
      </c>
      <c r="R32" s="21" t="s">
        <v>78</v>
      </c>
      <c r="S32" s="21" t="s">
        <v>78</v>
      </c>
      <c r="T32" s="21" t="s">
        <v>78</v>
      </c>
      <c r="U32" s="21" t="s">
        <v>78</v>
      </c>
      <c r="V32" s="21" t="s">
        <v>78</v>
      </c>
      <c r="W32" s="21" t="s">
        <v>78</v>
      </c>
      <c r="X32" s="21" t="s">
        <v>78</v>
      </c>
      <c r="Y32" s="21" t="s">
        <v>78</v>
      </c>
      <c r="Z32" s="21" t="s">
        <v>78</v>
      </c>
      <c r="AA32" s="21" t="s">
        <v>78</v>
      </c>
      <c r="AB32" s="21" t="s">
        <v>78</v>
      </c>
      <c r="AC32" s="21" t="s">
        <v>78</v>
      </c>
      <c r="AD32" s="21" t="s">
        <v>78</v>
      </c>
      <c r="AE32" s="21" t="s">
        <v>78</v>
      </c>
      <c r="AF32" s="298" t="e">
        <f t="shared" si="0"/>
        <v>#VALUE!</v>
      </c>
      <c r="AG32" s="21" t="s">
        <v>78</v>
      </c>
    </row>
    <row r="33" spans="1:33" ht="25.5">
      <c r="A33" s="282" t="s">
        <v>80</v>
      </c>
      <c r="B33" s="21" t="s">
        <v>1816</v>
      </c>
      <c r="C33" s="21" t="s">
        <v>1816</v>
      </c>
      <c r="D33" s="21" t="s">
        <v>1816</v>
      </c>
      <c r="E33" s="21" t="s">
        <v>1816</v>
      </c>
      <c r="F33" s="21" t="s">
        <v>1816</v>
      </c>
      <c r="G33" s="21" t="s">
        <v>1816</v>
      </c>
      <c r="H33" s="21" t="s">
        <v>1013</v>
      </c>
      <c r="I33" s="21" t="s">
        <v>1013</v>
      </c>
      <c r="J33" s="21" t="s">
        <v>1013</v>
      </c>
      <c r="K33" s="21" t="s">
        <v>1013</v>
      </c>
      <c r="L33" s="21" t="s">
        <v>1298</v>
      </c>
      <c r="M33" s="21" t="s">
        <v>1298</v>
      </c>
      <c r="N33" s="21" t="s">
        <v>1298</v>
      </c>
      <c r="O33" s="21" t="s">
        <v>1298</v>
      </c>
      <c r="P33" s="21" t="s">
        <v>1298</v>
      </c>
      <c r="Q33" s="21" t="s">
        <v>1298</v>
      </c>
      <c r="R33" s="21" t="s">
        <v>1298</v>
      </c>
      <c r="S33" s="21" t="s">
        <v>2060</v>
      </c>
      <c r="T33" s="21" t="s">
        <v>2060</v>
      </c>
      <c r="U33" s="21" t="s">
        <v>2060</v>
      </c>
      <c r="V33" s="21" t="s">
        <v>2060</v>
      </c>
      <c r="W33" s="21" t="s">
        <v>2060</v>
      </c>
      <c r="X33" s="21" t="s">
        <v>2060</v>
      </c>
      <c r="Y33" s="21" t="s">
        <v>2060</v>
      </c>
      <c r="Z33" s="21" t="s">
        <v>2060</v>
      </c>
      <c r="AA33" s="21" t="s">
        <v>2060</v>
      </c>
      <c r="AB33" s="21" t="s">
        <v>2060</v>
      </c>
      <c r="AC33" s="21" t="s">
        <v>2061</v>
      </c>
      <c r="AD33" s="21" t="s">
        <v>2061</v>
      </c>
      <c r="AE33" s="21" t="s">
        <v>2062</v>
      </c>
      <c r="AF33" s="298" t="e">
        <f t="shared" si="0"/>
        <v>#VALUE!</v>
      </c>
      <c r="AG33" s="21" t="s">
        <v>1816</v>
      </c>
    </row>
    <row r="34" spans="1:33" ht="15.75" thickBot="1">
      <c r="A34" s="310" t="s">
        <v>81</v>
      </c>
      <c r="B34" s="311" t="s">
        <v>1817</v>
      </c>
      <c r="C34" s="311" t="s">
        <v>1817</v>
      </c>
      <c r="D34" s="311" t="s">
        <v>1817</v>
      </c>
      <c r="E34" s="311" t="s">
        <v>1817</v>
      </c>
      <c r="F34" s="311" t="s">
        <v>1817</v>
      </c>
      <c r="G34" s="311" t="s">
        <v>1817</v>
      </c>
      <c r="H34" s="311" t="s">
        <v>1817</v>
      </c>
      <c r="I34" s="311" t="s">
        <v>1817</v>
      </c>
      <c r="J34" s="311" t="s">
        <v>1817</v>
      </c>
      <c r="K34" s="311" t="s">
        <v>1817</v>
      </c>
      <c r="L34" s="311" t="s">
        <v>2063</v>
      </c>
      <c r="M34" s="311" t="s">
        <v>2063</v>
      </c>
      <c r="N34" s="311" t="s">
        <v>2063</v>
      </c>
      <c r="O34" s="311" t="s">
        <v>2063</v>
      </c>
      <c r="P34" s="311" t="s">
        <v>2063</v>
      </c>
      <c r="Q34" s="311" t="s">
        <v>2063</v>
      </c>
      <c r="R34" s="311" t="s">
        <v>2063</v>
      </c>
      <c r="S34" s="311" t="s">
        <v>2063</v>
      </c>
      <c r="T34" s="311" t="s">
        <v>2063</v>
      </c>
      <c r="U34" s="311" t="s">
        <v>2063</v>
      </c>
      <c r="V34" s="311" t="s">
        <v>2063</v>
      </c>
      <c r="W34" s="311" t="s">
        <v>2063</v>
      </c>
      <c r="X34" s="311" t="s">
        <v>2063</v>
      </c>
      <c r="Y34" s="311" t="s">
        <v>2063</v>
      </c>
      <c r="Z34" s="311" t="s">
        <v>2063</v>
      </c>
      <c r="AA34" s="311" t="s">
        <v>2063</v>
      </c>
      <c r="AB34" s="311" t="s">
        <v>2063</v>
      </c>
      <c r="AC34" s="311" t="s">
        <v>2063</v>
      </c>
      <c r="AD34" s="311" t="s">
        <v>2063</v>
      </c>
      <c r="AE34" s="311" t="s">
        <v>2063</v>
      </c>
      <c r="AF34" s="298" t="e">
        <f t="shared" si="0"/>
        <v>#VALUE!</v>
      </c>
      <c r="AG34" s="311" t="s">
        <v>1817</v>
      </c>
    </row>
    <row r="35" spans="1:33">
      <c r="AF35" s="211"/>
    </row>
    <row r="36" spans="1:33">
      <c r="AF36" s="211"/>
    </row>
  </sheetData>
  <mergeCells count="1">
    <mergeCell ref="A1:AG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1C16-95EC-4FE9-9DFA-1C414520DD78}">
  <dimension ref="A1:AK36"/>
  <sheetViews>
    <sheetView topLeftCell="Q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6.570312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45261</v>
      </c>
      <c r="C2" s="281">
        <v>45262</v>
      </c>
      <c r="D2" s="281">
        <v>45263</v>
      </c>
      <c r="E2" s="281">
        <v>45264</v>
      </c>
      <c r="F2" s="281">
        <v>45265</v>
      </c>
      <c r="G2" s="281">
        <v>45266</v>
      </c>
      <c r="H2" s="281">
        <v>45267</v>
      </c>
      <c r="I2" s="281">
        <v>45268</v>
      </c>
      <c r="J2" s="281">
        <v>45269</v>
      </c>
      <c r="K2" s="281">
        <v>45270</v>
      </c>
      <c r="L2" s="281">
        <v>45271</v>
      </c>
      <c r="M2" s="281">
        <v>45272</v>
      </c>
      <c r="N2" s="281">
        <v>45273</v>
      </c>
      <c r="O2" s="281">
        <v>45274</v>
      </c>
      <c r="P2" s="281">
        <v>45275</v>
      </c>
      <c r="Q2" s="281">
        <v>45276</v>
      </c>
      <c r="R2" s="281">
        <v>45277</v>
      </c>
      <c r="S2" s="281">
        <v>45278</v>
      </c>
      <c r="T2" s="281">
        <v>45279</v>
      </c>
      <c r="U2" s="281">
        <v>45280</v>
      </c>
      <c r="V2" s="281">
        <v>45281</v>
      </c>
      <c r="W2" s="281">
        <v>45282</v>
      </c>
      <c r="X2" s="281">
        <v>45283</v>
      </c>
      <c r="Y2" s="281">
        <v>45284</v>
      </c>
      <c r="Z2" s="281">
        <v>45285</v>
      </c>
      <c r="AA2" s="281">
        <v>45286</v>
      </c>
      <c r="AB2" s="281">
        <v>45287</v>
      </c>
      <c r="AC2" s="281">
        <v>45288</v>
      </c>
      <c r="AD2" s="281">
        <v>45289</v>
      </c>
      <c r="AE2" s="281">
        <v>45290</v>
      </c>
      <c r="AF2" s="281">
        <v>45291</v>
      </c>
      <c r="AG2" s="281"/>
      <c r="AH2" s="281">
        <v>45260</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286" t="s">
        <v>2064</v>
      </c>
      <c r="C4" s="286" t="s">
        <v>2065</v>
      </c>
      <c r="D4" s="286" t="s">
        <v>2066</v>
      </c>
      <c r="E4" s="286" t="s">
        <v>2067</v>
      </c>
      <c r="F4" s="286" t="s">
        <v>2068</v>
      </c>
      <c r="G4" s="286" t="s">
        <v>2069</v>
      </c>
      <c r="H4" s="286" t="s">
        <v>2070</v>
      </c>
      <c r="I4" s="286" t="s">
        <v>2071</v>
      </c>
      <c r="J4" s="286" t="s">
        <v>2072</v>
      </c>
      <c r="K4" s="286" t="s">
        <v>2073</v>
      </c>
      <c r="L4" s="286" t="s">
        <v>2074</v>
      </c>
      <c r="M4" s="286" t="s">
        <v>2075</v>
      </c>
      <c r="N4" s="286" t="s">
        <v>2076</v>
      </c>
      <c r="O4" s="286" t="s">
        <v>2077</v>
      </c>
      <c r="P4" s="286" t="s">
        <v>2078</v>
      </c>
      <c r="Q4" s="286" t="s">
        <v>2079</v>
      </c>
      <c r="R4" s="286" t="s">
        <v>2080</v>
      </c>
      <c r="S4" s="286" t="s">
        <v>2081</v>
      </c>
      <c r="T4" s="286" t="s">
        <v>2082</v>
      </c>
      <c r="U4" s="286" t="s">
        <v>2083</v>
      </c>
      <c r="V4" s="286" t="s">
        <v>2084</v>
      </c>
      <c r="W4" s="286" t="s">
        <v>2085</v>
      </c>
      <c r="X4" s="286" t="s">
        <v>2086</v>
      </c>
      <c r="Y4" s="286" t="s">
        <v>2087</v>
      </c>
      <c r="Z4" s="286" t="s">
        <v>2088</v>
      </c>
      <c r="AA4" s="286" t="s">
        <v>2089</v>
      </c>
      <c r="AB4" s="286" t="s">
        <v>2090</v>
      </c>
      <c r="AC4" s="286" t="s">
        <v>2091</v>
      </c>
      <c r="AD4" s="286" t="s">
        <v>2092</v>
      </c>
      <c r="AE4" s="286" t="s">
        <v>2093</v>
      </c>
      <c r="AF4" s="286" t="s">
        <v>2094</v>
      </c>
      <c r="AG4" s="287"/>
      <c r="AH4" s="286" t="s">
        <v>1846</v>
      </c>
      <c r="AI4" s="288"/>
    </row>
    <row r="5" spans="1:37" ht="20.100000000000001" customHeight="1">
      <c r="A5" s="285" t="s">
        <v>55</v>
      </c>
      <c r="B5" s="286" t="s">
        <v>2095</v>
      </c>
      <c r="C5" s="286" t="s">
        <v>2096</v>
      </c>
      <c r="D5" s="286" t="s">
        <v>2097</v>
      </c>
      <c r="E5" s="286" t="s">
        <v>2098</v>
      </c>
      <c r="F5" s="286" t="s">
        <v>2099</v>
      </c>
      <c r="G5" s="286" t="s">
        <v>2100</v>
      </c>
      <c r="H5" s="286" t="s">
        <v>2101</v>
      </c>
      <c r="I5" s="286" t="s">
        <v>2102</v>
      </c>
      <c r="J5" s="286" t="s">
        <v>2103</v>
      </c>
      <c r="K5" s="286" t="s">
        <v>2104</v>
      </c>
      <c r="L5" s="286" t="s">
        <v>2105</v>
      </c>
      <c r="M5" s="286" t="s">
        <v>2106</v>
      </c>
      <c r="N5" s="286" t="s">
        <v>2107</v>
      </c>
      <c r="O5" s="286" t="s">
        <v>2108</v>
      </c>
      <c r="P5" s="286" t="s">
        <v>2109</v>
      </c>
      <c r="Q5" s="286" t="s">
        <v>2110</v>
      </c>
      <c r="R5" s="286" t="s">
        <v>2111</v>
      </c>
      <c r="S5" s="286" t="s">
        <v>2112</v>
      </c>
      <c r="T5" s="286" t="s">
        <v>2113</v>
      </c>
      <c r="U5" s="286" t="s">
        <v>2114</v>
      </c>
      <c r="V5" s="286" t="s">
        <v>2115</v>
      </c>
      <c r="W5" s="286" t="s">
        <v>2116</v>
      </c>
      <c r="X5" s="286" t="s">
        <v>2117</v>
      </c>
      <c r="Y5" s="286" t="s">
        <v>2118</v>
      </c>
      <c r="Z5" s="286" t="s">
        <v>2119</v>
      </c>
      <c r="AA5" s="286" t="s">
        <v>2120</v>
      </c>
      <c r="AB5" s="286" t="s">
        <v>2121</v>
      </c>
      <c r="AC5" s="286" t="s">
        <v>2122</v>
      </c>
      <c r="AD5" s="286" t="s">
        <v>2123</v>
      </c>
      <c r="AE5" s="286" t="s">
        <v>2124</v>
      </c>
      <c r="AF5" s="286" t="s">
        <v>2125</v>
      </c>
      <c r="AG5" s="287"/>
      <c r="AH5" s="286" t="s">
        <v>1876</v>
      </c>
      <c r="AI5" s="288"/>
    </row>
    <row r="6" spans="1:37" ht="20.100000000000001" customHeight="1">
      <c r="A6" s="285" t="s">
        <v>56</v>
      </c>
      <c r="B6" s="289" t="s">
        <v>2126</v>
      </c>
      <c r="C6" s="289" t="s">
        <v>2127</v>
      </c>
      <c r="D6" s="289" t="s">
        <v>2128</v>
      </c>
      <c r="E6" s="289" t="s">
        <v>2129</v>
      </c>
      <c r="F6" s="289" t="s">
        <v>2130</v>
      </c>
      <c r="G6" s="289" t="s">
        <v>2131</v>
      </c>
      <c r="H6" s="289" t="s">
        <v>2132</v>
      </c>
      <c r="I6" s="289" t="s">
        <v>2133</v>
      </c>
      <c r="J6" s="289" t="s">
        <v>2134</v>
      </c>
      <c r="K6" s="289" t="s">
        <v>2135</v>
      </c>
      <c r="L6" s="289" t="s">
        <v>2136</v>
      </c>
      <c r="M6" s="289" t="s">
        <v>2137</v>
      </c>
      <c r="N6" s="289" t="s">
        <v>2138</v>
      </c>
      <c r="O6" s="289" t="s">
        <v>2139</v>
      </c>
      <c r="P6" s="289" t="s">
        <v>2140</v>
      </c>
      <c r="Q6" s="289" t="s">
        <v>2141</v>
      </c>
      <c r="R6" s="289" t="s">
        <v>2142</v>
      </c>
      <c r="S6" s="289" t="s">
        <v>2143</v>
      </c>
      <c r="T6" s="289" t="s">
        <v>2144</v>
      </c>
      <c r="U6" s="289" t="s">
        <v>2145</v>
      </c>
      <c r="V6" s="289" t="s">
        <v>2146</v>
      </c>
      <c r="W6" s="289" t="s">
        <v>2147</v>
      </c>
      <c r="X6" s="289" t="s">
        <v>2148</v>
      </c>
      <c r="Y6" s="289" t="s">
        <v>2149</v>
      </c>
      <c r="Z6" s="289" t="s">
        <v>2150</v>
      </c>
      <c r="AA6" s="289" t="s">
        <v>2151</v>
      </c>
      <c r="AB6" s="289" t="s">
        <v>2152</v>
      </c>
      <c r="AC6" s="289" t="s">
        <v>2153</v>
      </c>
      <c r="AD6" s="286" t="s">
        <v>2154</v>
      </c>
      <c r="AE6" s="289" t="s">
        <v>2155</v>
      </c>
      <c r="AF6" s="289" t="s">
        <v>2156</v>
      </c>
      <c r="AG6" s="287"/>
      <c r="AH6" s="289" t="s">
        <v>1906</v>
      </c>
      <c r="AI6" s="288"/>
    </row>
    <row r="7" spans="1:37" ht="20.100000000000001" customHeight="1">
      <c r="A7" s="285" t="s">
        <v>57</v>
      </c>
      <c r="B7" s="289" t="s">
        <v>2157</v>
      </c>
      <c r="C7" s="289" t="s">
        <v>2158</v>
      </c>
      <c r="D7" s="289" t="s">
        <v>2159</v>
      </c>
      <c r="E7" s="289" t="s">
        <v>2160</v>
      </c>
      <c r="F7" s="289" t="s">
        <v>2161</v>
      </c>
      <c r="G7" s="289" t="s">
        <v>2162</v>
      </c>
      <c r="H7" s="289" t="s">
        <v>2163</v>
      </c>
      <c r="I7" s="289" t="s">
        <v>2164</v>
      </c>
      <c r="J7" s="289" t="s">
        <v>2165</v>
      </c>
      <c r="K7" s="289" t="s">
        <v>2166</v>
      </c>
      <c r="L7" s="289" t="s">
        <v>2167</v>
      </c>
      <c r="M7" s="289" t="s">
        <v>2168</v>
      </c>
      <c r="N7" s="289" t="s">
        <v>2169</v>
      </c>
      <c r="O7" s="289" t="s">
        <v>2170</v>
      </c>
      <c r="P7" s="289" t="s">
        <v>2171</v>
      </c>
      <c r="Q7" s="289" t="s">
        <v>2172</v>
      </c>
      <c r="R7" s="289" t="s">
        <v>2173</v>
      </c>
      <c r="S7" s="289" t="s">
        <v>2174</v>
      </c>
      <c r="T7" s="289" t="s">
        <v>2175</v>
      </c>
      <c r="U7" s="289" t="s">
        <v>2176</v>
      </c>
      <c r="V7" s="289" t="s">
        <v>2177</v>
      </c>
      <c r="W7" s="289" t="s">
        <v>2178</v>
      </c>
      <c r="X7" s="289" t="s">
        <v>2179</v>
      </c>
      <c r="Y7" s="289" t="s">
        <v>2180</v>
      </c>
      <c r="Z7" s="289" t="s">
        <v>2181</v>
      </c>
      <c r="AA7" s="289" t="s">
        <v>2182</v>
      </c>
      <c r="AB7" s="289" t="s">
        <v>2183</v>
      </c>
      <c r="AC7" s="289" t="s">
        <v>2184</v>
      </c>
      <c r="AD7" s="286" t="s">
        <v>2185</v>
      </c>
      <c r="AE7" s="289" t="s">
        <v>2186</v>
      </c>
      <c r="AF7" s="289" t="s">
        <v>2187</v>
      </c>
      <c r="AG7" s="287"/>
      <c r="AH7" s="289" t="s">
        <v>1936</v>
      </c>
      <c r="AI7" s="288"/>
    </row>
    <row r="8" spans="1:37" ht="20.100000000000001" customHeight="1">
      <c r="A8" s="285" t="s">
        <v>58</v>
      </c>
      <c r="B8" s="289" t="s">
        <v>1959</v>
      </c>
      <c r="C8" s="289" t="s">
        <v>2188</v>
      </c>
      <c r="D8" s="289" t="s">
        <v>2189</v>
      </c>
      <c r="E8" s="289" t="s">
        <v>2190</v>
      </c>
      <c r="F8" s="289" t="s">
        <v>2191</v>
      </c>
      <c r="G8" s="289" t="s">
        <v>2192</v>
      </c>
      <c r="H8" s="289" t="s">
        <v>2193</v>
      </c>
      <c r="I8" s="289" t="s">
        <v>2194</v>
      </c>
      <c r="J8" s="289" t="s">
        <v>2195</v>
      </c>
      <c r="K8" s="289" t="s">
        <v>2196</v>
      </c>
      <c r="L8" s="289" t="s">
        <v>2197</v>
      </c>
      <c r="M8" s="289" t="s">
        <v>2198</v>
      </c>
      <c r="N8" s="289" t="s">
        <v>2199</v>
      </c>
      <c r="O8" s="289" t="s">
        <v>2200</v>
      </c>
      <c r="P8" s="289" t="s">
        <v>2201</v>
      </c>
      <c r="Q8" s="289" t="s">
        <v>2202</v>
      </c>
      <c r="R8" s="289" t="s">
        <v>2203</v>
      </c>
      <c r="S8" s="289" t="s">
        <v>2204</v>
      </c>
      <c r="T8" s="289" t="s">
        <v>2205</v>
      </c>
      <c r="U8" s="289" t="s">
        <v>2206</v>
      </c>
      <c r="V8" s="289" t="s">
        <v>2207</v>
      </c>
      <c r="W8" s="289" t="s">
        <v>2208</v>
      </c>
      <c r="X8" s="289" t="s">
        <v>2209</v>
      </c>
      <c r="Y8" s="289" t="s">
        <v>2209</v>
      </c>
      <c r="Z8" s="289" t="s">
        <v>2209</v>
      </c>
      <c r="AA8" s="289" t="s">
        <v>2209</v>
      </c>
      <c r="AB8" s="289" t="s">
        <v>2210</v>
      </c>
      <c r="AC8" s="289" t="s">
        <v>2211</v>
      </c>
      <c r="AD8" s="286" t="s">
        <v>2212</v>
      </c>
      <c r="AE8" s="289" t="s">
        <v>2213</v>
      </c>
      <c r="AF8" s="289" t="s">
        <v>2214</v>
      </c>
      <c r="AG8" s="287"/>
      <c r="AH8" s="289" t="s">
        <v>1959</v>
      </c>
      <c r="AI8" s="288"/>
    </row>
    <row r="9" spans="1:37" ht="20.100000000000001" customHeight="1">
      <c r="A9" s="285" t="s">
        <v>59</v>
      </c>
      <c r="B9" s="289" t="s">
        <v>2215</v>
      </c>
      <c r="C9" s="289" t="s">
        <v>2216</v>
      </c>
      <c r="D9" s="289" t="s">
        <v>2217</v>
      </c>
      <c r="E9" s="289" t="s">
        <v>2218</v>
      </c>
      <c r="F9" s="289" t="s">
        <v>2219</v>
      </c>
      <c r="G9" s="289" t="s">
        <v>2220</v>
      </c>
      <c r="H9" s="289" t="s">
        <v>2221</v>
      </c>
      <c r="I9" s="289" t="s">
        <v>2222</v>
      </c>
      <c r="J9" s="289" t="s">
        <v>2223</v>
      </c>
      <c r="K9" s="289" t="s">
        <v>2224</v>
      </c>
      <c r="L9" s="289" t="s">
        <v>2225</v>
      </c>
      <c r="M9" s="289" t="s">
        <v>2226</v>
      </c>
      <c r="N9" s="289" t="s">
        <v>2227</v>
      </c>
      <c r="O9" s="313" t="s">
        <v>2228</v>
      </c>
      <c r="P9" s="289" t="s">
        <v>2229</v>
      </c>
      <c r="Q9" s="289" t="s">
        <v>2230</v>
      </c>
      <c r="R9" s="289" t="s">
        <v>2231</v>
      </c>
      <c r="S9" s="289" t="s">
        <v>2232</v>
      </c>
      <c r="T9" s="289" t="s">
        <v>2233</v>
      </c>
      <c r="U9" s="289" t="s">
        <v>2234</v>
      </c>
      <c r="V9" s="289" t="s">
        <v>2235</v>
      </c>
      <c r="W9" s="289" t="s">
        <v>2236</v>
      </c>
      <c r="X9" s="289" t="s">
        <v>2237</v>
      </c>
      <c r="Y9" s="289" t="s">
        <v>2238</v>
      </c>
      <c r="Z9" s="289" t="s">
        <v>2239</v>
      </c>
      <c r="AA9" s="289" t="s">
        <v>2240</v>
      </c>
      <c r="AB9" s="289" t="s">
        <v>2241</v>
      </c>
      <c r="AC9" s="289" t="s">
        <v>2242</v>
      </c>
      <c r="AD9" s="286" t="s">
        <v>2243</v>
      </c>
      <c r="AE9" s="289" t="s">
        <v>2244</v>
      </c>
      <c r="AF9" s="289" t="s">
        <v>2245</v>
      </c>
      <c r="AG9" s="290"/>
      <c r="AH9" s="289" t="s">
        <v>1988</v>
      </c>
      <c r="AI9" s="288"/>
    </row>
    <row r="10" spans="1:37" ht="20.100000000000001" customHeight="1">
      <c r="A10" s="285" t="s">
        <v>60</v>
      </c>
      <c r="B10" s="289" t="s">
        <v>2246</v>
      </c>
      <c r="C10" s="289" t="s">
        <v>2247</v>
      </c>
      <c r="D10" s="289" t="s">
        <v>2248</v>
      </c>
      <c r="E10" s="289" t="s">
        <v>2249</v>
      </c>
      <c r="F10" s="289" t="s">
        <v>2250</v>
      </c>
      <c r="G10" s="289" t="s">
        <v>2251</v>
      </c>
      <c r="H10" s="289" t="s">
        <v>2252</v>
      </c>
      <c r="I10" s="289" t="s">
        <v>2253</v>
      </c>
      <c r="J10" s="289" t="s">
        <v>2254</v>
      </c>
      <c r="K10" s="289" t="s">
        <v>2255</v>
      </c>
      <c r="L10" s="289" t="s">
        <v>2256</v>
      </c>
      <c r="M10" s="289" t="s">
        <v>2257</v>
      </c>
      <c r="N10" s="289" t="s">
        <v>2258</v>
      </c>
      <c r="O10" s="313" t="s">
        <v>2259</v>
      </c>
      <c r="P10" s="289" t="s">
        <v>2260</v>
      </c>
      <c r="Q10" s="289" t="s">
        <v>2261</v>
      </c>
      <c r="R10" s="289" t="s">
        <v>2262</v>
      </c>
      <c r="S10" s="289" t="s">
        <v>2263</v>
      </c>
      <c r="T10" s="289" t="s">
        <v>2264</v>
      </c>
      <c r="U10" s="289" t="s">
        <v>2265</v>
      </c>
      <c r="V10" s="289" t="s">
        <v>2266</v>
      </c>
      <c r="W10" s="289" t="s">
        <v>2267</v>
      </c>
      <c r="X10" s="289" t="s">
        <v>2268</v>
      </c>
      <c r="Y10" s="289" t="s">
        <v>2269</v>
      </c>
      <c r="Z10" s="289" t="s">
        <v>2270</v>
      </c>
      <c r="AA10" s="289" t="s">
        <v>2271</v>
      </c>
      <c r="AB10" s="289" t="s">
        <v>2272</v>
      </c>
      <c r="AC10" s="289" t="s">
        <v>2273</v>
      </c>
      <c r="AD10" s="286" t="s">
        <v>2274</v>
      </c>
      <c r="AE10" s="289" t="s">
        <v>2275</v>
      </c>
      <c r="AF10" s="289" t="s">
        <v>2276</v>
      </c>
      <c r="AG10" s="287"/>
      <c r="AH10" s="289" t="s">
        <v>2018</v>
      </c>
      <c r="AI10" s="288"/>
    </row>
    <row r="11" spans="1:37" ht="22.5" customHeight="1">
      <c r="A11" s="285" t="s">
        <v>61</v>
      </c>
      <c r="B11" s="289" t="s">
        <v>2277</v>
      </c>
      <c r="C11" s="289" t="s">
        <v>2278</v>
      </c>
      <c r="D11" s="289" t="s">
        <v>2279</v>
      </c>
      <c r="E11" s="289" t="s">
        <v>2280</v>
      </c>
      <c r="F11" s="289" t="s">
        <v>2281</v>
      </c>
      <c r="G11" s="289" t="s">
        <v>2282</v>
      </c>
      <c r="H11" s="289" t="s">
        <v>2283</v>
      </c>
      <c r="I11" s="289" t="s">
        <v>2284</v>
      </c>
      <c r="J11" s="289" t="s">
        <v>2285</v>
      </c>
      <c r="K11" s="289" t="s">
        <v>2286</v>
      </c>
      <c r="L11" s="289" t="s">
        <v>2287</v>
      </c>
      <c r="M11" s="289" t="s">
        <v>2288</v>
      </c>
      <c r="N11" s="289" t="s">
        <v>2289</v>
      </c>
      <c r="O11" s="289" t="s">
        <v>2290</v>
      </c>
      <c r="P11" s="289" t="s">
        <v>2291</v>
      </c>
      <c r="Q11" s="289" t="s">
        <v>2292</v>
      </c>
      <c r="R11" s="289" t="s">
        <v>2293</v>
      </c>
      <c r="S11" s="289" t="s">
        <v>2294</v>
      </c>
      <c r="T11" s="289" t="s">
        <v>2295</v>
      </c>
      <c r="U11" s="289" t="s">
        <v>2296</v>
      </c>
      <c r="V11" s="289" t="s">
        <v>2297</v>
      </c>
      <c r="W11" s="289" t="s">
        <v>2298</v>
      </c>
      <c r="X11" s="289" t="s">
        <v>2299</v>
      </c>
      <c r="Y11" s="289" t="s">
        <v>2300</v>
      </c>
      <c r="Z11" s="289" t="s">
        <v>2301</v>
      </c>
      <c r="AA11" s="289" t="s">
        <v>2302</v>
      </c>
      <c r="AB11" s="289" t="s">
        <v>2303</v>
      </c>
      <c r="AC11" s="289" t="s">
        <v>2304</v>
      </c>
      <c r="AD11" s="286" t="s">
        <v>2305</v>
      </c>
      <c r="AE11" s="289" t="s">
        <v>2306</v>
      </c>
      <c r="AF11" s="289" t="s">
        <v>2307</v>
      </c>
      <c r="AG11" s="287"/>
      <c r="AH11" s="289" t="s">
        <v>2048</v>
      </c>
      <c r="AI11" s="288"/>
    </row>
    <row r="12" spans="1:37" s="294" customFormat="1" ht="18" customHeight="1">
      <c r="A12" s="291" t="s">
        <v>62</v>
      </c>
      <c r="B12" s="292"/>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2"/>
      <c r="AG12" s="293"/>
      <c r="AH12" s="292"/>
    </row>
    <row r="13" spans="1:37">
      <c r="A13" s="282" t="s">
        <v>63</v>
      </c>
      <c r="B13" s="295" t="s">
        <v>64</v>
      </c>
      <c r="C13" s="295" t="s">
        <v>64</v>
      </c>
      <c r="D13" s="295" t="s">
        <v>64</v>
      </c>
      <c r="E13" s="295" t="s">
        <v>64</v>
      </c>
      <c r="F13" s="295" t="s">
        <v>64</v>
      </c>
      <c r="G13" s="295" t="s">
        <v>64</v>
      </c>
      <c r="H13" s="295" t="s">
        <v>64</v>
      </c>
      <c r="I13" s="295" t="s">
        <v>64</v>
      </c>
      <c r="J13" s="295" t="s">
        <v>64</v>
      </c>
      <c r="K13" s="295" t="s">
        <v>64</v>
      </c>
      <c r="L13" s="295" t="s">
        <v>64</v>
      </c>
      <c r="M13" s="295" t="s">
        <v>64</v>
      </c>
      <c r="N13" s="295" t="s">
        <v>64</v>
      </c>
      <c r="O13" s="295" t="s">
        <v>64</v>
      </c>
      <c r="P13" s="295" t="s">
        <v>64</v>
      </c>
      <c r="Q13" s="295" t="s">
        <v>64</v>
      </c>
      <c r="R13" s="295" t="s">
        <v>64</v>
      </c>
      <c r="S13" s="295" t="s">
        <v>64</v>
      </c>
      <c r="T13" s="295" t="s">
        <v>64</v>
      </c>
      <c r="U13" s="295" t="s">
        <v>64</v>
      </c>
      <c r="V13" s="295" t="s">
        <v>64</v>
      </c>
      <c r="W13" s="295" t="s">
        <v>64</v>
      </c>
      <c r="X13" s="295" t="s">
        <v>64</v>
      </c>
      <c r="Y13" s="295" t="s">
        <v>64</v>
      </c>
      <c r="Z13" s="295" t="s">
        <v>64</v>
      </c>
      <c r="AA13" s="295" t="s">
        <v>64</v>
      </c>
      <c r="AB13" s="295" t="s">
        <v>64</v>
      </c>
      <c r="AC13" s="295" t="s">
        <v>64</v>
      </c>
      <c r="AD13" s="295" t="s">
        <v>64</v>
      </c>
      <c r="AE13" s="295" t="s">
        <v>64</v>
      </c>
      <c r="AF13" s="295" t="s">
        <v>64</v>
      </c>
      <c r="AG13" s="296"/>
      <c r="AH13" s="295" t="s">
        <v>64</v>
      </c>
    </row>
    <row r="14" spans="1:37">
      <c r="A14" s="282" t="s">
        <v>995</v>
      </c>
      <c r="B14" s="297">
        <v>331885</v>
      </c>
      <c r="C14" s="297">
        <v>332455</v>
      </c>
      <c r="D14" s="297">
        <v>332455</v>
      </c>
      <c r="E14" s="297">
        <v>332455</v>
      </c>
      <c r="F14" s="297">
        <v>332455</v>
      </c>
      <c r="G14" s="297">
        <v>332455</v>
      </c>
      <c r="H14" s="297">
        <v>332455</v>
      </c>
      <c r="I14" s="297">
        <v>332455</v>
      </c>
      <c r="J14" s="297">
        <v>332984</v>
      </c>
      <c r="K14" s="297">
        <v>332984</v>
      </c>
      <c r="L14" s="297">
        <v>332984</v>
      </c>
      <c r="M14" s="297">
        <v>332984</v>
      </c>
      <c r="N14" s="297">
        <v>332984</v>
      </c>
      <c r="O14" s="297">
        <v>333519</v>
      </c>
      <c r="P14" s="297">
        <v>332984</v>
      </c>
      <c r="Q14" s="297">
        <v>333519</v>
      </c>
      <c r="R14" s="297">
        <v>333519</v>
      </c>
      <c r="S14" s="297">
        <v>333519</v>
      </c>
      <c r="T14" s="297">
        <v>333519</v>
      </c>
      <c r="U14" s="297">
        <v>333519</v>
      </c>
      <c r="V14" s="297">
        <v>333519</v>
      </c>
      <c r="W14" s="297">
        <v>333519</v>
      </c>
      <c r="X14" s="297">
        <v>333977</v>
      </c>
      <c r="Y14" s="297">
        <v>333977</v>
      </c>
      <c r="Z14" s="297">
        <v>333977</v>
      </c>
      <c r="AA14" s="297">
        <v>333977</v>
      </c>
      <c r="AB14" s="297">
        <v>333977</v>
      </c>
      <c r="AC14" s="297">
        <v>333977</v>
      </c>
      <c r="AD14" s="297">
        <v>333977</v>
      </c>
      <c r="AE14" s="297">
        <v>334467</v>
      </c>
      <c r="AF14" s="297">
        <v>334467</v>
      </c>
      <c r="AG14" s="298">
        <f>AF14-AH14</f>
        <v>2582</v>
      </c>
      <c r="AH14" s="297">
        <v>331885</v>
      </c>
      <c r="AI14" s="299">
        <v>2582</v>
      </c>
      <c r="AJ14" s="299"/>
      <c r="AK14" s="300"/>
    </row>
    <row r="15" spans="1:37" ht="25.5">
      <c r="A15" s="282" t="s">
        <v>67</v>
      </c>
      <c r="B15" s="297">
        <v>7790</v>
      </c>
      <c r="C15" s="297">
        <v>7790</v>
      </c>
      <c r="D15" s="297">
        <v>7792</v>
      </c>
      <c r="E15" s="297">
        <v>7794</v>
      </c>
      <c r="F15" s="297">
        <v>7796</v>
      </c>
      <c r="G15" s="297">
        <v>7797</v>
      </c>
      <c r="H15" s="297">
        <v>7799</v>
      </c>
      <c r="I15" s="297">
        <v>7802</v>
      </c>
      <c r="J15" s="297">
        <v>7804</v>
      </c>
      <c r="K15" s="297">
        <v>7805</v>
      </c>
      <c r="L15" s="297">
        <v>7807</v>
      </c>
      <c r="M15" s="297">
        <v>7810</v>
      </c>
      <c r="N15" s="297">
        <v>7810</v>
      </c>
      <c r="O15" s="297">
        <v>7819</v>
      </c>
      <c r="P15" s="297">
        <v>7816</v>
      </c>
      <c r="Q15" s="297">
        <v>7819</v>
      </c>
      <c r="R15" s="297">
        <v>7823</v>
      </c>
      <c r="S15" s="297">
        <v>7825</v>
      </c>
      <c r="T15" s="297">
        <v>7826</v>
      </c>
      <c r="U15" s="297">
        <v>7827</v>
      </c>
      <c r="V15" s="297">
        <v>7829</v>
      </c>
      <c r="W15" s="297">
        <v>7830</v>
      </c>
      <c r="X15" s="297">
        <v>7832</v>
      </c>
      <c r="Y15" s="297">
        <v>7834</v>
      </c>
      <c r="Z15" s="297">
        <v>7836</v>
      </c>
      <c r="AA15" s="297">
        <v>7836</v>
      </c>
      <c r="AB15" s="297">
        <v>7838</v>
      </c>
      <c r="AC15" s="297">
        <v>7839</v>
      </c>
      <c r="AD15" s="297">
        <v>7840</v>
      </c>
      <c r="AE15" s="297">
        <v>7842</v>
      </c>
      <c r="AF15" s="297">
        <v>7940</v>
      </c>
      <c r="AG15" s="298">
        <f t="shared" ref="AG15:AG34" si="0">AF15-AH15</f>
        <v>153</v>
      </c>
      <c r="AH15" s="297">
        <v>7787</v>
      </c>
      <c r="AI15" s="144">
        <v>153</v>
      </c>
      <c r="AJ15" s="299"/>
      <c r="AK15" s="302"/>
    </row>
    <row r="16" spans="1:37" ht="25.5">
      <c r="A16" s="282" t="s">
        <v>68</v>
      </c>
      <c r="B16" s="297">
        <v>12735</v>
      </c>
      <c r="C16" s="297">
        <v>12735</v>
      </c>
      <c r="D16" s="297">
        <v>12735</v>
      </c>
      <c r="E16" s="297">
        <v>12735</v>
      </c>
      <c r="F16" s="297">
        <v>12735</v>
      </c>
      <c r="G16" s="297">
        <v>12735</v>
      </c>
      <c r="H16" s="297">
        <v>12735</v>
      </c>
      <c r="I16" s="297">
        <v>12735</v>
      </c>
      <c r="J16" s="297">
        <v>12735</v>
      </c>
      <c r="K16" s="297">
        <v>12735</v>
      </c>
      <c r="L16" s="297">
        <v>12735</v>
      </c>
      <c r="M16" s="297">
        <v>12735</v>
      </c>
      <c r="N16" s="297">
        <v>12735</v>
      </c>
      <c r="O16" s="297">
        <v>12735</v>
      </c>
      <c r="P16" s="297">
        <v>12735</v>
      </c>
      <c r="Q16" s="297">
        <v>12735</v>
      </c>
      <c r="R16" s="297">
        <v>12735</v>
      </c>
      <c r="S16" s="297">
        <v>12735</v>
      </c>
      <c r="T16" s="297">
        <v>12735</v>
      </c>
      <c r="U16" s="297">
        <v>12735</v>
      </c>
      <c r="V16" s="297">
        <v>12735</v>
      </c>
      <c r="W16" s="297">
        <v>12735</v>
      </c>
      <c r="X16" s="297">
        <v>12735</v>
      </c>
      <c r="Y16" s="297">
        <v>12735</v>
      </c>
      <c r="Z16" s="297">
        <v>12735</v>
      </c>
      <c r="AA16" s="297">
        <v>12735</v>
      </c>
      <c r="AB16" s="297">
        <v>12735</v>
      </c>
      <c r="AC16" s="297">
        <v>12735</v>
      </c>
      <c r="AD16" s="297">
        <v>12735</v>
      </c>
      <c r="AE16" s="297">
        <v>12735</v>
      </c>
      <c r="AF16" s="297">
        <v>12735</v>
      </c>
      <c r="AG16" s="298">
        <f t="shared" si="0"/>
        <v>0</v>
      </c>
      <c r="AH16" s="297">
        <v>12735</v>
      </c>
      <c r="AI16" s="144">
        <v>0</v>
      </c>
      <c r="AJ16" s="299"/>
      <c r="AK16" s="302"/>
    </row>
    <row r="17" spans="1:37" ht="20.100000000000001" customHeight="1">
      <c r="A17" s="303"/>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8">
        <f t="shared" si="0"/>
        <v>0</v>
      </c>
      <c r="AH17" s="292"/>
      <c r="AI17" s="144">
        <v>0</v>
      </c>
      <c r="AK17" s="302"/>
    </row>
    <row r="18" spans="1:37">
      <c r="A18" s="282" t="s">
        <v>69</v>
      </c>
      <c r="B18" s="295" t="s">
        <v>64</v>
      </c>
      <c r="C18" s="295" t="s">
        <v>64</v>
      </c>
      <c r="D18" s="295" t="s">
        <v>64</v>
      </c>
      <c r="E18" s="295" t="s">
        <v>64</v>
      </c>
      <c r="F18" s="295" t="s">
        <v>64</v>
      </c>
      <c r="G18" s="295" t="s">
        <v>64</v>
      </c>
      <c r="H18" s="295" t="s">
        <v>64</v>
      </c>
      <c r="I18" s="295" t="s">
        <v>64</v>
      </c>
      <c r="J18" s="295" t="s">
        <v>64</v>
      </c>
      <c r="K18" s="295" t="s">
        <v>64</v>
      </c>
      <c r="L18" s="295" t="s">
        <v>64</v>
      </c>
      <c r="M18" s="295" t="s">
        <v>64</v>
      </c>
      <c r="N18" s="295" t="s">
        <v>64</v>
      </c>
      <c r="O18" s="295" t="s">
        <v>64</v>
      </c>
      <c r="P18" s="295" t="s">
        <v>64</v>
      </c>
      <c r="Q18" s="295" t="s">
        <v>64</v>
      </c>
      <c r="R18" s="295" t="s">
        <v>64</v>
      </c>
      <c r="S18" s="295" t="s">
        <v>64</v>
      </c>
      <c r="T18" s="295" t="s">
        <v>64</v>
      </c>
      <c r="U18" s="295" t="s">
        <v>64</v>
      </c>
      <c r="V18" s="295" t="s">
        <v>64</v>
      </c>
      <c r="W18" s="295" t="s">
        <v>64</v>
      </c>
      <c r="X18" s="295" t="s">
        <v>64</v>
      </c>
      <c r="Y18" s="295" t="s">
        <v>64</v>
      </c>
      <c r="Z18" s="295" t="s">
        <v>64</v>
      </c>
      <c r="AA18" s="295" t="s">
        <v>64</v>
      </c>
      <c r="AB18" s="295" t="s">
        <v>64</v>
      </c>
      <c r="AC18" s="295" t="s">
        <v>64</v>
      </c>
      <c r="AD18" s="295" t="s">
        <v>64</v>
      </c>
      <c r="AE18" s="295" t="s">
        <v>64</v>
      </c>
      <c r="AF18" s="295" t="s">
        <v>64</v>
      </c>
      <c r="AG18" s="298" t="e">
        <f t="shared" si="0"/>
        <v>#VALUE!</v>
      </c>
      <c r="AH18" s="295" t="s">
        <v>64</v>
      </c>
      <c r="AK18" s="171"/>
    </row>
    <row r="19" spans="1:37" ht="25.5">
      <c r="A19" s="282" t="s">
        <v>70</v>
      </c>
      <c r="B19" s="306">
        <v>77392</v>
      </c>
      <c r="C19" s="306">
        <v>77392</v>
      </c>
      <c r="D19" s="306">
        <v>77392</v>
      </c>
      <c r="E19" s="306">
        <v>77392</v>
      </c>
      <c r="F19" s="306">
        <v>77401</v>
      </c>
      <c r="G19" s="306">
        <v>77402</v>
      </c>
      <c r="H19" s="306">
        <v>77402</v>
      </c>
      <c r="I19" s="306">
        <v>77413</v>
      </c>
      <c r="J19" s="306">
        <v>77413</v>
      </c>
      <c r="K19" s="306">
        <v>77414</v>
      </c>
      <c r="L19" s="306">
        <v>77426</v>
      </c>
      <c r="M19" s="306">
        <v>77429</v>
      </c>
      <c r="N19" s="306">
        <v>77429</v>
      </c>
      <c r="O19" s="306">
        <v>77466</v>
      </c>
      <c r="P19" s="306">
        <v>77466</v>
      </c>
      <c r="Q19" s="306">
        <v>77466</v>
      </c>
      <c r="R19" s="306">
        <v>77466</v>
      </c>
      <c r="S19" s="306">
        <v>77469</v>
      </c>
      <c r="T19" s="306">
        <v>77469</v>
      </c>
      <c r="U19" s="306">
        <v>77539</v>
      </c>
      <c r="V19" s="306">
        <v>77555</v>
      </c>
      <c r="W19" s="306">
        <v>77555</v>
      </c>
      <c r="X19" s="306">
        <v>77555</v>
      </c>
      <c r="Y19" s="306">
        <v>77555</v>
      </c>
      <c r="Z19" s="306">
        <v>77632</v>
      </c>
      <c r="AA19" s="306">
        <v>77652</v>
      </c>
      <c r="AB19" s="306">
        <v>77652</v>
      </c>
      <c r="AC19" s="306">
        <v>77652</v>
      </c>
      <c r="AD19" s="306">
        <v>77652</v>
      </c>
      <c r="AE19" s="306">
        <v>77678</v>
      </c>
      <c r="AF19" s="306">
        <v>77678</v>
      </c>
      <c r="AG19" s="298">
        <f t="shared" si="0"/>
        <v>294</v>
      </c>
      <c r="AH19" s="306">
        <v>77384</v>
      </c>
      <c r="AI19" s="307">
        <v>294</v>
      </c>
      <c r="AJ19" s="307"/>
      <c r="AK19" s="300"/>
    </row>
    <row r="20" spans="1:37" ht="25.5">
      <c r="A20" s="282" t="s">
        <v>71</v>
      </c>
      <c r="B20" s="297" t="s">
        <v>2059</v>
      </c>
      <c r="C20" s="297" t="s">
        <v>2059</v>
      </c>
      <c r="D20" s="297" t="s">
        <v>2059</v>
      </c>
      <c r="E20" s="297" t="s">
        <v>2059</v>
      </c>
      <c r="F20" s="297" t="s">
        <v>2059</v>
      </c>
      <c r="G20" s="297" t="s">
        <v>2059</v>
      </c>
      <c r="H20" s="297" t="s">
        <v>2059</v>
      </c>
      <c r="I20" s="297" t="s">
        <v>2059</v>
      </c>
      <c r="J20" s="297" t="s">
        <v>2059</v>
      </c>
      <c r="K20" s="297" t="s">
        <v>2059</v>
      </c>
      <c r="L20" s="297" t="s">
        <v>2059</v>
      </c>
      <c r="M20" s="297" t="s">
        <v>2059</v>
      </c>
      <c r="N20" s="297" t="s">
        <v>2059</v>
      </c>
      <c r="O20" s="297" t="s">
        <v>2059</v>
      </c>
      <c r="P20" s="297" t="s">
        <v>2059</v>
      </c>
      <c r="Q20" s="297" t="s">
        <v>2059</v>
      </c>
      <c r="R20" s="297" t="s">
        <v>2059</v>
      </c>
      <c r="S20" s="297" t="s">
        <v>2308</v>
      </c>
      <c r="T20" s="297" t="s">
        <v>2308</v>
      </c>
      <c r="U20" s="297" t="s">
        <v>2308</v>
      </c>
      <c r="V20" s="297" t="s">
        <v>2308</v>
      </c>
      <c r="W20" s="297" t="s">
        <v>2309</v>
      </c>
      <c r="X20" s="297" t="s">
        <v>2309</v>
      </c>
      <c r="Y20" s="297" t="s">
        <v>2309</v>
      </c>
      <c r="Z20" s="297" t="s">
        <v>2310</v>
      </c>
      <c r="AA20" s="297" t="s">
        <v>2310</v>
      </c>
      <c r="AB20" s="297" t="s">
        <v>2310</v>
      </c>
      <c r="AC20" s="297" t="s">
        <v>2310</v>
      </c>
      <c r="AD20" s="297" t="s">
        <v>2310</v>
      </c>
      <c r="AE20" s="297" t="s">
        <v>2310</v>
      </c>
      <c r="AF20" s="297" t="s">
        <v>2310</v>
      </c>
      <c r="AG20" s="298" t="e">
        <f t="shared" si="0"/>
        <v>#VALUE!</v>
      </c>
      <c r="AH20" s="297" t="s">
        <v>2311</v>
      </c>
      <c r="AJ20" s="307"/>
      <c r="AK20" s="190"/>
    </row>
    <row r="21" spans="1:37">
      <c r="A21" s="282" t="s">
        <v>72</v>
      </c>
      <c r="B21" s="297">
        <v>174730</v>
      </c>
      <c r="C21" s="297">
        <v>175758</v>
      </c>
      <c r="D21" s="297">
        <v>175758</v>
      </c>
      <c r="E21" s="297">
        <v>175758</v>
      </c>
      <c r="F21" s="297">
        <v>175758</v>
      </c>
      <c r="G21" s="297">
        <v>175758</v>
      </c>
      <c r="H21" s="297">
        <v>175758</v>
      </c>
      <c r="I21" s="297">
        <v>175758</v>
      </c>
      <c r="J21" s="297">
        <v>176941</v>
      </c>
      <c r="K21" s="297">
        <v>176941</v>
      </c>
      <c r="L21" s="297">
        <v>176941</v>
      </c>
      <c r="M21" s="297">
        <v>176941</v>
      </c>
      <c r="N21" s="297">
        <v>176941</v>
      </c>
      <c r="O21" s="297">
        <v>177861</v>
      </c>
      <c r="P21" s="297">
        <v>176941</v>
      </c>
      <c r="Q21" s="297">
        <v>177861</v>
      </c>
      <c r="R21" s="297">
        <v>177861</v>
      </c>
      <c r="S21" s="297">
        <v>177861</v>
      </c>
      <c r="T21" s="297">
        <v>177861</v>
      </c>
      <c r="U21" s="297">
        <v>177861</v>
      </c>
      <c r="V21" s="297">
        <v>177861</v>
      </c>
      <c r="W21" s="297">
        <v>177861</v>
      </c>
      <c r="X21" s="297">
        <v>178389</v>
      </c>
      <c r="Y21" s="297">
        <v>178389</v>
      </c>
      <c r="Z21" s="297">
        <v>178389</v>
      </c>
      <c r="AA21" s="297">
        <v>178389</v>
      </c>
      <c r="AB21" s="297">
        <v>178389</v>
      </c>
      <c r="AC21" s="297">
        <v>178389</v>
      </c>
      <c r="AD21" s="297">
        <v>178389</v>
      </c>
      <c r="AE21" s="297">
        <v>178979</v>
      </c>
      <c r="AF21" s="297">
        <v>178979</v>
      </c>
      <c r="AG21" s="298">
        <f t="shared" si="0"/>
        <v>4249</v>
      </c>
      <c r="AH21" s="297">
        <v>174730</v>
      </c>
      <c r="AI21" s="144">
        <v>4249</v>
      </c>
      <c r="AJ21" s="307"/>
      <c r="AK21" s="308"/>
    </row>
    <row r="22" spans="1:37">
      <c r="A22" s="282" t="s">
        <v>73</v>
      </c>
      <c r="B22" s="297">
        <v>204680</v>
      </c>
      <c r="C22" s="297">
        <v>204710</v>
      </c>
      <c r="D22" s="297">
        <v>204741</v>
      </c>
      <c r="E22" s="297">
        <v>204780</v>
      </c>
      <c r="F22" s="297">
        <v>204812</v>
      </c>
      <c r="G22" s="297">
        <v>204853</v>
      </c>
      <c r="H22" s="297">
        <v>204884</v>
      </c>
      <c r="I22" s="297">
        <v>204915</v>
      </c>
      <c r="J22" s="297">
        <v>204948</v>
      </c>
      <c r="K22" s="297">
        <v>204978</v>
      </c>
      <c r="L22" s="297">
        <v>205008</v>
      </c>
      <c r="M22" s="297">
        <v>205049</v>
      </c>
      <c r="N22" s="297">
        <v>205081</v>
      </c>
      <c r="O22" s="297">
        <v>205168</v>
      </c>
      <c r="P22" s="297">
        <v>205137</v>
      </c>
      <c r="Q22" s="297">
        <v>205168</v>
      </c>
      <c r="R22" s="297">
        <v>205195</v>
      </c>
      <c r="S22" s="297">
        <v>205229</v>
      </c>
      <c r="T22" s="297">
        <v>205256</v>
      </c>
      <c r="U22" s="297">
        <v>205286</v>
      </c>
      <c r="V22" s="297">
        <v>205314</v>
      </c>
      <c r="W22" s="297">
        <v>205339</v>
      </c>
      <c r="X22" s="297">
        <v>205369</v>
      </c>
      <c r="Y22" s="297">
        <v>205398</v>
      </c>
      <c r="Z22" s="297">
        <v>205426</v>
      </c>
      <c r="AA22" s="297">
        <v>205456</v>
      </c>
      <c r="AB22" s="297">
        <v>205500</v>
      </c>
      <c r="AC22" s="297">
        <v>205533</v>
      </c>
      <c r="AD22" s="297">
        <v>205533</v>
      </c>
      <c r="AE22" s="297">
        <v>205589</v>
      </c>
      <c r="AF22" s="297">
        <v>205616</v>
      </c>
      <c r="AG22" s="298">
        <f t="shared" si="0"/>
        <v>1008</v>
      </c>
      <c r="AH22" s="297">
        <v>204608</v>
      </c>
      <c r="AI22" s="144">
        <v>1008</v>
      </c>
      <c r="AJ22" s="307"/>
      <c r="AK22" s="190"/>
    </row>
    <row r="23" spans="1:37">
      <c r="A23" s="309" t="s">
        <v>136</v>
      </c>
      <c r="B23" s="297">
        <v>10103</v>
      </c>
      <c r="C23" s="297">
        <v>10172</v>
      </c>
      <c r="D23" s="297">
        <v>10172</v>
      </c>
      <c r="E23" s="297">
        <v>10172</v>
      </c>
      <c r="F23" s="297">
        <v>10172</v>
      </c>
      <c r="G23" s="297">
        <v>10172</v>
      </c>
      <c r="H23" s="297">
        <v>10172</v>
      </c>
      <c r="I23" s="297">
        <v>10172</v>
      </c>
      <c r="J23" s="297">
        <v>10239</v>
      </c>
      <c r="K23" s="297">
        <v>10239</v>
      </c>
      <c r="L23" s="297">
        <v>10239</v>
      </c>
      <c r="M23" s="297">
        <v>10239</v>
      </c>
      <c r="N23" s="297">
        <v>10239</v>
      </c>
      <c r="O23" s="297">
        <v>10307</v>
      </c>
      <c r="P23" s="297">
        <v>10239</v>
      </c>
      <c r="Q23" s="297">
        <v>10307</v>
      </c>
      <c r="R23" s="297">
        <v>10307</v>
      </c>
      <c r="S23" s="297">
        <v>10307</v>
      </c>
      <c r="T23" s="297">
        <v>10307</v>
      </c>
      <c r="U23" s="297">
        <v>10307</v>
      </c>
      <c r="V23" s="297">
        <v>10307</v>
      </c>
      <c r="W23" s="297">
        <v>10307</v>
      </c>
      <c r="X23" s="297">
        <v>10359</v>
      </c>
      <c r="Y23" s="297">
        <v>10359</v>
      </c>
      <c r="Z23" s="297">
        <v>10359</v>
      </c>
      <c r="AA23" s="297">
        <v>10359</v>
      </c>
      <c r="AB23" s="297">
        <v>10359</v>
      </c>
      <c r="AC23" s="297">
        <v>10359</v>
      </c>
      <c r="AD23" s="297">
        <v>10359</v>
      </c>
      <c r="AE23" s="297">
        <v>10433</v>
      </c>
      <c r="AF23" s="297">
        <v>10433</v>
      </c>
      <c r="AG23" s="298">
        <f t="shared" si="0"/>
        <v>330</v>
      </c>
      <c r="AH23" s="297">
        <v>10103</v>
      </c>
      <c r="AI23" s="144">
        <v>330</v>
      </c>
      <c r="AJ23" s="307"/>
      <c r="AK23" s="190"/>
    </row>
    <row r="24" spans="1:37">
      <c r="A24" s="309" t="s">
        <v>139</v>
      </c>
      <c r="B24" s="297">
        <v>7196</v>
      </c>
      <c r="C24" s="297">
        <v>7235</v>
      </c>
      <c r="D24" s="297">
        <v>7235</v>
      </c>
      <c r="E24" s="297">
        <v>7235</v>
      </c>
      <c r="F24" s="297">
        <v>7235</v>
      </c>
      <c r="G24" s="297">
        <v>7235</v>
      </c>
      <c r="H24" s="297">
        <v>7235</v>
      </c>
      <c r="I24" s="297">
        <v>7235</v>
      </c>
      <c r="J24" s="297">
        <v>7278</v>
      </c>
      <c r="K24" s="297">
        <v>7278</v>
      </c>
      <c r="L24" s="297">
        <v>7278</v>
      </c>
      <c r="M24" s="297">
        <v>7278</v>
      </c>
      <c r="N24" s="297">
        <v>7278</v>
      </c>
      <c r="O24" s="297">
        <v>7327</v>
      </c>
      <c r="P24" s="297">
        <v>7278</v>
      </c>
      <c r="Q24" s="297">
        <v>7327</v>
      </c>
      <c r="R24" s="297">
        <v>7327</v>
      </c>
      <c r="S24" s="297">
        <v>7327</v>
      </c>
      <c r="T24" s="297">
        <v>7327</v>
      </c>
      <c r="U24" s="297">
        <v>7327</v>
      </c>
      <c r="V24" s="297">
        <v>7327</v>
      </c>
      <c r="W24" s="297">
        <v>7327</v>
      </c>
      <c r="X24" s="297">
        <v>7371</v>
      </c>
      <c r="Y24" s="297">
        <v>7371</v>
      </c>
      <c r="Z24" s="297">
        <v>7371</v>
      </c>
      <c r="AA24" s="297">
        <v>7371</v>
      </c>
      <c r="AB24" s="297">
        <v>7371</v>
      </c>
      <c r="AC24" s="297">
        <v>7371</v>
      </c>
      <c r="AD24" s="297">
        <v>7371</v>
      </c>
      <c r="AE24" s="297">
        <v>7416</v>
      </c>
      <c r="AF24" s="297">
        <v>7416</v>
      </c>
      <c r="AG24" s="298">
        <f t="shared" si="0"/>
        <v>220</v>
      </c>
      <c r="AH24" s="297">
        <v>7196</v>
      </c>
      <c r="AI24" s="144">
        <v>220</v>
      </c>
      <c r="AJ24" s="307"/>
      <c r="AK24" s="190"/>
    </row>
    <row r="25" spans="1:37">
      <c r="A25" s="309" t="s">
        <v>142</v>
      </c>
      <c r="B25" s="297">
        <v>2882</v>
      </c>
      <c r="C25" s="297">
        <v>2902</v>
      </c>
      <c r="D25" s="297">
        <v>2902</v>
      </c>
      <c r="E25" s="297">
        <v>2902</v>
      </c>
      <c r="F25" s="297">
        <v>2902</v>
      </c>
      <c r="G25" s="297">
        <v>2902</v>
      </c>
      <c r="H25" s="297">
        <v>2902</v>
      </c>
      <c r="I25" s="297">
        <v>2902</v>
      </c>
      <c r="J25" s="297">
        <v>2925</v>
      </c>
      <c r="K25" s="297">
        <v>2925</v>
      </c>
      <c r="L25" s="297">
        <v>2925</v>
      </c>
      <c r="M25" s="297">
        <v>2925</v>
      </c>
      <c r="N25" s="297">
        <v>2925</v>
      </c>
      <c r="O25" s="297">
        <v>2950</v>
      </c>
      <c r="P25" s="297">
        <v>2925</v>
      </c>
      <c r="Q25" s="297">
        <v>2950</v>
      </c>
      <c r="R25" s="297">
        <v>2950</v>
      </c>
      <c r="S25" s="297">
        <v>2950</v>
      </c>
      <c r="T25" s="297">
        <v>2950</v>
      </c>
      <c r="U25" s="297">
        <v>2950</v>
      </c>
      <c r="V25" s="297">
        <v>2950</v>
      </c>
      <c r="W25" s="297">
        <v>2950</v>
      </c>
      <c r="X25" s="297">
        <v>2962</v>
      </c>
      <c r="Y25" s="297">
        <v>2962</v>
      </c>
      <c r="Z25" s="297">
        <v>2962</v>
      </c>
      <c r="AA25" s="297">
        <v>2962</v>
      </c>
      <c r="AB25" s="297">
        <v>2962</v>
      </c>
      <c r="AC25" s="297">
        <v>2962</v>
      </c>
      <c r="AD25" s="297">
        <v>2962</v>
      </c>
      <c r="AE25" s="297">
        <v>2962</v>
      </c>
      <c r="AF25" s="297">
        <v>2962</v>
      </c>
      <c r="AG25" s="298">
        <f t="shared" si="0"/>
        <v>80</v>
      </c>
      <c r="AH25" s="297">
        <v>2882</v>
      </c>
      <c r="AI25" s="144">
        <v>80</v>
      </c>
      <c r="AJ25" s="307"/>
      <c r="AK25" s="190"/>
    </row>
    <row r="26" spans="1:37">
      <c r="A26" s="309" t="s">
        <v>145</v>
      </c>
      <c r="B26" s="297">
        <v>1574</v>
      </c>
      <c r="C26" s="297">
        <v>1588</v>
      </c>
      <c r="D26" s="297">
        <v>1588</v>
      </c>
      <c r="E26" s="297">
        <v>1588</v>
      </c>
      <c r="F26" s="297">
        <v>1588</v>
      </c>
      <c r="G26" s="297">
        <v>1588</v>
      </c>
      <c r="H26" s="297">
        <v>1588</v>
      </c>
      <c r="I26" s="297">
        <v>1588</v>
      </c>
      <c r="J26" s="297">
        <v>1601</v>
      </c>
      <c r="K26" s="297">
        <v>1601</v>
      </c>
      <c r="L26" s="297">
        <v>1601</v>
      </c>
      <c r="M26" s="297">
        <v>1601</v>
      </c>
      <c r="N26" s="297">
        <v>1601</v>
      </c>
      <c r="O26" s="297">
        <v>1614</v>
      </c>
      <c r="P26" s="297">
        <v>1601</v>
      </c>
      <c r="Q26" s="297">
        <v>1614</v>
      </c>
      <c r="R26" s="297">
        <v>1614</v>
      </c>
      <c r="S26" s="297">
        <v>1614</v>
      </c>
      <c r="T26" s="297">
        <v>1614</v>
      </c>
      <c r="U26" s="297">
        <v>1614</v>
      </c>
      <c r="V26" s="297">
        <v>1614</v>
      </c>
      <c r="W26" s="297">
        <v>1614</v>
      </c>
      <c r="X26" s="297">
        <v>1622</v>
      </c>
      <c r="Y26" s="297">
        <v>1622</v>
      </c>
      <c r="Z26" s="297">
        <v>1622</v>
      </c>
      <c r="AA26" s="297">
        <v>1622</v>
      </c>
      <c r="AB26" s="297">
        <v>1622</v>
      </c>
      <c r="AC26" s="297">
        <v>1622</v>
      </c>
      <c r="AD26" s="297">
        <v>1622</v>
      </c>
      <c r="AE26" s="297">
        <v>1632</v>
      </c>
      <c r="AF26" s="297">
        <v>1632</v>
      </c>
      <c r="AG26" s="298">
        <f t="shared" si="0"/>
        <v>58</v>
      </c>
      <c r="AH26" s="297">
        <v>1574</v>
      </c>
      <c r="AI26" s="144">
        <v>58</v>
      </c>
      <c r="AJ26" s="307"/>
      <c r="AK26" s="190"/>
    </row>
    <row r="27" spans="1:37">
      <c r="A27" s="309" t="s">
        <v>148</v>
      </c>
      <c r="B27" s="297">
        <v>11819</v>
      </c>
      <c r="C27" s="297">
        <v>11902</v>
      </c>
      <c r="D27" s="297">
        <v>11902</v>
      </c>
      <c r="E27" s="297">
        <v>11902</v>
      </c>
      <c r="F27" s="297">
        <v>11902</v>
      </c>
      <c r="G27" s="297">
        <v>11902</v>
      </c>
      <c r="H27" s="297">
        <v>11902</v>
      </c>
      <c r="I27" s="297">
        <v>11902</v>
      </c>
      <c r="J27" s="297">
        <v>11988</v>
      </c>
      <c r="K27" s="297">
        <v>11988</v>
      </c>
      <c r="L27" s="297">
        <v>11988</v>
      </c>
      <c r="M27" s="297">
        <v>11988</v>
      </c>
      <c r="N27" s="297">
        <v>11988</v>
      </c>
      <c r="O27" s="297">
        <v>12069</v>
      </c>
      <c r="P27" s="297">
        <v>11988</v>
      </c>
      <c r="Q27" s="297">
        <v>12069</v>
      </c>
      <c r="R27" s="297">
        <v>12069</v>
      </c>
      <c r="S27" s="297">
        <v>12069</v>
      </c>
      <c r="T27" s="297">
        <v>12069</v>
      </c>
      <c r="U27" s="297">
        <v>12069</v>
      </c>
      <c r="V27" s="297">
        <v>12069</v>
      </c>
      <c r="W27" s="297">
        <v>12069</v>
      </c>
      <c r="X27" s="297">
        <v>12118</v>
      </c>
      <c r="Y27" s="297">
        <v>12118</v>
      </c>
      <c r="Z27" s="297">
        <v>12118</v>
      </c>
      <c r="AA27" s="297">
        <v>12118</v>
      </c>
      <c r="AB27" s="297">
        <v>12118</v>
      </c>
      <c r="AC27" s="297">
        <v>12118</v>
      </c>
      <c r="AD27" s="297">
        <v>12118</v>
      </c>
      <c r="AE27" s="297">
        <v>12174</v>
      </c>
      <c r="AF27" s="297">
        <v>12174</v>
      </c>
      <c r="AG27" s="298">
        <f t="shared" si="0"/>
        <v>355</v>
      </c>
      <c r="AH27" s="297">
        <v>11819</v>
      </c>
      <c r="AI27" s="144">
        <v>355</v>
      </c>
      <c r="AJ27" s="307"/>
      <c r="AK27" s="190"/>
    </row>
    <row r="28" spans="1:37">
      <c r="A28" s="309" t="s">
        <v>151</v>
      </c>
      <c r="B28" s="297">
        <v>1339</v>
      </c>
      <c r="C28" s="297">
        <v>1339</v>
      </c>
      <c r="D28" s="297">
        <v>1339</v>
      </c>
      <c r="E28" s="297">
        <v>1339</v>
      </c>
      <c r="F28" s="297">
        <v>1339</v>
      </c>
      <c r="G28" s="297">
        <v>1339</v>
      </c>
      <c r="H28" s="297">
        <v>1339</v>
      </c>
      <c r="I28" s="297">
        <v>1339</v>
      </c>
      <c r="J28" s="297">
        <v>1339</v>
      </c>
      <c r="K28" s="297">
        <v>1339</v>
      </c>
      <c r="L28" s="297">
        <v>1339</v>
      </c>
      <c r="M28" s="297">
        <v>1339</v>
      </c>
      <c r="N28" s="297">
        <v>1339</v>
      </c>
      <c r="O28" s="297">
        <v>1339</v>
      </c>
      <c r="P28" s="297">
        <v>1339</v>
      </c>
      <c r="Q28" s="297">
        <v>1339</v>
      </c>
      <c r="R28" s="297">
        <v>1339</v>
      </c>
      <c r="S28" s="297">
        <v>1339</v>
      </c>
      <c r="T28" s="297">
        <v>1339</v>
      </c>
      <c r="U28" s="297">
        <v>1339</v>
      </c>
      <c r="V28" s="297">
        <v>1339</v>
      </c>
      <c r="W28" s="297">
        <v>1339</v>
      </c>
      <c r="X28" s="297">
        <v>1339</v>
      </c>
      <c r="Y28" s="297">
        <v>1339</v>
      </c>
      <c r="Z28" s="297">
        <v>1339</v>
      </c>
      <c r="AA28" s="297">
        <v>1339</v>
      </c>
      <c r="AB28" s="297">
        <v>1339</v>
      </c>
      <c r="AC28" s="297">
        <v>1339</v>
      </c>
      <c r="AD28" s="297">
        <v>1339</v>
      </c>
      <c r="AE28" s="297">
        <v>1339</v>
      </c>
      <c r="AF28" s="297">
        <v>1339</v>
      </c>
      <c r="AG28" s="298">
        <f t="shared" si="0"/>
        <v>0</v>
      </c>
      <c r="AH28" s="297">
        <v>1339</v>
      </c>
      <c r="AI28" s="144">
        <v>0</v>
      </c>
      <c r="AJ28" s="307"/>
      <c r="AK28" s="190"/>
    </row>
    <row r="29" spans="1:37">
      <c r="A29" s="309" t="s">
        <v>154</v>
      </c>
      <c r="B29" s="297">
        <v>788</v>
      </c>
      <c r="C29" s="297">
        <v>793</v>
      </c>
      <c r="D29" s="297">
        <v>793</v>
      </c>
      <c r="E29" s="297">
        <v>793</v>
      </c>
      <c r="F29" s="297">
        <v>793</v>
      </c>
      <c r="G29" s="297">
        <v>793</v>
      </c>
      <c r="H29" s="297">
        <v>793</v>
      </c>
      <c r="I29" s="297">
        <v>793</v>
      </c>
      <c r="J29" s="297">
        <v>798</v>
      </c>
      <c r="K29" s="297">
        <v>798</v>
      </c>
      <c r="L29" s="297">
        <v>798</v>
      </c>
      <c r="M29" s="297">
        <v>798</v>
      </c>
      <c r="N29" s="297">
        <v>798</v>
      </c>
      <c r="O29" s="297">
        <v>802</v>
      </c>
      <c r="P29" s="297">
        <v>798</v>
      </c>
      <c r="Q29" s="297">
        <v>802</v>
      </c>
      <c r="R29" s="297">
        <v>802</v>
      </c>
      <c r="S29" s="297">
        <v>802</v>
      </c>
      <c r="T29" s="297">
        <v>802</v>
      </c>
      <c r="U29" s="297">
        <v>802</v>
      </c>
      <c r="V29" s="297">
        <v>802</v>
      </c>
      <c r="W29" s="297">
        <v>802</v>
      </c>
      <c r="X29" s="297">
        <v>806</v>
      </c>
      <c r="Y29" s="297">
        <v>806</v>
      </c>
      <c r="Z29" s="297">
        <v>806</v>
      </c>
      <c r="AA29" s="297">
        <v>806</v>
      </c>
      <c r="AB29" s="297">
        <v>806</v>
      </c>
      <c r="AC29" s="297">
        <v>806</v>
      </c>
      <c r="AD29" s="297">
        <v>806</v>
      </c>
      <c r="AE29" s="297">
        <v>810</v>
      </c>
      <c r="AF29" s="297">
        <v>810</v>
      </c>
      <c r="AG29" s="298">
        <f t="shared" si="0"/>
        <v>22</v>
      </c>
      <c r="AH29" s="297">
        <v>788</v>
      </c>
      <c r="AI29" s="144">
        <v>22</v>
      </c>
      <c r="AJ29" s="307"/>
      <c r="AK29" s="190"/>
    </row>
    <row r="30" spans="1:37">
      <c r="A30" s="303"/>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298">
        <f t="shared" si="0"/>
        <v>0</v>
      </c>
      <c r="AH30" s="292"/>
      <c r="AK30" s="190"/>
    </row>
    <row r="31" spans="1:37">
      <c r="A31" s="282" t="s">
        <v>74</v>
      </c>
      <c r="B31" s="295" t="s">
        <v>75</v>
      </c>
      <c r="C31" s="295" t="s">
        <v>75</v>
      </c>
      <c r="D31" s="295" t="s">
        <v>75</v>
      </c>
      <c r="E31" s="295" t="s">
        <v>75</v>
      </c>
      <c r="F31" s="295" t="s">
        <v>75</v>
      </c>
      <c r="G31" s="295" t="s">
        <v>75</v>
      </c>
      <c r="H31" s="295" t="s">
        <v>75</v>
      </c>
      <c r="I31" s="295" t="s">
        <v>75</v>
      </c>
      <c r="J31" s="295" t="s">
        <v>75</v>
      </c>
      <c r="K31" s="295" t="s">
        <v>75</v>
      </c>
      <c r="L31" s="295" t="s">
        <v>75</v>
      </c>
      <c r="M31" s="295" t="s">
        <v>75</v>
      </c>
      <c r="N31" s="295" t="s">
        <v>75</v>
      </c>
      <c r="O31" s="295" t="s">
        <v>75</v>
      </c>
      <c r="P31" s="295" t="s">
        <v>75</v>
      </c>
      <c r="Q31" s="295" t="s">
        <v>75</v>
      </c>
      <c r="R31" s="295" t="s">
        <v>75</v>
      </c>
      <c r="S31" s="295" t="s">
        <v>75</v>
      </c>
      <c r="T31" s="295" t="s">
        <v>75</v>
      </c>
      <c r="U31" s="295" t="s">
        <v>75</v>
      </c>
      <c r="V31" s="295" t="s">
        <v>75</v>
      </c>
      <c r="W31" s="295" t="s">
        <v>75</v>
      </c>
      <c r="X31" s="295" t="s">
        <v>75</v>
      </c>
      <c r="Y31" s="295" t="s">
        <v>75</v>
      </c>
      <c r="Z31" s="295" t="s">
        <v>75</v>
      </c>
      <c r="AA31" s="295" t="s">
        <v>75</v>
      </c>
      <c r="AB31" s="295" t="s">
        <v>75</v>
      </c>
      <c r="AC31" s="295" t="s">
        <v>75</v>
      </c>
      <c r="AD31" s="295" t="s">
        <v>75</v>
      </c>
      <c r="AE31" s="295" t="s">
        <v>75</v>
      </c>
      <c r="AF31" s="295" t="s">
        <v>75</v>
      </c>
      <c r="AG31" s="298" t="e">
        <f t="shared" si="0"/>
        <v>#VALUE!</v>
      </c>
      <c r="AH31" s="295" t="s">
        <v>75</v>
      </c>
    </row>
    <row r="32" spans="1:37" ht="25.5">
      <c r="A32" s="282" t="s">
        <v>77</v>
      </c>
      <c r="B32" s="21" t="s">
        <v>78</v>
      </c>
      <c r="C32" s="21" t="s">
        <v>78</v>
      </c>
      <c r="D32" s="21" t="s">
        <v>78</v>
      </c>
      <c r="E32" s="21" t="s">
        <v>78</v>
      </c>
      <c r="F32" s="21" t="s">
        <v>78</v>
      </c>
      <c r="G32" s="21" t="s">
        <v>78</v>
      </c>
      <c r="H32" s="21" t="s">
        <v>78</v>
      </c>
      <c r="I32" s="21" t="s">
        <v>78</v>
      </c>
      <c r="J32" s="21" t="s">
        <v>78</v>
      </c>
      <c r="K32" s="21" t="s">
        <v>78</v>
      </c>
      <c r="L32" s="21" t="s">
        <v>78</v>
      </c>
      <c r="M32" s="21" t="s">
        <v>78</v>
      </c>
      <c r="N32" s="21" t="s">
        <v>78</v>
      </c>
      <c r="O32" s="21" t="s">
        <v>78</v>
      </c>
      <c r="P32" s="21" t="s">
        <v>78</v>
      </c>
      <c r="Q32" s="21" t="s">
        <v>78</v>
      </c>
      <c r="R32" s="21" t="s">
        <v>78</v>
      </c>
      <c r="S32" s="21" t="s">
        <v>78</v>
      </c>
      <c r="T32" s="21" t="s">
        <v>78</v>
      </c>
      <c r="U32" s="21" t="s">
        <v>78</v>
      </c>
      <c r="V32" s="21" t="s">
        <v>78</v>
      </c>
      <c r="W32" s="21" t="s">
        <v>78</v>
      </c>
      <c r="X32" s="21" t="s">
        <v>78</v>
      </c>
      <c r="Y32" s="21" t="s">
        <v>78</v>
      </c>
      <c r="Z32" s="21" t="s">
        <v>78</v>
      </c>
      <c r="AA32" s="21" t="s">
        <v>78</v>
      </c>
      <c r="AB32" s="21" t="s">
        <v>78</v>
      </c>
      <c r="AC32" s="21" t="s">
        <v>78</v>
      </c>
      <c r="AD32" s="21" t="s">
        <v>78</v>
      </c>
      <c r="AE32" s="21" t="s">
        <v>78</v>
      </c>
      <c r="AF32" s="21" t="s">
        <v>78</v>
      </c>
      <c r="AG32" s="298" t="e">
        <f t="shared" si="0"/>
        <v>#VALUE!</v>
      </c>
      <c r="AH32" s="21" t="s">
        <v>78</v>
      </c>
    </row>
    <row r="33" spans="1:34" ht="25.5">
      <c r="A33" s="282" t="s">
        <v>80</v>
      </c>
      <c r="B33" s="21" t="s">
        <v>2062</v>
      </c>
      <c r="C33" s="21" t="s">
        <v>2312</v>
      </c>
      <c r="D33" s="21" t="s">
        <v>2312</v>
      </c>
      <c r="E33" s="21" t="s">
        <v>2312</v>
      </c>
      <c r="F33" s="21" t="s">
        <v>2312</v>
      </c>
      <c r="G33" s="21" t="s">
        <v>2312</v>
      </c>
      <c r="H33" s="21" t="s">
        <v>2312</v>
      </c>
      <c r="I33" s="21" t="s">
        <v>2312</v>
      </c>
      <c r="J33" s="21" t="s">
        <v>2313</v>
      </c>
      <c r="K33" s="21" t="s">
        <v>2313</v>
      </c>
      <c r="L33" s="21" t="s">
        <v>2313</v>
      </c>
      <c r="M33" s="21" t="s">
        <v>2313</v>
      </c>
      <c r="N33" s="21" t="s">
        <v>2313</v>
      </c>
      <c r="O33" s="21" t="s">
        <v>2314</v>
      </c>
      <c r="P33" s="21" t="s">
        <v>2313</v>
      </c>
      <c r="Q33" s="21" t="s">
        <v>2314</v>
      </c>
      <c r="R33" s="21" t="s">
        <v>2314</v>
      </c>
      <c r="S33" s="21" t="s">
        <v>2314</v>
      </c>
      <c r="T33" s="21" t="s">
        <v>2314</v>
      </c>
      <c r="U33" s="21" t="s">
        <v>2314</v>
      </c>
      <c r="V33" s="21" t="s">
        <v>2314</v>
      </c>
      <c r="W33" s="21" t="s">
        <v>2314</v>
      </c>
      <c r="X33" s="21" t="s">
        <v>2313</v>
      </c>
      <c r="Y33" s="21" t="s">
        <v>2313</v>
      </c>
      <c r="Z33" s="21" t="s">
        <v>2313</v>
      </c>
      <c r="AA33" s="21" t="s">
        <v>2313</v>
      </c>
      <c r="AB33" s="21" t="s">
        <v>2313</v>
      </c>
      <c r="AC33" s="21" t="s">
        <v>2313</v>
      </c>
      <c r="AD33" s="21" t="s">
        <v>2313</v>
      </c>
      <c r="AE33" s="21" t="s">
        <v>2315</v>
      </c>
      <c r="AF33" s="21" t="s">
        <v>2315</v>
      </c>
      <c r="AG33" s="298" t="e">
        <f t="shared" si="0"/>
        <v>#VALUE!</v>
      </c>
      <c r="AH33" s="21" t="s">
        <v>2061</v>
      </c>
    </row>
    <row r="34" spans="1:34" ht="15.75" thickBot="1">
      <c r="A34" s="310" t="s">
        <v>81</v>
      </c>
      <c r="B34" s="311" t="s">
        <v>2063</v>
      </c>
      <c r="C34" s="311" t="s">
        <v>2063</v>
      </c>
      <c r="D34" s="311" t="s">
        <v>2316</v>
      </c>
      <c r="E34" s="311" t="s">
        <v>2316</v>
      </c>
      <c r="F34" s="311" t="s">
        <v>2316</v>
      </c>
      <c r="G34" s="311" t="s">
        <v>2316</v>
      </c>
      <c r="H34" s="311" t="s">
        <v>2316</v>
      </c>
      <c r="I34" s="311" t="s">
        <v>2316</v>
      </c>
      <c r="J34" s="311" t="s">
        <v>2316</v>
      </c>
      <c r="K34" s="311" t="s">
        <v>2316</v>
      </c>
      <c r="L34" s="311" t="s">
        <v>2316</v>
      </c>
      <c r="M34" s="311" t="s">
        <v>2316</v>
      </c>
      <c r="N34" s="311" t="s">
        <v>2316</v>
      </c>
      <c r="O34" s="311" t="s">
        <v>2316</v>
      </c>
      <c r="P34" s="311" t="s">
        <v>2316</v>
      </c>
      <c r="Q34" s="311" t="s">
        <v>2316</v>
      </c>
      <c r="R34" s="311" t="s">
        <v>2316</v>
      </c>
      <c r="S34" s="311" t="s">
        <v>2316</v>
      </c>
      <c r="T34" s="311" t="s">
        <v>2316</v>
      </c>
      <c r="U34" s="311" t="s">
        <v>2316</v>
      </c>
      <c r="V34" s="311" t="s">
        <v>2316</v>
      </c>
      <c r="W34" s="311" t="s">
        <v>2316</v>
      </c>
      <c r="X34" s="311" t="s">
        <v>2316</v>
      </c>
      <c r="Y34" s="311" t="s">
        <v>2316</v>
      </c>
      <c r="Z34" s="311" t="s">
        <v>2316</v>
      </c>
      <c r="AA34" s="311" t="s">
        <v>2316</v>
      </c>
      <c r="AB34" s="311" t="s">
        <v>2316</v>
      </c>
      <c r="AC34" s="311" t="s">
        <v>2316</v>
      </c>
      <c r="AD34" s="311" t="s">
        <v>2316</v>
      </c>
      <c r="AE34" s="311" t="s">
        <v>2317</v>
      </c>
      <c r="AF34" s="311" t="s">
        <v>2317</v>
      </c>
      <c r="AG34" s="298" t="e">
        <f t="shared" si="0"/>
        <v>#VALUE!</v>
      </c>
      <c r="AH34" s="311" t="s">
        <v>2063</v>
      </c>
    </row>
    <row r="35" spans="1:34">
      <c r="AG35" s="211"/>
    </row>
    <row r="36" spans="1:34">
      <c r="AG36" s="211"/>
    </row>
  </sheetData>
  <mergeCells count="1">
    <mergeCell ref="A1:AH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C982-1EAA-46FC-AA4F-3FFB15C27B9C}">
  <dimension ref="A1:AK36"/>
  <sheetViews>
    <sheetView topLeftCell="O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6.570312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45292</v>
      </c>
      <c r="C2" s="281">
        <v>45293</v>
      </c>
      <c r="D2" s="281">
        <v>45294</v>
      </c>
      <c r="E2" s="281">
        <v>45295</v>
      </c>
      <c r="F2" s="281">
        <v>45296</v>
      </c>
      <c r="G2" s="281">
        <v>45297</v>
      </c>
      <c r="H2" s="281">
        <v>45298</v>
      </c>
      <c r="I2" s="281">
        <v>45299</v>
      </c>
      <c r="J2" s="281">
        <v>45300</v>
      </c>
      <c r="K2" s="281">
        <v>45301</v>
      </c>
      <c r="L2" s="281">
        <v>45302</v>
      </c>
      <c r="M2" s="281">
        <v>45303</v>
      </c>
      <c r="N2" s="281">
        <v>45304</v>
      </c>
      <c r="O2" s="281">
        <v>45305</v>
      </c>
      <c r="P2" s="281">
        <v>45306</v>
      </c>
      <c r="Q2" s="281">
        <v>45307</v>
      </c>
      <c r="R2" s="281">
        <v>45308</v>
      </c>
      <c r="S2" s="281">
        <v>45309</v>
      </c>
      <c r="T2" s="281">
        <v>45310</v>
      </c>
      <c r="U2" s="281">
        <v>45311</v>
      </c>
      <c r="V2" s="281">
        <v>45312</v>
      </c>
      <c r="W2" s="281">
        <v>45313</v>
      </c>
      <c r="X2" s="281">
        <v>45314</v>
      </c>
      <c r="Y2" s="281">
        <v>45315</v>
      </c>
      <c r="Z2" s="281">
        <v>45316</v>
      </c>
      <c r="AA2" s="281">
        <v>45317</v>
      </c>
      <c r="AB2" s="281">
        <v>45318</v>
      </c>
      <c r="AC2" s="281">
        <v>45319</v>
      </c>
      <c r="AD2" s="281">
        <v>45320</v>
      </c>
      <c r="AE2" s="281">
        <v>45321</v>
      </c>
      <c r="AF2" s="281">
        <v>45322</v>
      </c>
      <c r="AG2" s="281"/>
      <c r="AH2" s="281">
        <v>45291</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286" t="s">
        <v>2094</v>
      </c>
      <c r="C4" s="286" t="s">
        <v>2318</v>
      </c>
      <c r="D4" s="286" t="s">
        <v>2319</v>
      </c>
      <c r="E4" s="286" t="s">
        <v>2320</v>
      </c>
      <c r="F4" s="286" t="s">
        <v>2321</v>
      </c>
      <c r="G4" s="286" t="s">
        <v>2322</v>
      </c>
      <c r="H4" s="286" t="s">
        <v>2323</v>
      </c>
      <c r="I4" s="286" t="s">
        <v>2324</v>
      </c>
      <c r="J4" s="286" t="s">
        <v>2325</v>
      </c>
      <c r="K4" s="286" t="s">
        <v>2326</v>
      </c>
      <c r="L4" s="286" t="s">
        <v>2327</v>
      </c>
      <c r="M4" s="286" t="s">
        <v>2328</v>
      </c>
      <c r="N4" s="286" t="s">
        <v>2329</v>
      </c>
      <c r="O4" s="286" t="s">
        <v>2330</v>
      </c>
      <c r="P4" s="289" t="s">
        <v>2331</v>
      </c>
      <c r="Q4" s="289" t="s">
        <v>2332</v>
      </c>
      <c r="R4" s="289" t="s">
        <v>2333</v>
      </c>
      <c r="S4" s="289" t="s">
        <v>2334</v>
      </c>
      <c r="T4" s="289" t="s">
        <v>2335</v>
      </c>
      <c r="U4" s="289" t="s">
        <v>2336</v>
      </c>
      <c r="V4" s="289" t="s">
        <v>2337</v>
      </c>
      <c r="W4" s="289" t="s">
        <v>2338</v>
      </c>
      <c r="X4" s="286" t="s">
        <v>2339</v>
      </c>
      <c r="Y4" s="286" t="s">
        <v>2340</v>
      </c>
      <c r="Z4" s="286" t="s">
        <v>2341</v>
      </c>
      <c r="AA4" s="286" t="s">
        <v>2342</v>
      </c>
      <c r="AB4" s="286" t="s">
        <v>2343</v>
      </c>
      <c r="AC4" s="286" t="s">
        <v>2344</v>
      </c>
      <c r="AD4" s="286" t="s">
        <v>2345</v>
      </c>
      <c r="AE4" s="286" t="s">
        <v>2346</v>
      </c>
      <c r="AF4" s="286" t="s">
        <v>2347</v>
      </c>
      <c r="AG4" s="287"/>
      <c r="AH4" s="286" t="s">
        <v>2094</v>
      </c>
      <c r="AI4" s="288"/>
    </row>
    <row r="5" spans="1:37" ht="20.100000000000001" customHeight="1">
      <c r="A5" s="285" t="s">
        <v>55</v>
      </c>
      <c r="B5" s="286" t="s">
        <v>2348</v>
      </c>
      <c r="C5" s="286" t="s">
        <v>2349</v>
      </c>
      <c r="D5" s="286" t="s">
        <v>2350</v>
      </c>
      <c r="E5" s="286" t="s">
        <v>2351</v>
      </c>
      <c r="F5" s="286" t="s">
        <v>2352</v>
      </c>
      <c r="G5" s="286" t="s">
        <v>2353</v>
      </c>
      <c r="H5" s="286" t="s">
        <v>2354</v>
      </c>
      <c r="I5" s="286" t="s">
        <v>2355</v>
      </c>
      <c r="J5" s="286" t="s">
        <v>2356</v>
      </c>
      <c r="K5" s="286" t="s">
        <v>2357</v>
      </c>
      <c r="L5" s="286" t="s">
        <v>2358</v>
      </c>
      <c r="M5" s="286" t="s">
        <v>2359</v>
      </c>
      <c r="N5" s="286" t="s">
        <v>2360</v>
      </c>
      <c r="O5" s="286" t="s">
        <v>2361</v>
      </c>
      <c r="P5" s="289" t="s">
        <v>2362</v>
      </c>
      <c r="Q5" s="289" t="s">
        <v>2363</v>
      </c>
      <c r="R5" s="289" t="s">
        <v>2364</v>
      </c>
      <c r="S5" s="289" t="s">
        <v>2365</v>
      </c>
      <c r="T5" s="289" t="s">
        <v>2366</v>
      </c>
      <c r="U5" s="289" t="s">
        <v>2367</v>
      </c>
      <c r="V5" s="289" t="s">
        <v>2368</v>
      </c>
      <c r="W5" s="289" t="s">
        <v>2369</v>
      </c>
      <c r="X5" s="21" t="s">
        <v>2370</v>
      </c>
      <c r="Y5" s="21">
        <v>10224104</v>
      </c>
      <c r="Z5" s="21">
        <v>10230625</v>
      </c>
      <c r="AA5" s="286" t="s">
        <v>2371</v>
      </c>
      <c r="AB5" s="286" t="s">
        <v>2372</v>
      </c>
      <c r="AC5" s="286" t="s">
        <v>2373</v>
      </c>
      <c r="AD5" s="286" t="s">
        <v>2374</v>
      </c>
      <c r="AE5" s="286" t="s">
        <v>2375</v>
      </c>
      <c r="AF5" s="286" t="s">
        <v>2376</v>
      </c>
      <c r="AG5" s="287"/>
      <c r="AH5" s="286" t="s">
        <v>2125</v>
      </c>
      <c r="AI5" s="288"/>
    </row>
    <row r="6" spans="1:37" ht="20.100000000000001" customHeight="1">
      <c r="A6" s="285" t="s">
        <v>56</v>
      </c>
      <c r="B6" s="289" t="s">
        <v>2377</v>
      </c>
      <c r="C6" s="289" t="s">
        <v>2378</v>
      </c>
      <c r="D6" s="289" t="s">
        <v>2379</v>
      </c>
      <c r="E6" s="289" t="s">
        <v>2380</v>
      </c>
      <c r="F6" s="286" t="s">
        <v>2380</v>
      </c>
      <c r="G6" s="289" t="s">
        <v>2381</v>
      </c>
      <c r="H6" s="289" t="s">
        <v>2382</v>
      </c>
      <c r="I6" s="289" t="s">
        <v>2383</v>
      </c>
      <c r="J6" s="289" t="s">
        <v>2384</v>
      </c>
      <c r="K6" s="289" t="s">
        <v>2385</v>
      </c>
      <c r="L6" s="289" t="s">
        <v>2386</v>
      </c>
      <c r="M6" s="286" t="s">
        <v>2387</v>
      </c>
      <c r="N6" s="289" t="s">
        <v>2388</v>
      </c>
      <c r="O6" s="289" t="s">
        <v>2389</v>
      </c>
      <c r="P6" s="289" t="s">
        <v>2390</v>
      </c>
      <c r="Q6" s="289" t="s">
        <v>2391</v>
      </c>
      <c r="R6" s="289" t="s">
        <v>2392</v>
      </c>
      <c r="S6" s="289" t="s">
        <v>2393</v>
      </c>
      <c r="T6" s="289" t="s">
        <v>2394</v>
      </c>
      <c r="U6" s="289" t="s">
        <v>2395</v>
      </c>
      <c r="V6" s="289" t="s">
        <v>2396</v>
      </c>
      <c r="W6" s="289" t="s">
        <v>2397</v>
      </c>
      <c r="X6" s="286" t="s">
        <v>2398</v>
      </c>
      <c r="Y6" s="286" t="s">
        <v>2399</v>
      </c>
      <c r="Z6" s="286" t="s">
        <v>2400</v>
      </c>
      <c r="AA6" s="286" t="s">
        <v>2401</v>
      </c>
      <c r="AB6" s="286" t="s">
        <v>2402</v>
      </c>
      <c r="AC6" s="286" t="s">
        <v>2403</v>
      </c>
      <c r="AD6" s="286" t="s">
        <v>2404</v>
      </c>
      <c r="AE6" s="286" t="s">
        <v>2405</v>
      </c>
      <c r="AF6" s="286" t="s">
        <v>2406</v>
      </c>
      <c r="AG6" s="287"/>
      <c r="AH6" s="289" t="s">
        <v>2156</v>
      </c>
      <c r="AI6" s="288"/>
    </row>
    <row r="7" spans="1:37" ht="20.100000000000001" customHeight="1">
      <c r="A7" s="285" t="s">
        <v>57</v>
      </c>
      <c r="B7" s="289" t="s">
        <v>2407</v>
      </c>
      <c r="C7" s="289" t="s">
        <v>2408</v>
      </c>
      <c r="D7" s="289" t="s">
        <v>2409</v>
      </c>
      <c r="E7" s="289" t="s">
        <v>2410</v>
      </c>
      <c r="F7" s="286" t="s">
        <v>2410</v>
      </c>
      <c r="G7" s="289" t="s">
        <v>2411</v>
      </c>
      <c r="H7" s="289" t="s">
        <v>2412</v>
      </c>
      <c r="I7" s="289" t="s">
        <v>2413</v>
      </c>
      <c r="J7" s="289" t="s">
        <v>2414</v>
      </c>
      <c r="K7" s="289" t="s">
        <v>2415</v>
      </c>
      <c r="L7" s="289" t="s">
        <v>2415</v>
      </c>
      <c r="M7" s="286" t="s">
        <v>2416</v>
      </c>
      <c r="N7" s="289" t="s">
        <v>2417</v>
      </c>
      <c r="O7" s="289" t="s">
        <v>2418</v>
      </c>
      <c r="P7" s="289" t="s">
        <v>2419</v>
      </c>
      <c r="Q7" s="289" t="s">
        <v>2420</v>
      </c>
      <c r="R7" s="289" t="s">
        <v>2421</v>
      </c>
      <c r="S7" s="289" t="s">
        <v>2422</v>
      </c>
      <c r="T7" s="289" t="s">
        <v>2423</v>
      </c>
      <c r="U7" s="289" t="s">
        <v>2424</v>
      </c>
      <c r="V7" s="289" t="s">
        <v>2425</v>
      </c>
      <c r="W7" s="289" t="s">
        <v>2426</v>
      </c>
      <c r="X7" s="286" t="s">
        <v>2427</v>
      </c>
      <c r="Y7" s="286" t="s">
        <v>2428</v>
      </c>
      <c r="Z7" s="286" t="s">
        <v>2429</v>
      </c>
      <c r="AA7" s="286" t="s">
        <v>2430</v>
      </c>
      <c r="AB7" s="286" t="s">
        <v>2431</v>
      </c>
      <c r="AC7" s="286" t="s">
        <v>2432</v>
      </c>
      <c r="AD7" s="286" t="s">
        <v>2433</v>
      </c>
      <c r="AE7" s="286" t="s">
        <v>2434</v>
      </c>
      <c r="AF7" s="286" t="s">
        <v>2435</v>
      </c>
      <c r="AG7" s="287"/>
      <c r="AH7" s="289" t="s">
        <v>2187</v>
      </c>
      <c r="AI7" s="288"/>
    </row>
    <row r="8" spans="1:37" ht="20.100000000000001" customHeight="1">
      <c r="A8" s="285" t="s">
        <v>58</v>
      </c>
      <c r="B8" s="289" t="s">
        <v>2436</v>
      </c>
      <c r="C8" s="289" t="s">
        <v>2437</v>
      </c>
      <c r="D8" s="289" t="s">
        <v>2438</v>
      </c>
      <c r="E8" s="289" t="s">
        <v>2439</v>
      </c>
      <c r="F8" s="286" t="s">
        <v>2440</v>
      </c>
      <c r="G8" s="289" t="s">
        <v>2441</v>
      </c>
      <c r="H8" s="289" t="s">
        <v>2442</v>
      </c>
      <c r="I8" s="289" t="s">
        <v>2443</v>
      </c>
      <c r="J8" s="289" t="s">
        <v>2444</v>
      </c>
      <c r="K8" s="289" t="s">
        <v>2445</v>
      </c>
      <c r="L8" s="289" t="s">
        <v>2446</v>
      </c>
      <c r="M8" s="286" t="s">
        <v>2446</v>
      </c>
      <c r="N8" s="289" t="s">
        <v>2447</v>
      </c>
      <c r="O8" s="289" t="s">
        <v>2448</v>
      </c>
      <c r="P8" s="289" t="s">
        <v>2449</v>
      </c>
      <c r="Q8" s="289" t="s">
        <v>2450</v>
      </c>
      <c r="R8" s="289" t="s">
        <v>2451</v>
      </c>
      <c r="S8" s="289" t="s">
        <v>2452</v>
      </c>
      <c r="T8" s="289" t="s">
        <v>2453</v>
      </c>
      <c r="U8" s="289" t="s">
        <v>2454</v>
      </c>
      <c r="V8" s="289" t="s">
        <v>2454</v>
      </c>
      <c r="W8" s="289" t="s">
        <v>2454</v>
      </c>
      <c r="X8" s="286" t="s">
        <v>2454</v>
      </c>
      <c r="Y8" s="286" t="s">
        <v>2455</v>
      </c>
      <c r="Z8" s="286" t="s">
        <v>2456</v>
      </c>
      <c r="AA8" s="286" t="s">
        <v>2457</v>
      </c>
      <c r="AB8" s="286" t="s">
        <v>2458</v>
      </c>
      <c r="AC8" s="286" t="s">
        <v>2458</v>
      </c>
      <c r="AD8" s="286" t="s">
        <v>2459</v>
      </c>
      <c r="AE8" s="286" t="s">
        <v>2459</v>
      </c>
      <c r="AF8" s="286" t="s">
        <v>2459</v>
      </c>
      <c r="AG8" s="287"/>
      <c r="AH8" s="289" t="s">
        <v>2214</v>
      </c>
      <c r="AI8" s="288"/>
    </row>
    <row r="9" spans="1:37" ht="20.100000000000001" customHeight="1">
      <c r="A9" s="285" t="s">
        <v>59</v>
      </c>
      <c r="B9" s="289" t="s">
        <v>2460</v>
      </c>
      <c r="C9" s="289" t="s">
        <v>2461</v>
      </c>
      <c r="D9" s="289" t="s">
        <v>2462</v>
      </c>
      <c r="E9" s="289" t="s">
        <v>2463</v>
      </c>
      <c r="F9" s="286" t="s">
        <v>2464</v>
      </c>
      <c r="G9" s="289" t="s">
        <v>2465</v>
      </c>
      <c r="H9" s="289" t="s">
        <v>2466</v>
      </c>
      <c r="I9" s="289" t="s">
        <v>2467</v>
      </c>
      <c r="J9" s="289" t="s">
        <v>2468</v>
      </c>
      <c r="K9" s="289" t="s">
        <v>2469</v>
      </c>
      <c r="L9" s="289" t="s">
        <v>2470</v>
      </c>
      <c r="M9" s="286" t="s">
        <v>2471</v>
      </c>
      <c r="N9" s="289" t="s">
        <v>2472</v>
      </c>
      <c r="O9" s="289" t="s">
        <v>2473</v>
      </c>
      <c r="P9" s="289" t="s">
        <v>2474</v>
      </c>
      <c r="Q9" s="289" t="s">
        <v>2475</v>
      </c>
      <c r="R9" s="289" t="s">
        <v>2476</v>
      </c>
      <c r="S9" s="289" t="s">
        <v>2477</v>
      </c>
      <c r="T9" s="289" t="s">
        <v>2478</v>
      </c>
      <c r="U9" s="289" t="s">
        <v>2479</v>
      </c>
      <c r="V9" s="289" t="s">
        <v>2480</v>
      </c>
      <c r="W9" s="289" t="s">
        <v>2481</v>
      </c>
      <c r="X9" s="286" t="s">
        <v>2482</v>
      </c>
      <c r="Y9" s="286" t="s">
        <v>2483</v>
      </c>
      <c r="Z9" s="286" t="s">
        <v>2484</v>
      </c>
      <c r="AA9" s="286" t="s">
        <v>2485</v>
      </c>
      <c r="AB9" s="286" t="s">
        <v>2486</v>
      </c>
      <c r="AC9" s="286" t="s">
        <v>2487</v>
      </c>
      <c r="AD9" s="286" t="s">
        <v>2488</v>
      </c>
      <c r="AE9" s="286" t="s">
        <v>2489</v>
      </c>
      <c r="AF9" s="286" t="s">
        <v>2490</v>
      </c>
      <c r="AG9" s="290"/>
      <c r="AH9" s="289" t="s">
        <v>2245</v>
      </c>
      <c r="AI9" s="288"/>
    </row>
    <row r="10" spans="1:37" ht="20.100000000000001" customHeight="1">
      <c r="A10" s="285" t="s">
        <v>60</v>
      </c>
      <c r="B10" s="289" t="s">
        <v>2491</v>
      </c>
      <c r="C10" s="289" t="s">
        <v>2492</v>
      </c>
      <c r="D10" s="289" t="s">
        <v>2493</v>
      </c>
      <c r="E10" s="289" t="s">
        <v>2494</v>
      </c>
      <c r="F10" s="286" t="s">
        <v>2494</v>
      </c>
      <c r="G10" s="289" t="s">
        <v>2495</v>
      </c>
      <c r="H10" s="289" t="s">
        <v>2496</v>
      </c>
      <c r="I10" s="289" t="s">
        <v>2497</v>
      </c>
      <c r="J10" s="289" t="s">
        <v>2498</v>
      </c>
      <c r="K10" s="289" t="s">
        <v>2499</v>
      </c>
      <c r="L10" s="289" t="s">
        <v>2500</v>
      </c>
      <c r="M10" s="286" t="s">
        <v>2501</v>
      </c>
      <c r="N10" s="289" t="s">
        <v>2502</v>
      </c>
      <c r="O10" s="289" t="s">
        <v>2503</v>
      </c>
      <c r="P10" s="289" t="s">
        <v>2504</v>
      </c>
      <c r="Q10" s="289" t="s">
        <v>2505</v>
      </c>
      <c r="R10" s="289" t="s">
        <v>2506</v>
      </c>
      <c r="S10" s="289" t="s">
        <v>2507</v>
      </c>
      <c r="T10" s="289" t="s">
        <v>2508</v>
      </c>
      <c r="U10" s="289" t="s">
        <v>2509</v>
      </c>
      <c r="V10" s="289" t="s">
        <v>2510</v>
      </c>
      <c r="W10" s="289" t="s">
        <v>2511</v>
      </c>
      <c r="X10" s="286" t="s">
        <v>2512</v>
      </c>
      <c r="Y10" s="286" t="s">
        <v>2513</v>
      </c>
      <c r="Z10" s="286" t="s">
        <v>2514</v>
      </c>
      <c r="AA10" s="286" t="s">
        <v>2515</v>
      </c>
      <c r="AB10" s="286" t="s">
        <v>2516</v>
      </c>
      <c r="AC10" s="286" t="s">
        <v>2517</v>
      </c>
      <c r="AD10" s="286" t="s">
        <v>2518</v>
      </c>
      <c r="AE10" s="286" t="s">
        <v>2519</v>
      </c>
      <c r="AF10" s="286" t="s">
        <v>2520</v>
      </c>
      <c r="AG10" s="287"/>
      <c r="AH10" s="289" t="s">
        <v>2276</v>
      </c>
      <c r="AI10" s="288"/>
    </row>
    <row r="11" spans="1:37" ht="22.5" customHeight="1">
      <c r="A11" s="285" t="s">
        <v>61</v>
      </c>
      <c r="B11" s="289" t="s">
        <v>2521</v>
      </c>
      <c r="C11" s="289" t="s">
        <v>2522</v>
      </c>
      <c r="D11" s="289" t="s">
        <v>2523</v>
      </c>
      <c r="E11" s="289" t="s">
        <v>2524</v>
      </c>
      <c r="F11" s="286" t="s">
        <v>2525</v>
      </c>
      <c r="G11" s="289" t="s">
        <v>2526</v>
      </c>
      <c r="H11" s="289" t="s">
        <v>2527</v>
      </c>
      <c r="I11" s="289" t="s">
        <v>2528</v>
      </c>
      <c r="J11" s="289" t="s">
        <v>2529</v>
      </c>
      <c r="K11" s="289" t="s">
        <v>2530</v>
      </c>
      <c r="L11" s="289" t="s">
        <v>2531</v>
      </c>
      <c r="M11" s="286" t="s">
        <v>2532</v>
      </c>
      <c r="N11" s="289" t="s">
        <v>2533</v>
      </c>
      <c r="O11" s="289" t="s">
        <v>2534</v>
      </c>
      <c r="P11" s="289" t="s">
        <v>2535</v>
      </c>
      <c r="Q11" s="289" t="s">
        <v>2536</v>
      </c>
      <c r="R11" s="289" t="s">
        <v>2537</v>
      </c>
      <c r="S11" s="289" t="s">
        <v>2538</v>
      </c>
      <c r="T11" s="289" t="s">
        <v>2539</v>
      </c>
      <c r="U11" s="289" t="s">
        <v>2540</v>
      </c>
      <c r="V11" s="289" t="s">
        <v>2541</v>
      </c>
      <c r="W11" s="289" t="s">
        <v>2542</v>
      </c>
      <c r="X11" s="286" t="s">
        <v>2543</v>
      </c>
      <c r="Y11" s="286" t="s">
        <v>2544</v>
      </c>
      <c r="Z11" s="286" t="s">
        <v>2545</v>
      </c>
      <c r="AA11" s="286" t="s">
        <v>2546</v>
      </c>
      <c r="AB11" s="286" t="s">
        <v>2547</v>
      </c>
      <c r="AC11" s="286" t="s">
        <v>2548</v>
      </c>
      <c r="AD11" s="286" t="s">
        <v>2549</v>
      </c>
      <c r="AE11" s="286" t="s">
        <v>2550</v>
      </c>
      <c r="AF11" s="286" t="s">
        <v>2551</v>
      </c>
      <c r="AG11" s="287"/>
      <c r="AH11" s="289" t="s">
        <v>2307</v>
      </c>
      <c r="AI11" s="288"/>
    </row>
    <row r="12" spans="1:37" s="294" customFormat="1" ht="18" customHeight="1">
      <c r="A12" s="291" t="s">
        <v>62</v>
      </c>
      <c r="B12" s="292"/>
      <c r="C12" s="292"/>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2"/>
      <c r="AG12" s="293"/>
      <c r="AH12" s="292"/>
    </row>
    <row r="13" spans="1:37">
      <c r="A13" s="282" t="s">
        <v>63</v>
      </c>
      <c r="B13" s="295" t="s">
        <v>64</v>
      </c>
      <c r="C13" s="295" t="s">
        <v>64</v>
      </c>
      <c r="D13" s="295" t="s">
        <v>64</v>
      </c>
      <c r="E13" s="295" t="s">
        <v>64</v>
      </c>
      <c r="F13" s="295" t="s">
        <v>64</v>
      </c>
      <c r="G13" s="295" t="s">
        <v>64</v>
      </c>
      <c r="H13" s="295" t="s">
        <v>64</v>
      </c>
      <c r="I13" s="295" t="s">
        <v>64</v>
      </c>
      <c r="J13" s="295" t="s">
        <v>64</v>
      </c>
      <c r="K13" s="295" t="s">
        <v>64</v>
      </c>
      <c r="L13" s="295" t="s">
        <v>64</v>
      </c>
      <c r="M13" s="295" t="s">
        <v>64</v>
      </c>
      <c r="N13" s="295" t="s">
        <v>64</v>
      </c>
      <c r="O13" s="295" t="s">
        <v>64</v>
      </c>
      <c r="P13" s="295" t="s">
        <v>64</v>
      </c>
      <c r="Q13" s="295" t="s">
        <v>64</v>
      </c>
      <c r="R13" s="295" t="s">
        <v>64</v>
      </c>
      <c r="S13" s="295" t="s">
        <v>64</v>
      </c>
      <c r="T13" s="295" t="s">
        <v>64</v>
      </c>
      <c r="U13" s="295" t="s">
        <v>64</v>
      </c>
      <c r="V13" s="295" t="s">
        <v>64</v>
      </c>
      <c r="W13" s="295" t="s">
        <v>64</v>
      </c>
      <c r="X13" s="295" t="s">
        <v>64</v>
      </c>
      <c r="Y13" s="295" t="s">
        <v>64</v>
      </c>
      <c r="Z13" s="295" t="s">
        <v>64</v>
      </c>
      <c r="AA13" s="295" t="s">
        <v>64</v>
      </c>
      <c r="AB13" s="295" t="s">
        <v>64</v>
      </c>
      <c r="AC13" s="295" t="s">
        <v>64</v>
      </c>
      <c r="AD13" s="295" t="s">
        <v>64</v>
      </c>
      <c r="AE13" s="295" t="s">
        <v>64</v>
      </c>
      <c r="AF13" s="295" t="s">
        <v>64</v>
      </c>
      <c r="AG13" s="296"/>
      <c r="AH13" s="295" t="s">
        <v>64</v>
      </c>
    </row>
    <row r="14" spans="1:37">
      <c r="A14" s="282" t="s">
        <v>995</v>
      </c>
      <c r="B14" s="297">
        <v>334467</v>
      </c>
      <c r="C14" s="297">
        <v>334467</v>
      </c>
      <c r="D14" s="297">
        <v>334467</v>
      </c>
      <c r="E14" s="297">
        <v>334467</v>
      </c>
      <c r="F14" s="297">
        <v>334467</v>
      </c>
      <c r="G14" s="297">
        <v>335277</v>
      </c>
      <c r="H14" s="297">
        <v>335277</v>
      </c>
      <c r="I14" s="297">
        <v>335277</v>
      </c>
      <c r="J14" s="297">
        <v>335277</v>
      </c>
      <c r="K14" s="297">
        <v>335277</v>
      </c>
      <c r="L14" s="297">
        <v>335277</v>
      </c>
      <c r="M14" s="297">
        <v>335277</v>
      </c>
      <c r="N14" s="297">
        <v>335780</v>
      </c>
      <c r="O14" s="297">
        <v>335780</v>
      </c>
      <c r="P14" s="297">
        <v>335780</v>
      </c>
      <c r="Q14" s="297">
        <v>335780</v>
      </c>
      <c r="R14" s="297">
        <v>335780</v>
      </c>
      <c r="S14" s="297">
        <v>335780</v>
      </c>
      <c r="T14" s="297">
        <v>335780</v>
      </c>
      <c r="U14" s="297">
        <v>336265</v>
      </c>
      <c r="V14" s="297">
        <v>336265</v>
      </c>
      <c r="W14" s="297">
        <v>336265</v>
      </c>
      <c r="X14" s="297">
        <v>336265</v>
      </c>
      <c r="Y14" s="297">
        <v>336265</v>
      </c>
      <c r="Z14" s="297">
        <v>336265</v>
      </c>
      <c r="AA14" s="297">
        <v>336265</v>
      </c>
      <c r="AB14" s="297">
        <v>336714</v>
      </c>
      <c r="AC14" s="297">
        <v>336714</v>
      </c>
      <c r="AD14" s="297">
        <v>336714</v>
      </c>
      <c r="AE14" s="297">
        <v>336714</v>
      </c>
      <c r="AF14" s="297">
        <v>336714</v>
      </c>
      <c r="AG14" s="298">
        <f>AF14-AH14</f>
        <v>2247</v>
      </c>
      <c r="AH14" s="297">
        <v>334467</v>
      </c>
      <c r="AI14" s="299">
        <v>2247</v>
      </c>
      <c r="AJ14" s="299"/>
      <c r="AK14" s="300"/>
    </row>
    <row r="15" spans="1:37" ht="25.5">
      <c r="A15" s="282" t="s">
        <v>67</v>
      </c>
      <c r="B15" s="297">
        <v>7943</v>
      </c>
      <c r="C15" s="297">
        <v>8076</v>
      </c>
      <c r="D15" s="297">
        <v>8076</v>
      </c>
      <c r="E15" s="297">
        <v>8076</v>
      </c>
      <c r="F15" s="297">
        <v>8077</v>
      </c>
      <c r="G15" s="297">
        <v>8078</v>
      </c>
      <c r="H15" s="297">
        <v>8079</v>
      </c>
      <c r="I15" s="297">
        <v>8079</v>
      </c>
      <c r="J15" s="297">
        <v>8080</v>
      </c>
      <c r="K15" s="297">
        <v>8080</v>
      </c>
      <c r="L15" s="297">
        <v>8080</v>
      </c>
      <c r="M15" s="297">
        <v>8080</v>
      </c>
      <c r="N15" s="297">
        <v>8081</v>
      </c>
      <c r="O15" s="297">
        <v>8082</v>
      </c>
      <c r="P15" s="297">
        <v>8084</v>
      </c>
      <c r="Q15" s="297">
        <v>8084</v>
      </c>
      <c r="R15" s="297">
        <v>8084</v>
      </c>
      <c r="S15" s="297">
        <v>8084</v>
      </c>
      <c r="T15" s="297">
        <v>8084</v>
      </c>
      <c r="U15" s="297">
        <v>8085</v>
      </c>
      <c r="V15" s="297">
        <v>8086</v>
      </c>
      <c r="W15" s="297">
        <v>8086</v>
      </c>
      <c r="X15" s="297">
        <v>8087</v>
      </c>
      <c r="Y15" s="297">
        <v>8087</v>
      </c>
      <c r="Z15" s="297">
        <v>8088</v>
      </c>
      <c r="AA15" s="297">
        <v>8088</v>
      </c>
      <c r="AB15" s="297">
        <v>8089</v>
      </c>
      <c r="AC15" s="297">
        <v>8094</v>
      </c>
      <c r="AD15" s="297">
        <v>8095</v>
      </c>
      <c r="AE15" s="297">
        <v>8095</v>
      </c>
      <c r="AF15" s="297">
        <v>8095</v>
      </c>
      <c r="AG15" s="298">
        <f t="shared" ref="AG15:AG34" si="0">AF15-AH15</f>
        <v>155</v>
      </c>
      <c r="AH15" s="297">
        <v>7940</v>
      </c>
      <c r="AI15" s="144">
        <v>155</v>
      </c>
      <c r="AJ15" s="299"/>
      <c r="AK15" s="302"/>
    </row>
    <row r="16" spans="1:37" ht="25.5">
      <c r="A16" s="282" t="s">
        <v>68</v>
      </c>
      <c r="B16" s="297">
        <v>12821</v>
      </c>
      <c r="C16" s="297">
        <v>12834</v>
      </c>
      <c r="D16" s="297">
        <v>12874</v>
      </c>
      <c r="E16" s="297">
        <v>12874</v>
      </c>
      <c r="F16" s="297">
        <v>12874</v>
      </c>
      <c r="G16" s="297">
        <v>12874</v>
      </c>
      <c r="H16" s="297">
        <v>12874</v>
      </c>
      <c r="I16" s="297">
        <v>12874</v>
      </c>
      <c r="J16" s="297">
        <v>12874</v>
      </c>
      <c r="K16" s="297">
        <v>12874</v>
      </c>
      <c r="L16" s="297">
        <v>12874</v>
      </c>
      <c r="M16" s="297">
        <v>12874</v>
      </c>
      <c r="N16" s="297">
        <v>12874</v>
      </c>
      <c r="O16" s="297">
        <v>12874</v>
      </c>
      <c r="P16" s="297">
        <v>12874</v>
      </c>
      <c r="Q16" s="297">
        <v>12874</v>
      </c>
      <c r="R16" s="297">
        <v>12874</v>
      </c>
      <c r="S16" s="297">
        <v>12874</v>
      </c>
      <c r="T16" s="297">
        <v>12874</v>
      </c>
      <c r="U16" s="297">
        <v>12874</v>
      </c>
      <c r="V16" s="297">
        <v>12874</v>
      </c>
      <c r="W16" s="297">
        <v>12874</v>
      </c>
      <c r="X16" s="297">
        <v>12874</v>
      </c>
      <c r="Y16" s="297">
        <v>12874</v>
      </c>
      <c r="Z16" s="297">
        <v>12874</v>
      </c>
      <c r="AA16" s="297">
        <v>12874</v>
      </c>
      <c r="AB16" s="297">
        <v>12874</v>
      </c>
      <c r="AC16" s="297">
        <v>12874</v>
      </c>
      <c r="AD16" s="297">
        <v>12874</v>
      </c>
      <c r="AE16" s="297">
        <v>12874</v>
      </c>
      <c r="AF16" s="297">
        <v>12874</v>
      </c>
      <c r="AG16" s="298">
        <f t="shared" si="0"/>
        <v>139</v>
      </c>
      <c r="AH16" s="297">
        <v>12735</v>
      </c>
      <c r="AI16" s="144">
        <v>139</v>
      </c>
      <c r="AJ16" s="299"/>
      <c r="AK16" s="302"/>
    </row>
    <row r="17" spans="1:37" ht="20.100000000000001" customHeight="1">
      <c r="A17" s="303"/>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8">
        <f t="shared" si="0"/>
        <v>0</v>
      </c>
      <c r="AH17" s="292"/>
      <c r="AI17" s="144">
        <v>0</v>
      </c>
      <c r="AK17" s="302"/>
    </row>
    <row r="18" spans="1:37">
      <c r="A18" s="282" t="s">
        <v>69</v>
      </c>
      <c r="B18" s="295" t="s">
        <v>64</v>
      </c>
      <c r="C18" s="295" t="s">
        <v>64</v>
      </c>
      <c r="D18" s="295" t="s">
        <v>64</v>
      </c>
      <c r="E18" s="295" t="s">
        <v>64</v>
      </c>
      <c r="F18" s="295" t="s">
        <v>64</v>
      </c>
      <c r="G18" s="295" t="s">
        <v>64</v>
      </c>
      <c r="H18" s="295" t="s">
        <v>64</v>
      </c>
      <c r="I18" s="295" t="s">
        <v>64</v>
      </c>
      <c r="J18" s="295" t="s">
        <v>64</v>
      </c>
      <c r="K18" s="295" t="s">
        <v>64</v>
      </c>
      <c r="L18" s="295" t="s">
        <v>64</v>
      </c>
      <c r="M18" s="295" t="s">
        <v>64</v>
      </c>
      <c r="N18" s="295" t="s">
        <v>64</v>
      </c>
      <c r="O18" s="295" t="s">
        <v>64</v>
      </c>
      <c r="P18" s="295" t="s">
        <v>64</v>
      </c>
      <c r="Q18" s="295" t="s">
        <v>64</v>
      </c>
      <c r="R18" s="295" t="s">
        <v>64</v>
      </c>
      <c r="S18" s="295" t="s">
        <v>64</v>
      </c>
      <c r="T18" s="295" t="s">
        <v>64</v>
      </c>
      <c r="U18" s="295" t="s">
        <v>64</v>
      </c>
      <c r="V18" s="295" t="s">
        <v>64</v>
      </c>
      <c r="W18" s="295" t="s">
        <v>64</v>
      </c>
      <c r="X18" s="295" t="s">
        <v>64</v>
      </c>
      <c r="Y18" s="295" t="s">
        <v>64</v>
      </c>
      <c r="Z18" s="295" t="s">
        <v>64</v>
      </c>
      <c r="AA18" s="295" t="s">
        <v>64</v>
      </c>
      <c r="AB18" s="295" t="s">
        <v>64</v>
      </c>
      <c r="AC18" s="295" t="s">
        <v>64</v>
      </c>
      <c r="AD18" s="295" t="s">
        <v>64</v>
      </c>
      <c r="AE18" s="295" t="s">
        <v>64</v>
      </c>
      <c r="AF18" s="295" t="s">
        <v>64</v>
      </c>
      <c r="AG18" s="298" t="e">
        <f t="shared" si="0"/>
        <v>#VALUE!</v>
      </c>
      <c r="AH18" s="295" t="s">
        <v>64</v>
      </c>
      <c r="AK18" s="171"/>
    </row>
    <row r="19" spans="1:37" ht="25.5">
      <c r="A19" s="282" t="s">
        <v>70</v>
      </c>
      <c r="B19" s="306">
        <v>77678</v>
      </c>
      <c r="C19" s="306">
        <v>77678</v>
      </c>
      <c r="D19" s="306">
        <v>77678</v>
      </c>
      <c r="E19" s="306">
        <v>77678</v>
      </c>
      <c r="F19" s="306">
        <v>77678</v>
      </c>
      <c r="G19" s="306">
        <v>77775</v>
      </c>
      <c r="H19" s="306">
        <v>77775</v>
      </c>
      <c r="I19" s="306">
        <v>77799</v>
      </c>
      <c r="J19" s="306">
        <v>77861</v>
      </c>
      <c r="K19" s="306">
        <v>77861</v>
      </c>
      <c r="L19" s="306">
        <v>77875</v>
      </c>
      <c r="M19" s="306">
        <v>77891</v>
      </c>
      <c r="N19" s="306">
        <v>77911</v>
      </c>
      <c r="O19" s="306">
        <v>77911</v>
      </c>
      <c r="P19" s="306">
        <v>77911</v>
      </c>
      <c r="Q19" s="306">
        <v>77956</v>
      </c>
      <c r="R19" s="306">
        <v>77956</v>
      </c>
      <c r="S19" s="306">
        <v>78033</v>
      </c>
      <c r="T19" s="306">
        <v>78033</v>
      </c>
      <c r="U19" s="306">
        <v>78063</v>
      </c>
      <c r="V19" s="306">
        <v>78063</v>
      </c>
      <c r="W19" s="306">
        <v>78066</v>
      </c>
      <c r="X19" s="306">
        <v>78066</v>
      </c>
      <c r="Y19" s="306">
        <v>78167</v>
      </c>
      <c r="Z19" s="306">
        <v>78167</v>
      </c>
      <c r="AA19" s="306">
        <v>78167</v>
      </c>
      <c r="AB19" s="306">
        <v>78172</v>
      </c>
      <c r="AC19" s="306">
        <v>78172</v>
      </c>
      <c r="AD19" s="306">
        <v>78192</v>
      </c>
      <c r="AE19" s="306">
        <v>78192</v>
      </c>
      <c r="AF19" s="306">
        <v>78291</v>
      </c>
      <c r="AG19" s="298">
        <f t="shared" si="0"/>
        <v>613</v>
      </c>
      <c r="AH19" s="306">
        <v>77678</v>
      </c>
      <c r="AI19" s="307">
        <v>613</v>
      </c>
      <c r="AJ19" s="307"/>
      <c r="AK19" s="300"/>
    </row>
    <row r="20" spans="1:37" ht="25.5">
      <c r="A20" s="282" t="s">
        <v>71</v>
      </c>
      <c r="B20" s="297" t="s">
        <v>2310</v>
      </c>
      <c r="C20" s="297" t="s">
        <v>2310</v>
      </c>
      <c r="D20" s="297" t="s">
        <v>2310</v>
      </c>
      <c r="E20" s="297" t="s">
        <v>2310</v>
      </c>
      <c r="F20" s="297" t="s">
        <v>2310</v>
      </c>
      <c r="G20" s="297" t="s">
        <v>2552</v>
      </c>
      <c r="H20" s="297" t="s">
        <v>2552</v>
      </c>
      <c r="I20" s="297" t="s">
        <v>2553</v>
      </c>
      <c r="J20" s="297" t="s">
        <v>2554</v>
      </c>
      <c r="K20" s="297" t="s">
        <v>2554</v>
      </c>
      <c r="L20" s="297" t="s">
        <v>2554</v>
      </c>
      <c r="M20" s="297" t="s">
        <v>2554</v>
      </c>
      <c r="N20" s="297" t="s">
        <v>2555</v>
      </c>
      <c r="O20" s="297" t="s">
        <v>2555</v>
      </c>
      <c r="P20" s="297" t="s">
        <v>2555</v>
      </c>
      <c r="Q20" s="297" t="s">
        <v>2556</v>
      </c>
      <c r="R20" s="297" t="s">
        <v>2556</v>
      </c>
      <c r="S20" s="297" t="s">
        <v>2557</v>
      </c>
      <c r="T20" s="297" t="s">
        <v>2558</v>
      </c>
      <c r="U20" s="297" t="s">
        <v>2559</v>
      </c>
      <c r="V20" s="297" t="s">
        <v>2559</v>
      </c>
      <c r="W20" s="297" t="s">
        <v>2560</v>
      </c>
      <c r="X20" s="297" t="s">
        <v>2560</v>
      </c>
      <c r="Y20" s="297" t="s">
        <v>2561</v>
      </c>
      <c r="Z20" s="297" t="s">
        <v>2562</v>
      </c>
      <c r="AA20" s="297" t="s">
        <v>2562</v>
      </c>
      <c r="AB20" s="297" t="s">
        <v>2562</v>
      </c>
      <c r="AC20" s="297" t="s">
        <v>2562</v>
      </c>
      <c r="AD20" s="297" t="s">
        <v>2563</v>
      </c>
      <c r="AE20" s="297" t="s">
        <v>2563</v>
      </c>
      <c r="AF20" s="297" t="s">
        <v>2563</v>
      </c>
      <c r="AG20" s="298" t="e">
        <f t="shared" si="0"/>
        <v>#VALUE!</v>
      </c>
      <c r="AH20" s="297" t="s">
        <v>2310</v>
      </c>
      <c r="AJ20" s="307"/>
      <c r="AK20" s="190"/>
    </row>
    <row r="21" spans="1:37">
      <c r="A21" s="282" t="s">
        <v>72</v>
      </c>
      <c r="B21" s="297">
        <v>178979</v>
      </c>
      <c r="C21" s="297">
        <v>178979</v>
      </c>
      <c r="D21" s="297">
        <v>178979</v>
      </c>
      <c r="E21" s="297">
        <v>178979</v>
      </c>
      <c r="F21" s="297">
        <v>178979</v>
      </c>
      <c r="G21" s="297">
        <v>179461</v>
      </c>
      <c r="H21" s="297">
        <v>179461</v>
      </c>
      <c r="I21" s="297">
        <v>179461</v>
      </c>
      <c r="J21" s="297">
        <v>179461</v>
      </c>
      <c r="K21" s="297">
        <v>179461</v>
      </c>
      <c r="L21" s="297">
        <v>179461</v>
      </c>
      <c r="M21" s="297">
        <v>179461</v>
      </c>
      <c r="N21" s="297">
        <v>180183</v>
      </c>
      <c r="O21" s="297">
        <v>180183</v>
      </c>
      <c r="P21" s="297">
        <v>180183</v>
      </c>
      <c r="Q21" s="297">
        <v>180183</v>
      </c>
      <c r="R21" s="297">
        <v>180183</v>
      </c>
      <c r="S21" s="297">
        <v>180183</v>
      </c>
      <c r="T21" s="297">
        <v>180183</v>
      </c>
      <c r="U21" s="297">
        <v>180933</v>
      </c>
      <c r="V21" s="297">
        <v>180933</v>
      </c>
      <c r="W21" s="297">
        <v>180933</v>
      </c>
      <c r="X21" s="297">
        <v>180933</v>
      </c>
      <c r="Y21" s="297">
        <v>180933</v>
      </c>
      <c r="Z21" s="297">
        <v>180933</v>
      </c>
      <c r="AA21" s="297">
        <v>180933</v>
      </c>
      <c r="AB21" s="297">
        <v>180933</v>
      </c>
      <c r="AC21" s="297">
        <v>180933</v>
      </c>
      <c r="AD21" s="297">
        <v>180933</v>
      </c>
      <c r="AE21" s="297">
        <v>180933</v>
      </c>
      <c r="AF21" s="297">
        <v>180933</v>
      </c>
      <c r="AG21" s="298">
        <f t="shared" si="0"/>
        <v>1954</v>
      </c>
      <c r="AH21" s="297">
        <v>178979</v>
      </c>
      <c r="AI21" s="144">
        <v>1954</v>
      </c>
      <c r="AJ21" s="307"/>
      <c r="AK21" s="308"/>
    </row>
    <row r="22" spans="1:37">
      <c r="A22" s="282" t="s">
        <v>73</v>
      </c>
      <c r="B22" s="297">
        <v>205644</v>
      </c>
      <c r="C22" s="297">
        <v>205679</v>
      </c>
      <c r="D22" s="297">
        <v>205709</v>
      </c>
      <c r="E22" s="297">
        <v>205741</v>
      </c>
      <c r="F22" s="297">
        <v>205779</v>
      </c>
      <c r="G22" s="297">
        <v>205798</v>
      </c>
      <c r="H22" s="297">
        <v>205823</v>
      </c>
      <c r="I22" s="297">
        <v>205853</v>
      </c>
      <c r="J22" s="297">
        <v>205878</v>
      </c>
      <c r="K22" s="297">
        <v>205912</v>
      </c>
      <c r="L22" s="297">
        <v>205937</v>
      </c>
      <c r="M22" s="297">
        <v>205964</v>
      </c>
      <c r="N22" s="297">
        <v>205996</v>
      </c>
      <c r="O22" s="297">
        <v>206022</v>
      </c>
      <c r="P22" s="297">
        <v>206053</v>
      </c>
      <c r="Q22" s="297">
        <v>206084</v>
      </c>
      <c r="R22" s="297">
        <v>206120</v>
      </c>
      <c r="S22" s="297">
        <v>206146</v>
      </c>
      <c r="T22" s="297">
        <v>206161</v>
      </c>
      <c r="U22" s="297">
        <v>206198</v>
      </c>
      <c r="V22" s="297">
        <v>206232</v>
      </c>
      <c r="W22" s="297">
        <v>206258</v>
      </c>
      <c r="X22" s="297">
        <v>206258</v>
      </c>
      <c r="Y22" s="297">
        <v>206315</v>
      </c>
      <c r="Z22" s="297">
        <v>206341</v>
      </c>
      <c r="AA22" s="297">
        <v>206359</v>
      </c>
      <c r="AB22" s="297">
        <v>206400</v>
      </c>
      <c r="AC22" s="297">
        <v>206433</v>
      </c>
      <c r="AD22" s="297">
        <v>206461</v>
      </c>
      <c r="AE22" s="297">
        <v>206491</v>
      </c>
      <c r="AF22" s="297">
        <v>206516</v>
      </c>
      <c r="AG22" s="298">
        <f t="shared" si="0"/>
        <v>900</v>
      </c>
      <c r="AH22" s="297">
        <v>205616</v>
      </c>
      <c r="AI22" s="144">
        <v>900</v>
      </c>
      <c r="AJ22" s="307"/>
      <c r="AK22" s="190"/>
    </row>
    <row r="23" spans="1:37">
      <c r="A23" s="309" t="s">
        <v>136</v>
      </c>
      <c r="B23" s="297">
        <v>10433</v>
      </c>
      <c r="C23" s="297">
        <v>10433</v>
      </c>
      <c r="D23" s="297">
        <v>10433</v>
      </c>
      <c r="E23" s="297">
        <v>10433</v>
      </c>
      <c r="F23" s="297">
        <v>10433</v>
      </c>
      <c r="G23" s="297">
        <v>10480</v>
      </c>
      <c r="H23" s="297">
        <v>10480</v>
      </c>
      <c r="I23" s="297">
        <v>10480</v>
      </c>
      <c r="J23" s="297">
        <v>10480</v>
      </c>
      <c r="K23" s="297">
        <v>10480</v>
      </c>
      <c r="L23" s="297">
        <v>10480</v>
      </c>
      <c r="M23" s="297">
        <v>10480</v>
      </c>
      <c r="N23" s="297">
        <v>10543</v>
      </c>
      <c r="O23" s="297">
        <v>10543</v>
      </c>
      <c r="P23" s="297">
        <v>10543</v>
      </c>
      <c r="Q23" s="297">
        <v>10543</v>
      </c>
      <c r="R23" s="297">
        <v>10543</v>
      </c>
      <c r="S23" s="297">
        <v>10543</v>
      </c>
      <c r="T23" s="297">
        <v>10543</v>
      </c>
      <c r="U23" s="297">
        <v>10602</v>
      </c>
      <c r="V23" s="297">
        <v>10602</v>
      </c>
      <c r="W23" s="297">
        <v>10602</v>
      </c>
      <c r="X23" s="297">
        <v>10602</v>
      </c>
      <c r="Y23" s="297">
        <v>10602</v>
      </c>
      <c r="Z23" s="297">
        <v>10602</v>
      </c>
      <c r="AA23" s="297">
        <v>10602</v>
      </c>
      <c r="AB23" s="297">
        <v>10657</v>
      </c>
      <c r="AC23" s="297">
        <v>10657</v>
      </c>
      <c r="AD23" s="297">
        <v>10657</v>
      </c>
      <c r="AE23" s="297">
        <v>10657</v>
      </c>
      <c r="AF23" s="297">
        <v>10657</v>
      </c>
      <c r="AG23" s="298">
        <f t="shared" si="0"/>
        <v>224</v>
      </c>
      <c r="AH23" s="297">
        <v>10433</v>
      </c>
      <c r="AI23" s="144">
        <v>224</v>
      </c>
      <c r="AJ23" s="307"/>
      <c r="AK23" s="190"/>
    </row>
    <row r="24" spans="1:37">
      <c r="A24" s="309" t="s">
        <v>139</v>
      </c>
      <c r="B24" s="297">
        <v>7416</v>
      </c>
      <c r="C24" s="297">
        <v>7416</v>
      </c>
      <c r="D24" s="297">
        <v>7416</v>
      </c>
      <c r="E24" s="297">
        <v>7416</v>
      </c>
      <c r="F24" s="297">
        <v>7416</v>
      </c>
      <c r="G24" s="297">
        <v>7459</v>
      </c>
      <c r="H24" s="297">
        <v>7459</v>
      </c>
      <c r="I24" s="297">
        <v>7459</v>
      </c>
      <c r="J24" s="297">
        <v>7459</v>
      </c>
      <c r="K24" s="297">
        <v>7459</v>
      </c>
      <c r="L24" s="297">
        <v>7459</v>
      </c>
      <c r="M24" s="297">
        <v>7459</v>
      </c>
      <c r="N24" s="297">
        <v>7513</v>
      </c>
      <c r="O24" s="297">
        <v>7513</v>
      </c>
      <c r="P24" s="297">
        <v>7513</v>
      </c>
      <c r="Q24" s="297">
        <v>7513</v>
      </c>
      <c r="R24" s="297">
        <v>7513</v>
      </c>
      <c r="S24" s="297">
        <v>7513</v>
      </c>
      <c r="T24" s="297">
        <v>7513</v>
      </c>
      <c r="U24" s="297">
        <v>7561</v>
      </c>
      <c r="V24" s="297">
        <v>7561</v>
      </c>
      <c r="W24" s="297">
        <v>7561</v>
      </c>
      <c r="X24" s="297">
        <v>7561</v>
      </c>
      <c r="Y24" s="297">
        <v>7561</v>
      </c>
      <c r="Z24" s="297">
        <v>7561</v>
      </c>
      <c r="AA24" s="297">
        <v>7561</v>
      </c>
      <c r="AB24" s="297">
        <v>7619</v>
      </c>
      <c r="AC24" s="297">
        <v>7619</v>
      </c>
      <c r="AD24" s="297">
        <v>7619</v>
      </c>
      <c r="AE24" s="297">
        <v>7619</v>
      </c>
      <c r="AF24" s="297">
        <v>7619</v>
      </c>
      <c r="AG24" s="298">
        <f t="shared" si="0"/>
        <v>203</v>
      </c>
      <c r="AH24" s="297">
        <v>7416</v>
      </c>
      <c r="AI24" s="144">
        <v>203</v>
      </c>
      <c r="AJ24" s="307"/>
      <c r="AK24" s="190"/>
    </row>
    <row r="25" spans="1:37">
      <c r="A25" s="309" t="s">
        <v>142</v>
      </c>
      <c r="B25" s="297">
        <v>2962</v>
      </c>
      <c r="C25" s="297">
        <v>2962</v>
      </c>
      <c r="D25" s="297">
        <v>2962</v>
      </c>
      <c r="E25" s="297">
        <v>2962</v>
      </c>
      <c r="F25" s="297">
        <v>2962</v>
      </c>
      <c r="G25" s="297">
        <v>2978</v>
      </c>
      <c r="H25" s="297">
        <v>2978</v>
      </c>
      <c r="I25" s="297">
        <v>2978</v>
      </c>
      <c r="J25" s="297">
        <v>2978</v>
      </c>
      <c r="K25" s="297">
        <v>2978</v>
      </c>
      <c r="L25" s="297">
        <v>2978</v>
      </c>
      <c r="M25" s="297">
        <v>2978</v>
      </c>
      <c r="N25" s="297">
        <v>2994</v>
      </c>
      <c r="O25" s="297">
        <v>2994</v>
      </c>
      <c r="P25" s="297">
        <v>2994</v>
      </c>
      <c r="Q25" s="297">
        <v>2994</v>
      </c>
      <c r="R25" s="297">
        <v>2994</v>
      </c>
      <c r="S25" s="297">
        <v>2994</v>
      </c>
      <c r="T25" s="297">
        <v>2994</v>
      </c>
      <c r="U25" s="297">
        <v>3018</v>
      </c>
      <c r="V25" s="297">
        <v>3018</v>
      </c>
      <c r="W25" s="297">
        <v>3018</v>
      </c>
      <c r="X25" s="297">
        <v>3018</v>
      </c>
      <c r="Y25" s="297">
        <v>3018</v>
      </c>
      <c r="Z25" s="297">
        <v>3018</v>
      </c>
      <c r="AA25" s="297">
        <v>3018</v>
      </c>
      <c r="AB25" s="297">
        <v>3042</v>
      </c>
      <c r="AC25" s="297">
        <v>3042</v>
      </c>
      <c r="AD25" s="297">
        <v>3042</v>
      </c>
      <c r="AE25" s="297">
        <v>3042</v>
      </c>
      <c r="AF25" s="297">
        <v>3042</v>
      </c>
      <c r="AG25" s="298">
        <f t="shared" si="0"/>
        <v>80</v>
      </c>
      <c r="AH25" s="297">
        <v>2962</v>
      </c>
      <c r="AI25" s="144">
        <v>80</v>
      </c>
      <c r="AJ25" s="307"/>
      <c r="AK25" s="190"/>
    </row>
    <row r="26" spans="1:37">
      <c r="A26" s="309" t="s">
        <v>145</v>
      </c>
      <c r="B26" s="297">
        <v>1632</v>
      </c>
      <c r="C26" s="297">
        <v>1632</v>
      </c>
      <c r="D26" s="297">
        <v>1632</v>
      </c>
      <c r="E26" s="297">
        <v>1632</v>
      </c>
      <c r="F26" s="297">
        <v>1632</v>
      </c>
      <c r="G26" s="297">
        <v>1643</v>
      </c>
      <c r="H26" s="297">
        <v>1643</v>
      </c>
      <c r="I26" s="297">
        <v>1643</v>
      </c>
      <c r="J26" s="297">
        <v>1643</v>
      </c>
      <c r="K26" s="297">
        <v>1643</v>
      </c>
      <c r="L26" s="297">
        <v>1643</v>
      </c>
      <c r="M26" s="297">
        <v>1643</v>
      </c>
      <c r="N26" s="297">
        <v>1657</v>
      </c>
      <c r="O26" s="297">
        <v>1657</v>
      </c>
      <c r="P26" s="297">
        <v>1657</v>
      </c>
      <c r="Q26" s="297">
        <v>1657</v>
      </c>
      <c r="R26" s="297">
        <v>1657</v>
      </c>
      <c r="S26" s="297">
        <v>1657</v>
      </c>
      <c r="T26" s="297">
        <v>1657</v>
      </c>
      <c r="U26" s="297">
        <v>1671</v>
      </c>
      <c r="V26" s="297">
        <v>1671</v>
      </c>
      <c r="W26" s="297">
        <v>1671</v>
      </c>
      <c r="X26" s="297">
        <v>1671</v>
      </c>
      <c r="Y26" s="297">
        <v>1671</v>
      </c>
      <c r="Z26" s="297">
        <v>1671</v>
      </c>
      <c r="AA26" s="297">
        <v>1671</v>
      </c>
      <c r="AB26" s="297">
        <v>1684</v>
      </c>
      <c r="AC26" s="297">
        <v>1684</v>
      </c>
      <c r="AD26" s="297">
        <v>1684</v>
      </c>
      <c r="AE26" s="297">
        <v>1684</v>
      </c>
      <c r="AF26" s="297">
        <v>1684</v>
      </c>
      <c r="AG26" s="298">
        <f t="shared" si="0"/>
        <v>52</v>
      </c>
      <c r="AH26" s="297">
        <v>1632</v>
      </c>
      <c r="AI26" s="144">
        <v>52</v>
      </c>
      <c r="AJ26" s="307"/>
      <c r="AK26" s="190"/>
    </row>
    <row r="27" spans="1:37">
      <c r="A27" s="309" t="s">
        <v>148</v>
      </c>
      <c r="B27" s="297">
        <v>12174</v>
      </c>
      <c r="C27" s="297">
        <v>12174</v>
      </c>
      <c r="D27" s="297">
        <v>12174</v>
      </c>
      <c r="E27" s="297">
        <v>12174</v>
      </c>
      <c r="F27" s="297">
        <v>12174</v>
      </c>
      <c r="G27" s="297">
        <v>12225</v>
      </c>
      <c r="H27" s="297">
        <v>12225</v>
      </c>
      <c r="I27" s="297">
        <v>12225</v>
      </c>
      <c r="J27" s="297">
        <v>12225</v>
      </c>
      <c r="K27" s="297">
        <v>12225</v>
      </c>
      <c r="L27" s="297">
        <v>12225</v>
      </c>
      <c r="M27" s="297">
        <v>12225</v>
      </c>
      <c r="N27" s="297">
        <v>12304</v>
      </c>
      <c r="O27" s="297">
        <v>12304</v>
      </c>
      <c r="P27" s="297">
        <v>12304</v>
      </c>
      <c r="Q27" s="297">
        <v>12304</v>
      </c>
      <c r="R27" s="297">
        <v>12304</v>
      </c>
      <c r="S27" s="297">
        <v>12304</v>
      </c>
      <c r="T27" s="297">
        <v>12304</v>
      </c>
      <c r="U27" s="297">
        <v>12373</v>
      </c>
      <c r="V27" s="297">
        <v>12373</v>
      </c>
      <c r="W27" s="297">
        <v>12373</v>
      </c>
      <c r="X27" s="297">
        <v>12373</v>
      </c>
      <c r="Y27" s="297">
        <v>12373</v>
      </c>
      <c r="Z27" s="297">
        <v>12373</v>
      </c>
      <c r="AA27" s="297">
        <v>12373</v>
      </c>
      <c r="AB27" s="297">
        <v>12429</v>
      </c>
      <c r="AC27" s="297">
        <v>12429</v>
      </c>
      <c r="AD27" s="297">
        <v>12429</v>
      </c>
      <c r="AE27" s="297">
        <v>12429</v>
      </c>
      <c r="AF27" s="297">
        <v>12429</v>
      </c>
      <c r="AG27" s="298">
        <f t="shared" si="0"/>
        <v>255</v>
      </c>
      <c r="AH27" s="297">
        <v>12174</v>
      </c>
      <c r="AI27" s="144">
        <v>255</v>
      </c>
      <c r="AJ27" s="307"/>
      <c r="AK27" s="190"/>
    </row>
    <row r="28" spans="1:37">
      <c r="A28" s="309" t="s">
        <v>151</v>
      </c>
      <c r="B28" s="297">
        <v>1339</v>
      </c>
      <c r="C28" s="297">
        <v>1339</v>
      </c>
      <c r="D28" s="297">
        <v>1339</v>
      </c>
      <c r="E28" s="297">
        <v>1339</v>
      </c>
      <c r="F28" s="297">
        <v>1339</v>
      </c>
      <c r="G28" s="297">
        <v>1339</v>
      </c>
      <c r="H28" s="297">
        <v>1339</v>
      </c>
      <c r="I28" s="297">
        <v>1339</v>
      </c>
      <c r="J28" s="297">
        <v>1339</v>
      </c>
      <c r="K28" s="297">
        <v>1339</v>
      </c>
      <c r="L28" s="297">
        <v>1339</v>
      </c>
      <c r="M28" s="297">
        <v>1339</v>
      </c>
      <c r="N28" s="297">
        <v>1339</v>
      </c>
      <c r="O28" s="297">
        <v>1339</v>
      </c>
      <c r="P28" s="297">
        <v>1339</v>
      </c>
      <c r="Q28" s="297">
        <v>1339</v>
      </c>
      <c r="R28" s="297">
        <v>1339</v>
      </c>
      <c r="S28" s="297">
        <v>1339</v>
      </c>
      <c r="T28" s="297">
        <v>1339</v>
      </c>
      <c r="U28" s="297">
        <v>1339</v>
      </c>
      <c r="V28" s="297">
        <v>1339</v>
      </c>
      <c r="W28" s="297">
        <v>1339</v>
      </c>
      <c r="X28" s="297">
        <v>1339</v>
      </c>
      <c r="Y28" s="297">
        <v>1339</v>
      </c>
      <c r="Z28" s="297">
        <v>1339</v>
      </c>
      <c r="AA28" s="297">
        <v>1339</v>
      </c>
      <c r="AB28" s="297">
        <v>1339</v>
      </c>
      <c r="AC28" s="297">
        <v>1339</v>
      </c>
      <c r="AD28" s="297">
        <v>1339</v>
      </c>
      <c r="AE28" s="297">
        <v>1339</v>
      </c>
      <c r="AF28" s="297">
        <v>1339</v>
      </c>
      <c r="AG28" s="298">
        <f t="shared" si="0"/>
        <v>0</v>
      </c>
      <c r="AH28" s="297">
        <v>1339</v>
      </c>
      <c r="AI28" s="144">
        <v>0</v>
      </c>
      <c r="AJ28" s="307"/>
      <c r="AK28" s="190"/>
    </row>
    <row r="29" spans="1:37">
      <c r="A29" s="309" t="s">
        <v>154</v>
      </c>
      <c r="B29" s="297">
        <v>810</v>
      </c>
      <c r="C29" s="297">
        <v>810</v>
      </c>
      <c r="D29" s="297">
        <v>810</v>
      </c>
      <c r="E29" s="297">
        <v>810</v>
      </c>
      <c r="F29" s="297">
        <v>810</v>
      </c>
      <c r="G29" s="297">
        <v>815</v>
      </c>
      <c r="H29" s="297">
        <v>815</v>
      </c>
      <c r="I29" s="297">
        <v>815</v>
      </c>
      <c r="J29" s="297">
        <v>815</v>
      </c>
      <c r="K29" s="297">
        <v>815</v>
      </c>
      <c r="L29" s="297">
        <v>815</v>
      </c>
      <c r="M29" s="297">
        <v>815</v>
      </c>
      <c r="N29" s="297">
        <v>820</v>
      </c>
      <c r="O29" s="297">
        <v>820</v>
      </c>
      <c r="P29" s="297">
        <v>820</v>
      </c>
      <c r="Q29" s="297">
        <v>820</v>
      </c>
      <c r="R29" s="297">
        <v>820</v>
      </c>
      <c r="S29" s="297">
        <v>820</v>
      </c>
      <c r="T29" s="297">
        <v>820</v>
      </c>
      <c r="U29" s="297">
        <v>825</v>
      </c>
      <c r="V29" s="297">
        <v>825</v>
      </c>
      <c r="W29" s="297">
        <v>825</v>
      </c>
      <c r="X29" s="297">
        <v>825</v>
      </c>
      <c r="Y29" s="297">
        <v>825</v>
      </c>
      <c r="Z29" s="297">
        <v>825</v>
      </c>
      <c r="AA29" s="297">
        <v>825</v>
      </c>
      <c r="AB29" s="297">
        <v>830</v>
      </c>
      <c r="AC29" s="297">
        <v>830</v>
      </c>
      <c r="AD29" s="297">
        <v>830</v>
      </c>
      <c r="AE29" s="297">
        <v>830</v>
      </c>
      <c r="AF29" s="297">
        <v>830</v>
      </c>
      <c r="AG29" s="298">
        <f t="shared" si="0"/>
        <v>20</v>
      </c>
      <c r="AH29" s="297">
        <v>810</v>
      </c>
      <c r="AI29" s="144">
        <v>20</v>
      </c>
      <c r="AJ29" s="307"/>
      <c r="AK29" s="190"/>
    </row>
    <row r="30" spans="1:37">
      <c r="A30" s="303"/>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298">
        <f t="shared" si="0"/>
        <v>0</v>
      </c>
      <c r="AH30" s="292"/>
      <c r="AK30" s="190"/>
    </row>
    <row r="31" spans="1:37">
      <c r="A31" s="282" t="s">
        <v>74</v>
      </c>
      <c r="B31" s="295" t="s">
        <v>75</v>
      </c>
      <c r="C31" s="295" t="s">
        <v>75</v>
      </c>
      <c r="D31" s="295" t="s">
        <v>75</v>
      </c>
      <c r="E31" s="295" t="s">
        <v>75</v>
      </c>
      <c r="F31" s="295" t="s">
        <v>75</v>
      </c>
      <c r="G31" s="295" t="s">
        <v>75</v>
      </c>
      <c r="H31" s="295" t="s">
        <v>75</v>
      </c>
      <c r="I31" s="295" t="s">
        <v>75</v>
      </c>
      <c r="J31" s="295" t="s">
        <v>75</v>
      </c>
      <c r="K31" s="295" t="s">
        <v>75</v>
      </c>
      <c r="L31" s="295" t="s">
        <v>75</v>
      </c>
      <c r="M31" s="295" t="s">
        <v>75</v>
      </c>
      <c r="N31" s="295" t="s">
        <v>75</v>
      </c>
      <c r="O31" s="295" t="s">
        <v>75</v>
      </c>
      <c r="P31" s="295" t="s">
        <v>75</v>
      </c>
      <c r="Q31" s="295" t="s">
        <v>75</v>
      </c>
      <c r="R31" s="295" t="s">
        <v>75</v>
      </c>
      <c r="S31" s="295" t="s">
        <v>75</v>
      </c>
      <c r="T31" s="295" t="s">
        <v>75</v>
      </c>
      <c r="U31" s="295" t="s">
        <v>75</v>
      </c>
      <c r="V31" s="295" t="s">
        <v>75</v>
      </c>
      <c r="W31" s="295" t="s">
        <v>75</v>
      </c>
      <c r="X31" s="295" t="s">
        <v>75</v>
      </c>
      <c r="Y31" s="295" t="s">
        <v>75</v>
      </c>
      <c r="Z31" s="295" t="s">
        <v>75</v>
      </c>
      <c r="AA31" s="295" t="s">
        <v>75</v>
      </c>
      <c r="AB31" s="295" t="s">
        <v>75</v>
      </c>
      <c r="AC31" s="295" t="s">
        <v>75</v>
      </c>
      <c r="AD31" s="295" t="s">
        <v>75</v>
      </c>
      <c r="AE31" s="295" t="s">
        <v>75</v>
      </c>
      <c r="AF31" s="295" t="s">
        <v>75</v>
      </c>
      <c r="AG31" s="298" t="e">
        <f t="shared" si="0"/>
        <v>#VALUE!</v>
      </c>
      <c r="AH31" s="295" t="s">
        <v>75</v>
      </c>
    </row>
    <row r="32" spans="1:37" ht="25.5">
      <c r="A32" s="282" t="s">
        <v>77</v>
      </c>
      <c r="B32" s="21" t="s">
        <v>78</v>
      </c>
      <c r="C32" s="21" t="s">
        <v>78</v>
      </c>
      <c r="D32" s="21" t="s">
        <v>78</v>
      </c>
      <c r="E32" s="21" t="s">
        <v>78</v>
      </c>
      <c r="F32" s="21" t="s">
        <v>78</v>
      </c>
      <c r="G32" s="21" t="s">
        <v>78</v>
      </c>
      <c r="H32" s="21" t="s">
        <v>78</v>
      </c>
      <c r="I32" s="21" t="s">
        <v>78</v>
      </c>
      <c r="J32" s="21" t="s">
        <v>78</v>
      </c>
      <c r="K32" s="21" t="s">
        <v>78</v>
      </c>
      <c r="L32" s="21" t="s">
        <v>78</v>
      </c>
      <c r="M32" s="21" t="s">
        <v>78</v>
      </c>
      <c r="N32" s="21" t="s">
        <v>78</v>
      </c>
      <c r="O32" s="21" t="s">
        <v>78</v>
      </c>
      <c r="P32" s="21" t="s">
        <v>78</v>
      </c>
      <c r="Q32" s="21" t="s">
        <v>78</v>
      </c>
      <c r="R32" s="21" t="s">
        <v>78</v>
      </c>
      <c r="S32" s="21" t="s">
        <v>78</v>
      </c>
      <c r="T32" s="21" t="s">
        <v>78</v>
      </c>
      <c r="U32" s="21" t="s">
        <v>78</v>
      </c>
      <c r="V32" s="21" t="s">
        <v>78</v>
      </c>
      <c r="W32" s="21" t="s">
        <v>78</v>
      </c>
      <c r="X32" s="21" t="s">
        <v>78</v>
      </c>
      <c r="Y32" s="21" t="s">
        <v>78</v>
      </c>
      <c r="Z32" s="21" t="s">
        <v>78</v>
      </c>
      <c r="AA32" s="21" t="s">
        <v>78</v>
      </c>
      <c r="AB32" s="21" t="s">
        <v>78</v>
      </c>
      <c r="AC32" s="21" t="s">
        <v>78</v>
      </c>
      <c r="AD32" s="21" t="s">
        <v>78</v>
      </c>
      <c r="AE32" s="21" t="s">
        <v>78</v>
      </c>
      <c r="AF32" s="21" t="s">
        <v>78</v>
      </c>
      <c r="AG32" s="298" t="e">
        <f t="shared" si="0"/>
        <v>#VALUE!</v>
      </c>
      <c r="AH32" s="21" t="s">
        <v>78</v>
      </c>
    </row>
    <row r="33" spans="1:34" ht="25.5">
      <c r="A33" s="282" t="s">
        <v>80</v>
      </c>
      <c r="B33" s="21" t="s">
        <v>2315</v>
      </c>
      <c r="C33" s="21" t="s">
        <v>2315</v>
      </c>
      <c r="D33" s="21" t="s">
        <v>2315</v>
      </c>
      <c r="E33" s="21" t="s">
        <v>2315</v>
      </c>
      <c r="F33" s="21" t="s">
        <v>2315</v>
      </c>
      <c r="G33" s="21" t="s">
        <v>2315</v>
      </c>
      <c r="H33" s="21" t="s">
        <v>2315</v>
      </c>
      <c r="I33" s="21" t="s">
        <v>2315</v>
      </c>
      <c r="J33" s="21" t="s">
        <v>2315</v>
      </c>
      <c r="K33" s="21" t="s">
        <v>2315</v>
      </c>
      <c r="L33" s="21" t="s">
        <v>2315</v>
      </c>
      <c r="M33" s="21" t="s">
        <v>2315</v>
      </c>
      <c r="N33" s="21" t="s">
        <v>2315</v>
      </c>
      <c r="O33" s="21" t="s">
        <v>2315</v>
      </c>
      <c r="P33" s="21" t="s">
        <v>2315</v>
      </c>
      <c r="Q33" s="21" t="s">
        <v>2315</v>
      </c>
      <c r="R33" s="21" t="s">
        <v>2315</v>
      </c>
      <c r="S33" s="21" t="s">
        <v>2315</v>
      </c>
      <c r="T33" s="21" t="s">
        <v>2315</v>
      </c>
      <c r="U33" s="21" t="s">
        <v>2564</v>
      </c>
      <c r="V33" s="21" t="s">
        <v>2564</v>
      </c>
      <c r="W33" s="21" t="s">
        <v>2564</v>
      </c>
      <c r="X33" s="21" t="s">
        <v>2564</v>
      </c>
      <c r="Y33" s="21" t="s">
        <v>2564</v>
      </c>
      <c r="Z33" s="21" t="s">
        <v>2564</v>
      </c>
      <c r="AA33" s="21" t="s">
        <v>2564</v>
      </c>
      <c r="AB33" s="21" t="s">
        <v>2565</v>
      </c>
      <c r="AC33" s="21" t="s">
        <v>2565</v>
      </c>
      <c r="AD33" s="21" t="s">
        <v>2565</v>
      </c>
      <c r="AE33" s="21" t="s">
        <v>2565</v>
      </c>
      <c r="AF33" s="21" t="s">
        <v>2565</v>
      </c>
      <c r="AG33" s="298" t="e">
        <f t="shared" si="0"/>
        <v>#VALUE!</v>
      </c>
      <c r="AH33" s="21" t="s">
        <v>2315</v>
      </c>
    </row>
    <row r="34" spans="1:34" ht="15.75" thickBot="1">
      <c r="A34" s="310" t="s">
        <v>81</v>
      </c>
      <c r="B34" s="311" t="s">
        <v>2317</v>
      </c>
      <c r="C34" s="311" t="s">
        <v>2317</v>
      </c>
      <c r="D34" s="311" t="s">
        <v>2317</v>
      </c>
      <c r="E34" s="311" t="s">
        <v>2317</v>
      </c>
      <c r="F34" s="311" t="s">
        <v>2317</v>
      </c>
      <c r="G34" s="311" t="s">
        <v>2317</v>
      </c>
      <c r="H34" s="311" t="s">
        <v>2317</v>
      </c>
      <c r="I34" s="311" t="s">
        <v>2317</v>
      </c>
      <c r="J34" s="311" t="s">
        <v>2317</v>
      </c>
      <c r="K34" s="311" t="s">
        <v>2317</v>
      </c>
      <c r="L34" s="311" t="s">
        <v>2317</v>
      </c>
      <c r="M34" s="311" t="s">
        <v>2317</v>
      </c>
      <c r="N34" s="311" t="s">
        <v>2317</v>
      </c>
      <c r="O34" s="311" t="s">
        <v>2317</v>
      </c>
      <c r="P34" s="311" t="s">
        <v>2317</v>
      </c>
      <c r="Q34" s="311" t="s">
        <v>2317</v>
      </c>
      <c r="R34" s="311" t="s">
        <v>2317</v>
      </c>
      <c r="S34" s="311" t="s">
        <v>2317</v>
      </c>
      <c r="T34" s="311" t="s">
        <v>2317</v>
      </c>
      <c r="U34" s="311" t="s">
        <v>2317</v>
      </c>
      <c r="V34" s="311" t="s">
        <v>2317</v>
      </c>
      <c r="W34" s="311" t="s">
        <v>2317</v>
      </c>
      <c r="X34" s="311" t="s">
        <v>2317</v>
      </c>
      <c r="Y34" s="311" t="s">
        <v>2317</v>
      </c>
      <c r="Z34" s="311" t="s">
        <v>2317</v>
      </c>
      <c r="AA34" s="311" t="s">
        <v>2317</v>
      </c>
      <c r="AB34" s="311" t="s">
        <v>2317</v>
      </c>
      <c r="AC34" s="311" t="s">
        <v>2317</v>
      </c>
      <c r="AD34" s="311" t="s">
        <v>2317</v>
      </c>
      <c r="AE34" s="311" t="s">
        <v>2317</v>
      </c>
      <c r="AF34" s="311" t="s">
        <v>2317</v>
      </c>
      <c r="AG34" s="298" t="e">
        <f t="shared" si="0"/>
        <v>#VALUE!</v>
      </c>
      <c r="AH34" s="311" t="s">
        <v>2317</v>
      </c>
    </row>
    <row r="35" spans="1:34">
      <c r="AG35" s="211"/>
    </row>
    <row r="36" spans="1:34">
      <c r="AG36" s="211"/>
    </row>
  </sheetData>
  <mergeCells count="1">
    <mergeCell ref="A1:AH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31CC-6960-4AF4-9205-0EEDC6738DD8}">
  <dimension ref="A1:AI36"/>
  <sheetViews>
    <sheetView topLeftCell="O5" workbookViewId="0">
      <selection activeCell="AG22" sqref="AG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0" width="12.85546875" style="144" customWidth="1"/>
    <col min="31" max="31" width="16.5703125" style="144" customWidth="1"/>
    <col min="32" max="32" width="12.85546875" style="144" customWidth="1"/>
    <col min="33" max="33" width="9.140625" style="144"/>
    <col min="34" max="34" width="10" style="144" bestFit="1" customWidth="1"/>
    <col min="35" max="35" width="13.85546875" style="144" customWidth="1"/>
    <col min="36" max="36" width="14.85546875" style="144" customWidth="1"/>
    <col min="37" max="16384" width="9.140625" style="144"/>
  </cols>
  <sheetData>
    <row r="1" spans="1:35"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row>
    <row r="2" spans="1:35" ht="15.75">
      <c r="A2" s="280"/>
      <c r="B2" s="281">
        <v>45323</v>
      </c>
      <c r="C2" s="281">
        <v>45324</v>
      </c>
      <c r="D2" s="281">
        <v>45325</v>
      </c>
      <c r="E2" s="281">
        <v>45326</v>
      </c>
      <c r="F2" s="281">
        <v>45327</v>
      </c>
      <c r="G2" s="281">
        <v>45328</v>
      </c>
      <c r="H2" s="281">
        <v>45329</v>
      </c>
      <c r="I2" s="281">
        <v>45330</v>
      </c>
      <c r="J2" s="281">
        <v>45331</v>
      </c>
      <c r="K2" s="281">
        <v>45332</v>
      </c>
      <c r="L2" s="281">
        <v>45333</v>
      </c>
      <c r="M2" s="281">
        <v>45334</v>
      </c>
      <c r="N2" s="281">
        <v>45335</v>
      </c>
      <c r="O2" s="281">
        <v>45336</v>
      </c>
      <c r="P2" s="281">
        <v>45337</v>
      </c>
      <c r="Q2" s="281">
        <v>45338</v>
      </c>
      <c r="R2" s="281">
        <v>45339</v>
      </c>
      <c r="S2" s="281">
        <v>45340</v>
      </c>
      <c r="T2" s="281">
        <v>45341</v>
      </c>
      <c r="U2" s="281">
        <v>45342</v>
      </c>
      <c r="V2" s="281">
        <v>45343</v>
      </c>
      <c r="W2" s="281">
        <v>45344</v>
      </c>
      <c r="X2" s="281">
        <v>45345</v>
      </c>
      <c r="Y2" s="281">
        <v>45346</v>
      </c>
      <c r="Z2" s="281">
        <v>45347</v>
      </c>
      <c r="AA2" s="281">
        <v>45348</v>
      </c>
      <c r="AB2" s="281">
        <v>45349</v>
      </c>
      <c r="AC2" s="281">
        <v>45350</v>
      </c>
      <c r="AD2" s="281">
        <v>45351</v>
      </c>
      <c r="AE2" s="281"/>
      <c r="AF2" s="281">
        <v>45322</v>
      </c>
    </row>
    <row r="3" spans="1:35"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71"/>
      <c r="AF3" s="283" t="s">
        <v>52</v>
      </c>
    </row>
    <row r="4" spans="1:35" ht="20.100000000000001" customHeight="1">
      <c r="A4" s="285" t="s">
        <v>54</v>
      </c>
      <c r="B4" s="405" t="s">
        <v>2566</v>
      </c>
      <c r="C4" s="405" t="s">
        <v>2567</v>
      </c>
      <c r="D4" s="405" t="s">
        <v>2568</v>
      </c>
      <c r="E4" s="405" t="s">
        <v>2569</v>
      </c>
      <c r="F4" s="405" t="s">
        <v>2570</v>
      </c>
      <c r="G4" s="405" t="s">
        <v>2571</v>
      </c>
      <c r="H4" s="405" t="s">
        <v>2572</v>
      </c>
      <c r="I4" s="405" t="s">
        <v>2573</v>
      </c>
      <c r="J4" s="405" t="s">
        <v>2574</v>
      </c>
      <c r="K4" s="405" t="s">
        <v>2575</v>
      </c>
      <c r="L4" s="405" t="s">
        <v>2576</v>
      </c>
      <c r="M4" s="405" t="s">
        <v>2577</v>
      </c>
      <c r="N4" s="405" t="s">
        <v>2578</v>
      </c>
      <c r="O4" s="405" t="s">
        <v>2579</v>
      </c>
      <c r="P4" s="405" t="s">
        <v>2580</v>
      </c>
      <c r="Q4" s="405" t="s">
        <v>2581</v>
      </c>
      <c r="R4" s="405" t="s">
        <v>2582</v>
      </c>
      <c r="S4" s="405" t="s">
        <v>2583</v>
      </c>
      <c r="T4" s="405" t="s">
        <v>2584</v>
      </c>
      <c r="U4" s="405" t="s">
        <v>2585</v>
      </c>
      <c r="V4" s="405">
        <v>372201</v>
      </c>
      <c r="W4" s="405">
        <v>372421</v>
      </c>
      <c r="X4" s="405" t="s">
        <v>2586</v>
      </c>
      <c r="Y4" s="405">
        <v>372852</v>
      </c>
      <c r="Z4" s="405">
        <v>373072</v>
      </c>
      <c r="AA4" s="405">
        <v>373300</v>
      </c>
      <c r="AB4" s="405">
        <v>373530</v>
      </c>
      <c r="AC4" s="405">
        <v>373750</v>
      </c>
      <c r="AD4" s="405">
        <v>373993</v>
      </c>
      <c r="AE4" s="290"/>
      <c r="AF4" s="405" t="s">
        <v>2347</v>
      </c>
      <c r="AG4" s="288"/>
    </row>
    <row r="5" spans="1:35" ht="20.100000000000001" customHeight="1">
      <c r="A5" s="285" t="s">
        <v>55</v>
      </c>
      <c r="B5" s="405" t="s">
        <v>2587</v>
      </c>
      <c r="C5" s="405" t="s">
        <v>2588</v>
      </c>
      <c r="D5" s="405" t="s">
        <v>2589</v>
      </c>
      <c r="E5" s="405" t="s">
        <v>2590</v>
      </c>
      <c r="F5" s="405" t="s">
        <v>2591</v>
      </c>
      <c r="G5" s="405" t="s">
        <v>2592</v>
      </c>
      <c r="H5" s="405" t="s">
        <v>2593</v>
      </c>
      <c r="I5" s="405" t="s">
        <v>2594</v>
      </c>
      <c r="J5" s="405" t="s">
        <v>2595</v>
      </c>
      <c r="K5" s="405" t="s">
        <v>2596</v>
      </c>
      <c r="L5" s="405" t="s">
        <v>2597</v>
      </c>
      <c r="M5" s="405" t="s">
        <v>2598</v>
      </c>
      <c r="N5" s="405" t="s">
        <v>2599</v>
      </c>
      <c r="O5" s="405" t="s">
        <v>2600</v>
      </c>
      <c r="P5" s="405" t="s">
        <v>2601</v>
      </c>
      <c r="Q5" s="405" t="s">
        <v>2602</v>
      </c>
      <c r="R5" s="405" t="s">
        <v>2603</v>
      </c>
      <c r="S5" s="405" t="s">
        <v>2604</v>
      </c>
      <c r="T5" s="405" t="s">
        <v>2605</v>
      </c>
      <c r="U5" s="405" t="s">
        <v>2606</v>
      </c>
      <c r="V5" s="405">
        <v>10416885</v>
      </c>
      <c r="W5" s="405">
        <v>10423696</v>
      </c>
      <c r="X5" s="405" t="s">
        <v>2607</v>
      </c>
      <c r="Y5" s="405">
        <v>10437335</v>
      </c>
      <c r="Z5" s="405">
        <v>10444247</v>
      </c>
      <c r="AA5" s="405">
        <v>10451017</v>
      </c>
      <c r="AB5" s="405">
        <v>10457702</v>
      </c>
      <c r="AC5" s="405">
        <v>10465306</v>
      </c>
      <c r="AD5" s="405">
        <v>10471831</v>
      </c>
      <c r="AE5" s="290"/>
      <c r="AF5" s="405" t="s">
        <v>2376</v>
      </c>
      <c r="AG5" s="288"/>
    </row>
    <row r="6" spans="1:35" ht="20.100000000000001" customHeight="1">
      <c r="A6" s="285" t="s">
        <v>56</v>
      </c>
      <c r="B6" s="405" t="s">
        <v>2608</v>
      </c>
      <c r="C6" s="405" t="s">
        <v>2609</v>
      </c>
      <c r="D6" s="405" t="s">
        <v>2610</v>
      </c>
      <c r="E6" s="405" t="s">
        <v>2611</v>
      </c>
      <c r="F6" s="405" t="s">
        <v>2612</v>
      </c>
      <c r="G6" s="405" t="s">
        <v>2613</v>
      </c>
      <c r="H6" s="405" t="s">
        <v>2614</v>
      </c>
      <c r="I6" s="405" t="s">
        <v>2615</v>
      </c>
      <c r="J6" s="405" t="s">
        <v>2616</v>
      </c>
      <c r="K6" s="405" t="s">
        <v>2617</v>
      </c>
      <c r="L6" s="405" t="s">
        <v>2618</v>
      </c>
      <c r="M6" s="405" t="s">
        <v>2619</v>
      </c>
      <c r="N6" s="405" t="s">
        <v>2620</v>
      </c>
      <c r="O6" s="405" t="s">
        <v>2621</v>
      </c>
      <c r="P6" s="405" t="s">
        <v>2622</v>
      </c>
      <c r="Q6" s="405" t="s">
        <v>2623</v>
      </c>
      <c r="R6" s="405" t="s">
        <v>2624</v>
      </c>
      <c r="S6" s="405" t="s">
        <v>2625</v>
      </c>
      <c r="T6" s="405" t="s">
        <v>2626</v>
      </c>
      <c r="U6" s="405" t="s">
        <v>2627</v>
      </c>
      <c r="V6" s="405">
        <v>4938655</v>
      </c>
      <c r="W6" s="405">
        <v>4941557</v>
      </c>
      <c r="X6" s="405" t="s">
        <v>2628</v>
      </c>
      <c r="Y6" s="405">
        <v>4946869</v>
      </c>
      <c r="Z6" s="405">
        <v>4949667</v>
      </c>
      <c r="AA6" s="405">
        <v>4952687</v>
      </c>
      <c r="AB6" s="405">
        <v>4955846</v>
      </c>
      <c r="AC6" s="405">
        <v>4959149</v>
      </c>
      <c r="AD6" s="405">
        <v>4961967</v>
      </c>
      <c r="AE6" s="290"/>
      <c r="AF6" s="405" t="s">
        <v>2406</v>
      </c>
      <c r="AG6" s="288"/>
    </row>
    <row r="7" spans="1:35" ht="20.100000000000001" customHeight="1">
      <c r="A7" s="285" t="s">
        <v>57</v>
      </c>
      <c r="B7" s="405" t="s">
        <v>2629</v>
      </c>
      <c r="C7" s="405" t="s">
        <v>2630</v>
      </c>
      <c r="D7" s="405" t="s">
        <v>2631</v>
      </c>
      <c r="E7" s="405" t="s">
        <v>2632</v>
      </c>
      <c r="F7" s="405" t="s">
        <v>2633</v>
      </c>
      <c r="G7" s="405" t="s">
        <v>2634</v>
      </c>
      <c r="H7" s="405" t="s">
        <v>2635</v>
      </c>
      <c r="I7" s="405" t="s">
        <v>2636</v>
      </c>
      <c r="J7" s="405" t="s">
        <v>2637</v>
      </c>
      <c r="K7" s="405" t="s">
        <v>2638</v>
      </c>
      <c r="L7" s="405" t="s">
        <v>2639</v>
      </c>
      <c r="M7" s="405" t="s">
        <v>2640</v>
      </c>
      <c r="N7" s="405" t="s">
        <v>2641</v>
      </c>
      <c r="O7" s="405" t="s">
        <v>2642</v>
      </c>
      <c r="P7" s="405" t="s">
        <v>2643</v>
      </c>
      <c r="Q7" s="405" t="s">
        <v>2644</v>
      </c>
      <c r="R7" s="405" t="s">
        <v>2645</v>
      </c>
      <c r="S7" s="405" t="s">
        <v>2646</v>
      </c>
      <c r="T7" s="405" t="s">
        <v>2647</v>
      </c>
      <c r="U7" s="405" t="s">
        <v>2648</v>
      </c>
      <c r="V7" s="405">
        <v>10566880</v>
      </c>
      <c r="W7" s="405">
        <v>10566958</v>
      </c>
      <c r="X7" s="405" t="s">
        <v>2649</v>
      </c>
      <c r="Y7" s="405">
        <v>10567268</v>
      </c>
      <c r="Z7" s="405">
        <v>10575134</v>
      </c>
      <c r="AA7" s="405">
        <v>10583099</v>
      </c>
      <c r="AB7" s="405">
        <v>10590731</v>
      </c>
      <c r="AC7" s="405">
        <v>10598988</v>
      </c>
      <c r="AD7" s="405">
        <v>10606171</v>
      </c>
      <c r="AE7" s="290"/>
      <c r="AF7" s="405" t="s">
        <v>2435</v>
      </c>
      <c r="AG7" s="288"/>
    </row>
    <row r="8" spans="1:35" ht="20.100000000000001" customHeight="1">
      <c r="A8" s="285" t="s">
        <v>58</v>
      </c>
      <c r="B8" s="405" t="s">
        <v>2459</v>
      </c>
      <c r="C8" s="405" t="s">
        <v>2459</v>
      </c>
      <c r="D8" s="405" t="s">
        <v>2459</v>
      </c>
      <c r="E8" s="405" t="s">
        <v>2650</v>
      </c>
      <c r="F8" s="405" t="s">
        <v>2650</v>
      </c>
      <c r="G8" s="405" t="s">
        <v>2650</v>
      </c>
      <c r="H8" s="405" t="s">
        <v>2650</v>
      </c>
      <c r="I8" s="405" t="s">
        <v>2650</v>
      </c>
      <c r="J8" s="405" t="s">
        <v>2650</v>
      </c>
      <c r="K8" s="405" t="s">
        <v>2650</v>
      </c>
      <c r="L8" s="405" t="s">
        <v>2650</v>
      </c>
      <c r="M8" s="405" t="s">
        <v>2650</v>
      </c>
      <c r="N8" s="405" t="s">
        <v>2650</v>
      </c>
      <c r="O8" s="405" t="s">
        <v>2650</v>
      </c>
      <c r="P8" s="405" t="s">
        <v>2650</v>
      </c>
      <c r="Q8" s="405" t="s">
        <v>2650</v>
      </c>
      <c r="R8" s="405" t="s">
        <v>2650</v>
      </c>
      <c r="S8" s="405" t="s">
        <v>2650</v>
      </c>
      <c r="T8" s="405" t="s">
        <v>2650</v>
      </c>
      <c r="U8" s="405" t="s">
        <v>2650</v>
      </c>
      <c r="V8" s="405">
        <v>3534028</v>
      </c>
      <c r="W8" s="405">
        <v>3536430</v>
      </c>
      <c r="X8" s="405" t="s">
        <v>2651</v>
      </c>
      <c r="Y8" s="405">
        <v>3541302</v>
      </c>
      <c r="Z8" s="405">
        <v>3541302</v>
      </c>
      <c r="AA8" s="405">
        <v>3541302</v>
      </c>
      <c r="AB8" s="405">
        <v>3541302</v>
      </c>
      <c r="AC8" s="405">
        <v>3541302</v>
      </c>
      <c r="AD8" s="405">
        <v>3541302</v>
      </c>
      <c r="AE8" s="290"/>
      <c r="AF8" s="405" t="s">
        <v>2459</v>
      </c>
      <c r="AG8" s="288"/>
    </row>
    <row r="9" spans="1:35" ht="20.100000000000001" customHeight="1">
      <c r="A9" s="285" t="s">
        <v>59</v>
      </c>
      <c r="B9" s="405" t="s">
        <v>2652</v>
      </c>
      <c r="C9" s="405" t="s">
        <v>2653</v>
      </c>
      <c r="D9" s="405" t="s">
        <v>2654</v>
      </c>
      <c r="E9" s="405" t="s">
        <v>2655</v>
      </c>
      <c r="F9" s="405" t="s">
        <v>2656</v>
      </c>
      <c r="G9" s="405" t="s">
        <v>2657</v>
      </c>
      <c r="H9" s="405" t="s">
        <v>2658</v>
      </c>
      <c r="I9" s="405" t="s">
        <v>2659</v>
      </c>
      <c r="J9" s="405" t="s">
        <v>2660</v>
      </c>
      <c r="K9" s="405" t="s">
        <v>2661</v>
      </c>
      <c r="L9" s="405" t="s">
        <v>2662</v>
      </c>
      <c r="M9" s="405" t="s">
        <v>2663</v>
      </c>
      <c r="N9" s="405" t="s">
        <v>2664</v>
      </c>
      <c r="O9" s="405" t="s">
        <v>2665</v>
      </c>
      <c r="P9" s="405" t="s">
        <v>2666</v>
      </c>
      <c r="Q9" s="405" t="s">
        <v>2667</v>
      </c>
      <c r="R9" s="405" t="s">
        <v>2668</v>
      </c>
      <c r="S9" s="405" t="s">
        <v>2669</v>
      </c>
      <c r="T9" s="405" t="s">
        <v>2670</v>
      </c>
      <c r="U9" s="405" t="s">
        <v>2671</v>
      </c>
      <c r="V9" s="405">
        <v>21434944</v>
      </c>
      <c r="W9" s="405">
        <v>21439605</v>
      </c>
      <c r="X9" s="405" t="s">
        <v>2672</v>
      </c>
      <c r="Y9" s="405">
        <v>21449414</v>
      </c>
      <c r="Z9" s="405">
        <v>21454116</v>
      </c>
      <c r="AA9" s="405">
        <v>21458684</v>
      </c>
      <c r="AB9" s="405">
        <v>21463055</v>
      </c>
      <c r="AC9" s="405">
        <v>21467992</v>
      </c>
      <c r="AD9" s="405">
        <v>21472810</v>
      </c>
      <c r="AE9" s="290"/>
      <c r="AF9" s="405" t="s">
        <v>2490</v>
      </c>
      <c r="AG9" s="288"/>
    </row>
    <row r="10" spans="1:35" ht="20.100000000000001" customHeight="1">
      <c r="A10" s="285" t="s">
        <v>60</v>
      </c>
      <c r="B10" s="405" t="s">
        <v>2673</v>
      </c>
      <c r="C10" s="405" t="s">
        <v>2674</v>
      </c>
      <c r="D10" s="405" t="s">
        <v>2675</v>
      </c>
      <c r="E10" s="405" t="s">
        <v>2676</v>
      </c>
      <c r="F10" s="405" t="s">
        <v>2677</v>
      </c>
      <c r="G10" s="405" t="s">
        <v>2678</v>
      </c>
      <c r="H10" s="405" t="s">
        <v>2679</v>
      </c>
      <c r="I10" s="405" t="s">
        <v>2680</v>
      </c>
      <c r="J10" s="405" t="s">
        <v>2681</v>
      </c>
      <c r="K10" s="405" t="s">
        <v>2682</v>
      </c>
      <c r="L10" s="405" t="s">
        <v>2683</v>
      </c>
      <c r="M10" s="405" t="s">
        <v>2684</v>
      </c>
      <c r="N10" s="405" t="s">
        <v>2685</v>
      </c>
      <c r="O10" s="405" t="s">
        <v>2686</v>
      </c>
      <c r="P10" s="405" t="s">
        <v>2687</v>
      </c>
      <c r="Q10" s="405" t="s">
        <v>2688</v>
      </c>
      <c r="R10" s="405" t="s">
        <v>2689</v>
      </c>
      <c r="S10" s="405" t="s">
        <v>2690</v>
      </c>
      <c r="T10" s="405" t="s">
        <v>2691</v>
      </c>
      <c r="U10" s="405" t="s">
        <v>2692</v>
      </c>
      <c r="V10" s="405">
        <v>7112046</v>
      </c>
      <c r="W10" s="405">
        <v>7115105</v>
      </c>
      <c r="X10" s="405" t="s">
        <v>2693</v>
      </c>
      <c r="Y10" s="405">
        <v>7120508</v>
      </c>
      <c r="Z10" s="405">
        <v>7123050</v>
      </c>
      <c r="AA10" s="405">
        <v>7126230</v>
      </c>
      <c r="AB10" s="405">
        <v>7129441</v>
      </c>
      <c r="AC10" s="405">
        <v>7132920</v>
      </c>
      <c r="AD10" s="405">
        <v>7135966</v>
      </c>
      <c r="AE10" s="290"/>
      <c r="AF10" s="405" t="s">
        <v>2520</v>
      </c>
      <c r="AG10" s="288"/>
    </row>
    <row r="11" spans="1:35" ht="22.5" customHeight="1">
      <c r="A11" s="285" t="s">
        <v>61</v>
      </c>
      <c r="B11" s="405" t="s">
        <v>2694</v>
      </c>
      <c r="C11" s="405" t="s">
        <v>2695</v>
      </c>
      <c r="D11" s="405" t="s">
        <v>2696</v>
      </c>
      <c r="E11" s="405" t="s">
        <v>2697</v>
      </c>
      <c r="F11" s="405" t="s">
        <v>2698</v>
      </c>
      <c r="G11" s="405" t="s">
        <v>2699</v>
      </c>
      <c r="H11" s="405" t="s">
        <v>2700</v>
      </c>
      <c r="I11" s="405" t="s">
        <v>2701</v>
      </c>
      <c r="J11" s="405" t="s">
        <v>2702</v>
      </c>
      <c r="K11" s="405" t="s">
        <v>2703</v>
      </c>
      <c r="L11" s="405" t="s">
        <v>2704</v>
      </c>
      <c r="M11" s="405" t="s">
        <v>2705</v>
      </c>
      <c r="N11" s="405" t="s">
        <v>2706</v>
      </c>
      <c r="O11" s="405" t="s">
        <v>2707</v>
      </c>
      <c r="P11" s="405" t="s">
        <v>2708</v>
      </c>
      <c r="Q11" s="405" t="s">
        <v>2709</v>
      </c>
      <c r="R11" s="405" t="s">
        <v>2710</v>
      </c>
      <c r="S11" s="405" t="s">
        <v>2711</v>
      </c>
      <c r="T11" s="405" t="s">
        <v>2712</v>
      </c>
      <c r="U11" s="405" t="s">
        <v>2713</v>
      </c>
      <c r="V11" s="405">
        <v>278437</v>
      </c>
      <c r="W11" s="405">
        <v>278548</v>
      </c>
      <c r="X11" s="405" t="s">
        <v>2714</v>
      </c>
      <c r="Y11" s="405">
        <v>278745</v>
      </c>
      <c r="Z11" s="405">
        <v>278847</v>
      </c>
      <c r="AA11" s="405">
        <v>278963</v>
      </c>
      <c r="AB11" s="405">
        <v>279083</v>
      </c>
      <c r="AC11" s="405">
        <v>279217</v>
      </c>
      <c r="AD11" s="405">
        <v>279328</v>
      </c>
      <c r="AE11" s="290"/>
      <c r="AF11" s="405" t="s">
        <v>2551</v>
      </c>
      <c r="AG11" s="288"/>
    </row>
    <row r="12" spans="1:35" s="294" customFormat="1" ht="18" customHeight="1">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c r="AE12" s="407"/>
      <c r="AF12" s="406"/>
    </row>
    <row r="13" spans="1:35">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296"/>
      <c r="AF13" s="295" t="s">
        <v>64</v>
      </c>
    </row>
    <row r="14" spans="1:35">
      <c r="A14" s="282" t="s">
        <v>995</v>
      </c>
      <c r="B14" s="409">
        <v>336714</v>
      </c>
      <c r="C14" s="409">
        <v>336714</v>
      </c>
      <c r="D14" s="409">
        <v>337170</v>
      </c>
      <c r="E14" s="409">
        <v>337170</v>
      </c>
      <c r="F14" s="409">
        <v>337170</v>
      </c>
      <c r="G14" s="409">
        <v>337170</v>
      </c>
      <c r="H14" s="409">
        <v>337170</v>
      </c>
      <c r="I14" s="409">
        <v>337170</v>
      </c>
      <c r="J14" s="409">
        <v>337170</v>
      </c>
      <c r="K14" s="409">
        <v>337337</v>
      </c>
      <c r="L14" s="409">
        <v>337337</v>
      </c>
      <c r="M14" s="409">
        <v>337337</v>
      </c>
      <c r="N14" s="409">
        <v>337337</v>
      </c>
      <c r="O14" s="409">
        <v>337337</v>
      </c>
      <c r="P14" s="409">
        <v>337337</v>
      </c>
      <c r="Q14" s="409">
        <v>337337</v>
      </c>
      <c r="R14" s="409">
        <v>338047</v>
      </c>
      <c r="S14" s="409">
        <v>338047</v>
      </c>
      <c r="T14" s="409">
        <v>338047</v>
      </c>
      <c r="U14" s="409">
        <v>338047</v>
      </c>
      <c r="V14" s="409">
        <v>338047</v>
      </c>
      <c r="W14" s="409">
        <v>338047</v>
      </c>
      <c r="X14" s="409">
        <v>338047</v>
      </c>
      <c r="Y14" s="409">
        <v>339144</v>
      </c>
      <c r="Z14" s="409">
        <v>339144</v>
      </c>
      <c r="AA14" s="409">
        <v>339144</v>
      </c>
      <c r="AB14" s="409">
        <v>339358</v>
      </c>
      <c r="AC14" s="409">
        <v>339442</v>
      </c>
      <c r="AD14" s="409">
        <v>339518</v>
      </c>
      <c r="AE14" s="301">
        <f>AD14-AF14</f>
        <v>2804</v>
      </c>
      <c r="AF14" s="409">
        <v>336714</v>
      </c>
      <c r="AG14" s="299">
        <v>2804</v>
      </c>
      <c r="AH14" s="299"/>
      <c r="AI14" s="410"/>
    </row>
    <row r="15" spans="1:35" ht="25.5">
      <c r="A15" s="282" t="s">
        <v>67</v>
      </c>
      <c r="B15" s="409">
        <v>8095</v>
      </c>
      <c r="C15" s="409">
        <v>8095</v>
      </c>
      <c r="D15" s="409">
        <v>8096</v>
      </c>
      <c r="E15" s="409">
        <v>8097</v>
      </c>
      <c r="F15" s="409">
        <v>8104</v>
      </c>
      <c r="G15" s="409">
        <v>8107</v>
      </c>
      <c r="H15" s="409">
        <v>8110</v>
      </c>
      <c r="I15" s="409">
        <v>8111</v>
      </c>
      <c r="J15" s="409">
        <v>8111</v>
      </c>
      <c r="K15" s="409">
        <v>8112</v>
      </c>
      <c r="L15" s="409">
        <v>8128</v>
      </c>
      <c r="M15" s="409">
        <v>8128</v>
      </c>
      <c r="N15" s="409">
        <v>8128</v>
      </c>
      <c r="O15" s="409">
        <v>8128</v>
      </c>
      <c r="P15" s="409">
        <v>8128</v>
      </c>
      <c r="Q15" s="409">
        <v>8128</v>
      </c>
      <c r="R15" s="409">
        <v>8128</v>
      </c>
      <c r="S15" s="409">
        <v>8128</v>
      </c>
      <c r="T15" s="409">
        <v>8128</v>
      </c>
      <c r="U15" s="409">
        <v>8128</v>
      </c>
      <c r="V15" s="409">
        <v>8128</v>
      </c>
      <c r="W15" s="409">
        <v>8128</v>
      </c>
      <c r="X15" s="409">
        <v>8128</v>
      </c>
      <c r="Y15" s="409">
        <v>8128</v>
      </c>
      <c r="Z15" s="409">
        <v>8128</v>
      </c>
      <c r="AA15" s="409">
        <v>8128</v>
      </c>
      <c r="AB15" s="409">
        <v>8128</v>
      </c>
      <c r="AC15" s="409">
        <v>8128</v>
      </c>
      <c r="AD15" s="409">
        <v>8129</v>
      </c>
      <c r="AE15" s="301">
        <f t="shared" ref="AE15:AE29" si="0">AD15-AF15</f>
        <v>34</v>
      </c>
      <c r="AF15" s="409">
        <v>8095</v>
      </c>
      <c r="AG15" s="144">
        <v>34</v>
      </c>
      <c r="AH15" s="299"/>
      <c r="AI15" s="411"/>
    </row>
    <row r="16" spans="1:35"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301">
        <f t="shared" si="0"/>
        <v>0</v>
      </c>
      <c r="AF16" s="409">
        <v>12874</v>
      </c>
      <c r="AG16" s="144">
        <v>0</v>
      </c>
      <c r="AH16" s="299"/>
      <c r="AI16" s="411"/>
    </row>
    <row r="17" spans="1:35"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301">
        <f t="shared" si="0"/>
        <v>0</v>
      </c>
      <c r="AF17" s="406"/>
      <c r="AG17" s="144">
        <v>0</v>
      </c>
      <c r="AI17" s="411"/>
    </row>
    <row r="18" spans="1:35">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301" t="e">
        <f t="shared" si="0"/>
        <v>#VALUE!</v>
      </c>
      <c r="AF18" s="295" t="s">
        <v>64</v>
      </c>
      <c r="AI18" s="412"/>
    </row>
    <row r="19" spans="1:35" ht="25.5">
      <c r="A19" s="282" t="s">
        <v>70</v>
      </c>
      <c r="B19" s="413">
        <v>78291</v>
      </c>
      <c r="C19" s="413">
        <v>78291</v>
      </c>
      <c r="D19" s="413">
        <v>78291</v>
      </c>
      <c r="E19" s="413">
        <v>78291</v>
      </c>
      <c r="F19" s="413">
        <v>78291</v>
      </c>
      <c r="G19" s="413">
        <v>78291</v>
      </c>
      <c r="H19" s="413">
        <v>78317</v>
      </c>
      <c r="I19" s="413">
        <v>78379</v>
      </c>
      <c r="J19" s="413">
        <v>78379</v>
      </c>
      <c r="K19" s="413">
        <v>78379</v>
      </c>
      <c r="L19" s="413">
        <v>78379</v>
      </c>
      <c r="M19" s="413">
        <v>78379</v>
      </c>
      <c r="N19" s="413">
        <v>78379</v>
      </c>
      <c r="O19" s="413">
        <v>78379</v>
      </c>
      <c r="P19" s="413">
        <v>78469</v>
      </c>
      <c r="Q19" s="413">
        <v>78469</v>
      </c>
      <c r="R19" s="413">
        <v>78469</v>
      </c>
      <c r="S19" s="413">
        <v>78483</v>
      </c>
      <c r="T19" s="413">
        <v>78489</v>
      </c>
      <c r="U19" s="413">
        <v>78495</v>
      </c>
      <c r="V19" s="413">
        <v>78543</v>
      </c>
      <c r="W19" s="413">
        <v>78543</v>
      </c>
      <c r="X19" s="413">
        <v>78543</v>
      </c>
      <c r="Y19" s="413">
        <v>78543</v>
      </c>
      <c r="Z19" s="413">
        <v>78551</v>
      </c>
      <c r="AA19" s="413">
        <v>78629</v>
      </c>
      <c r="AB19" s="413">
        <v>78642</v>
      </c>
      <c r="AC19" s="413">
        <v>78645</v>
      </c>
      <c r="AD19" s="413">
        <v>78730</v>
      </c>
      <c r="AE19" s="301">
        <f t="shared" si="0"/>
        <v>439</v>
      </c>
      <c r="AF19" s="413">
        <v>78291</v>
      </c>
      <c r="AG19" s="307">
        <v>439</v>
      </c>
      <c r="AH19" s="307"/>
      <c r="AI19" s="410"/>
    </row>
    <row r="20" spans="1:35" ht="25.5">
      <c r="A20" s="282" t="s">
        <v>2715</v>
      </c>
      <c r="B20" s="409">
        <v>6134.335</v>
      </c>
      <c r="C20" s="409">
        <v>6134.335</v>
      </c>
      <c r="D20" s="409">
        <v>6134.335</v>
      </c>
      <c r="E20" s="409">
        <v>6134.335</v>
      </c>
      <c r="F20" s="409">
        <v>6134.335</v>
      </c>
      <c r="G20" s="409">
        <v>6134.335</v>
      </c>
      <c r="H20" s="409">
        <v>6261.9340000000002</v>
      </c>
      <c r="I20" s="409">
        <v>6261.9340000000002</v>
      </c>
      <c r="J20" s="409">
        <v>6261.9340000000002</v>
      </c>
      <c r="K20" s="409">
        <v>6261.9340000000002</v>
      </c>
      <c r="L20" s="409">
        <v>6261.9340000000002</v>
      </c>
      <c r="M20" s="409">
        <v>6261.9340000000002</v>
      </c>
      <c r="N20" s="409">
        <v>6261.9340000000002</v>
      </c>
      <c r="O20" s="409">
        <v>6261.9340000000002</v>
      </c>
      <c r="P20" s="409">
        <v>6261.9340000000002</v>
      </c>
      <c r="Q20" s="409">
        <v>6261.9340000000002</v>
      </c>
      <c r="R20" s="409">
        <v>6261.9340000000002</v>
      </c>
      <c r="S20" s="413">
        <v>6331.5529999999999</v>
      </c>
      <c r="T20" s="413">
        <v>6354.8440000000001</v>
      </c>
      <c r="U20" s="413">
        <v>6354.8440000000001</v>
      </c>
      <c r="V20" s="413">
        <v>6538</v>
      </c>
      <c r="W20" s="413">
        <v>6538</v>
      </c>
      <c r="X20" s="413">
        <v>6538</v>
      </c>
      <c r="Y20" s="413">
        <v>6538</v>
      </c>
      <c r="Z20" s="413">
        <v>6598</v>
      </c>
      <c r="AA20" s="413">
        <v>6651</v>
      </c>
      <c r="AB20" s="413">
        <v>6731</v>
      </c>
      <c r="AC20" s="413">
        <v>6744</v>
      </c>
      <c r="AD20" s="413">
        <v>6744</v>
      </c>
      <c r="AE20" s="301">
        <f t="shared" si="0"/>
        <v>610</v>
      </c>
      <c r="AF20" s="409">
        <v>6134</v>
      </c>
      <c r="AG20" s="144">
        <v>610</v>
      </c>
      <c r="AH20" s="307"/>
      <c r="AI20" s="414"/>
    </row>
    <row r="21" spans="1:35">
      <c r="A21" s="282" t="s">
        <v>72</v>
      </c>
      <c r="B21" s="409">
        <v>180933</v>
      </c>
      <c r="C21" s="409">
        <v>180933</v>
      </c>
      <c r="D21" s="409">
        <v>182707</v>
      </c>
      <c r="E21" s="409">
        <v>182707</v>
      </c>
      <c r="F21" s="409">
        <v>182707</v>
      </c>
      <c r="G21" s="409">
        <v>182707</v>
      </c>
      <c r="H21" s="409">
        <v>182707</v>
      </c>
      <c r="I21" s="409">
        <v>182707</v>
      </c>
      <c r="J21" s="409">
        <v>182707</v>
      </c>
      <c r="K21" s="409">
        <v>183313</v>
      </c>
      <c r="L21" s="409">
        <v>183313</v>
      </c>
      <c r="M21" s="409">
        <v>183313</v>
      </c>
      <c r="N21" s="409">
        <v>183313</v>
      </c>
      <c r="O21" s="409">
        <v>183313</v>
      </c>
      <c r="P21" s="409">
        <v>183313</v>
      </c>
      <c r="Q21" s="409">
        <v>183313</v>
      </c>
      <c r="R21" s="409">
        <v>183996</v>
      </c>
      <c r="S21" s="409">
        <v>183996</v>
      </c>
      <c r="T21" s="409">
        <v>183996</v>
      </c>
      <c r="U21" s="409">
        <v>184416</v>
      </c>
      <c r="V21" s="409">
        <v>184416</v>
      </c>
      <c r="W21" s="409">
        <v>184416</v>
      </c>
      <c r="X21" s="409">
        <v>184416</v>
      </c>
      <c r="Y21" s="409">
        <v>184802</v>
      </c>
      <c r="Z21" s="409">
        <v>184802</v>
      </c>
      <c r="AA21" s="409">
        <v>185168</v>
      </c>
      <c r="AB21" s="409">
        <v>185168</v>
      </c>
      <c r="AC21" s="409">
        <v>185168</v>
      </c>
      <c r="AD21" s="409">
        <v>185492</v>
      </c>
      <c r="AE21" s="301">
        <f t="shared" si="0"/>
        <v>4559</v>
      </c>
      <c r="AF21" s="409">
        <v>180933</v>
      </c>
      <c r="AG21" s="144">
        <v>4559</v>
      </c>
      <c r="AH21" s="307"/>
      <c r="AI21" s="415"/>
    </row>
    <row r="22" spans="1:35">
      <c r="A22" s="282" t="s">
        <v>73</v>
      </c>
      <c r="B22" s="409">
        <v>206548</v>
      </c>
      <c r="C22" s="409">
        <v>206548</v>
      </c>
      <c r="D22" s="409">
        <v>206615</v>
      </c>
      <c r="E22" s="409">
        <v>206658</v>
      </c>
      <c r="F22" s="409">
        <v>206676</v>
      </c>
      <c r="G22" s="409">
        <v>206703</v>
      </c>
      <c r="H22" s="409">
        <v>206730</v>
      </c>
      <c r="I22" s="409">
        <v>206759</v>
      </c>
      <c r="J22" s="409">
        <v>206779</v>
      </c>
      <c r="K22" s="409">
        <v>206812</v>
      </c>
      <c r="L22" s="409">
        <v>206835</v>
      </c>
      <c r="M22" s="409">
        <v>206864</v>
      </c>
      <c r="N22" s="409">
        <v>206888</v>
      </c>
      <c r="O22" s="409">
        <v>206918</v>
      </c>
      <c r="P22" s="409">
        <v>206945</v>
      </c>
      <c r="Q22" s="409">
        <v>206975</v>
      </c>
      <c r="R22" s="409">
        <v>207010</v>
      </c>
      <c r="S22" s="409">
        <v>207042</v>
      </c>
      <c r="T22" s="409">
        <v>207073</v>
      </c>
      <c r="U22" s="409">
        <v>207107</v>
      </c>
      <c r="V22" s="409">
        <v>207137</v>
      </c>
      <c r="W22" s="409">
        <v>207171</v>
      </c>
      <c r="X22" s="409">
        <v>207197</v>
      </c>
      <c r="Y22" s="409">
        <v>207228</v>
      </c>
      <c r="Z22" s="409">
        <v>207259</v>
      </c>
      <c r="AA22" s="409">
        <v>207294</v>
      </c>
      <c r="AB22" s="409">
        <v>207326</v>
      </c>
      <c r="AC22" s="409">
        <v>207353</v>
      </c>
      <c r="AD22" s="409">
        <v>207381</v>
      </c>
      <c r="AE22" s="301">
        <f t="shared" si="0"/>
        <v>865</v>
      </c>
      <c r="AF22" s="409">
        <v>206516</v>
      </c>
      <c r="AG22" s="144">
        <v>865</v>
      </c>
      <c r="AH22" s="307"/>
      <c r="AI22" s="414"/>
    </row>
    <row r="23" spans="1:35">
      <c r="A23" s="309" t="s">
        <v>136</v>
      </c>
      <c r="B23" s="409">
        <v>10657</v>
      </c>
      <c r="C23" s="409">
        <v>10657</v>
      </c>
      <c r="D23" s="409">
        <v>10733</v>
      </c>
      <c r="E23" s="409">
        <v>10733</v>
      </c>
      <c r="F23" s="409">
        <v>10733</v>
      </c>
      <c r="G23" s="409">
        <v>10733</v>
      </c>
      <c r="H23" s="409">
        <v>10733</v>
      </c>
      <c r="I23" s="409">
        <v>10733</v>
      </c>
      <c r="J23" s="409">
        <v>10733</v>
      </c>
      <c r="K23" s="409">
        <v>10787</v>
      </c>
      <c r="L23" s="409">
        <v>10787</v>
      </c>
      <c r="M23" s="409">
        <v>10787</v>
      </c>
      <c r="N23" s="409">
        <v>10787</v>
      </c>
      <c r="O23" s="409">
        <v>10787</v>
      </c>
      <c r="P23" s="409">
        <v>10787</v>
      </c>
      <c r="Q23" s="409">
        <v>10787</v>
      </c>
      <c r="R23" s="409">
        <v>10826</v>
      </c>
      <c r="S23" s="409">
        <v>10826</v>
      </c>
      <c r="T23" s="409">
        <v>10826</v>
      </c>
      <c r="U23" s="409">
        <v>10826</v>
      </c>
      <c r="V23" s="409">
        <v>10826</v>
      </c>
      <c r="W23" s="409">
        <v>10826</v>
      </c>
      <c r="X23" s="409">
        <v>10826</v>
      </c>
      <c r="Y23" s="409">
        <v>11425</v>
      </c>
      <c r="Z23" s="409">
        <v>11425</v>
      </c>
      <c r="AA23" s="409">
        <v>11425</v>
      </c>
      <c r="AB23" s="409">
        <v>11447</v>
      </c>
      <c r="AC23" s="409">
        <v>11458</v>
      </c>
      <c r="AD23" s="409">
        <v>11470</v>
      </c>
      <c r="AE23" s="301">
        <f t="shared" si="0"/>
        <v>813</v>
      </c>
      <c r="AF23" s="409">
        <v>10657</v>
      </c>
      <c r="AG23" s="144">
        <v>813</v>
      </c>
      <c r="AH23" s="307"/>
      <c r="AI23" s="414"/>
    </row>
    <row r="24" spans="1:35">
      <c r="A24" s="309" t="s">
        <v>139</v>
      </c>
      <c r="B24" s="409">
        <v>7619</v>
      </c>
      <c r="C24" s="409">
        <v>7619</v>
      </c>
      <c r="D24" s="409">
        <v>7668</v>
      </c>
      <c r="E24" s="409">
        <v>7668</v>
      </c>
      <c r="F24" s="409">
        <v>7668</v>
      </c>
      <c r="G24" s="409">
        <v>7668</v>
      </c>
      <c r="H24" s="409">
        <v>7668</v>
      </c>
      <c r="I24" s="409">
        <v>7668</v>
      </c>
      <c r="J24" s="409">
        <v>7668</v>
      </c>
      <c r="K24" s="409">
        <v>7726</v>
      </c>
      <c r="L24" s="409">
        <v>7726</v>
      </c>
      <c r="M24" s="409">
        <v>7726</v>
      </c>
      <c r="N24" s="409">
        <v>7726</v>
      </c>
      <c r="O24" s="409">
        <v>7726</v>
      </c>
      <c r="P24" s="409">
        <v>7726</v>
      </c>
      <c r="Q24" s="409">
        <v>7726</v>
      </c>
      <c r="R24" s="409">
        <v>7789</v>
      </c>
      <c r="S24" s="409">
        <v>7789</v>
      </c>
      <c r="T24" s="409">
        <v>7789</v>
      </c>
      <c r="U24" s="409">
        <v>7789</v>
      </c>
      <c r="V24" s="409">
        <v>7789</v>
      </c>
      <c r="W24" s="409">
        <v>7789</v>
      </c>
      <c r="X24" s="409">
        <v>7789</v>
      </c>
      <c r="Y24" s="409">
        <v>7861</v>
      </c>
      <c r="Z24" s="409">
        <v>7861</v>
      </c>
      <c r="AA24" s="409">
        <v>7861</v>
      </c>
      <c r="AB24" s="409">
        <v>7877</v>
      </c>
      <c r="AC24" s="409">
        <v>7883</v>
      </c>
      <c r="AD24" s="409">
        <v>7894</v>
      </c>
      <c r="AE24" s="301">
        <f t="shared" si="0"/>
        <v>275</v>
      </c>
      <c r="AF24" s="409">
        <v>7619</v>
      </c>
      <c r="AG24" s="144">
        <v>275</v>
      </c>
      <c r="AH24" s="307"/>
      <c r="AI24" s="414"/>
    </row>
    <row r="25" spans="1:35">
      <c r="A25" s="309" t="s">
        <v>142</v>
      </c>
      <c r="B25" s="409">
        <v>3042</v>
      </c>
      <c r="C25" s="409">
        <v>3042</v>
      </c>
      <c r="D25" s="409">
        <v>3062</v>
      </c>
      <c r="E25" s="409">
        <v>3062</v>
      </c>
      <c r="F25" s="409">
        <v>3062</v>
      </c>
      <c r="G25" s="409">
        <v>3062</v>
      </c>
      <c r="H25" s="409">
        <v>3062</v>
      </c>
      <c r="I25" s="409">
        <v>3062</v>
      </c>
      <c r="J25" s="409">
        <v>3062</v>
      </c>
      <c r="K25" s="409">
        <v>3079</v>
      </c>
      <c r="L25" s="409">
        <v>3079</v>
      </c>
      <c r="M25" s="409">
        <v>3079</v>
      </c>
      <c r="N25" s="409">
        <v>3079</v>
      </c>
      <c r="O25" s="409">
        <v>3079</v>
      </c>
      <c r="P25" s="409">
        <v>3079</v>
      </c>
      <c r="Q25" s="409">
        <v>3079</v>
      </c>
      <c r="R25" s="409">
        <v>3097</v>
      </c>
      <c r="S25" s="409">
        <v>3097</v>
      </c>
      <c r="T25" s="409">
        <v>3097</v>
      </c>
      <c r="U25" s="409">
        <v>3097</v>
      </c>
      <c r="V25" s="409">
        <v>3097</v>
      </c>
      <c r="W25" s="409">
        <v>3097</v>
      </c>
      <c r="X25" s="409">
        <v>3097</v>
      </c>
      <c r="Y25" s="409">
        <v>3117</v>
      </c>
      <c r="Z25" s="409">
        <v>3117</v>
      </c>
      <c r="AA25" s="409">
        <v>3117</v>
      </c>
      <c r="AB25" s="409">
        <v>3125</v>
      </c>
      <c r="AC25" s="409">
        <v>3128</v>
      </c>
      <c r="AD25" s="409">
        <v>3131</v>
      </c>
      <c r="AE25" s="301">
        <f t="shared" si="0"/>
        <v>89</v>
      </c>
      <c r="AF25" s="409">
        <v>3042</v>
      </c>
      <c r="AG25" s="144">
        <v>89</v>
      </c>
      <c r="AH25" s="307"/>
      <c r="AI25" s="414"/>
    </row>
    <row r="26" spans="1:35">
      <c r="A26" s="309" t="s">
        <v>145</v>
      </c>
      <c r="B26" s="409">
        <v>1684</v>
      </c>
      <c r="C26" s="409">
        <v>1684</v>
      </c>
      <c r="D26" s="409">
        <v>1697</v>
      </c>
      <c r="E26" s="409">
        <v>1697</v>
      </c>
      <c r="F26" s="409">
        <v>1697</v>
      </c>
      <c r="G26" s="409">
        <v>1697</v>
      </c>
      <c r="H26" s="409">
        <v>1697</v>
      </c>
      <c r="I26" s="409">
        <v>1697</v>
      </c>
      <c r="J26" s="409">
        <v>1697</v>
      </c>
      <c r="K26" s="409">
        <v>1711</v>
      </c>
      <c r="L26" s="409">
        <v>1711</v>
      </c>
      <c r="M26" s="409">
        <v>1711</v>
      </c>
      <c r="N26" s="409">
        <v>1711</v>
      </c>
      <c r="O26" s="409">
        <v>1711</v>
      </c>
      <c r="P26" s="409">
        <v>1711</v>
      </c>
      <c r="Q26" s="409">
        <v>1711</v>
      </c>
      <c r="R26" s="409">
        <v>1723</v>
      </c>
      <c r="S26" s="409">
        <v>1723</v>
      </c>
      <c r="T26" s="409">
        <v>1723</v>
      </c>
      <c r="U26" s="409">
        <v>1723</v>
      </c>
      <c r="V26" s="409">
        <v>1723</v>
      </c>
      <c r="W26" s="409">
        <v>1723</v>
      </c>
      <c r="X26" s="409">
        <v>1723</v>
      </c>
      <c r="Y26" s="409">
        <v>1736</v>
      </c>
      <c r="Z26" s="409">
        <v>1736</v>
      </c>
      <c r="AA26" s="409">
        <v>1736</v>
      </c>
      <c r="AB26" s="409">
        <v>1742</v>
      </c>
      <c r="AC26" s="409">
        <v>1745</v>
      </c>
      <c r="AD26" s="409">
        <v>1749</v>
      </c>
      <c r="AE26" s="301">
        <f t="shared" si="0"/>
        <v>65</v>
      </c>
      <c r="AF26" s="409">
        <v>1684</v>
      </c>
      <c r="AG26" s="144">
        <v>65</v>
      </c>
      <c r="AH26" s="307"/>
      <c r="AI26" s="414"/>
    </row>
    <row r="27" spans="1:35">
      <c r="A27" s="309" t="s">
        <v>148</v>
      </c>
      <c r="B27" s="409">
        <v>12429</v>
      </c>
      <c r="C27" s="409">
        <v>12429</v>
      </c>
      <c r="D27" s="409">
        <v>12484</v>
      </c>
      <c r="E27" s="409">
        <v>12484</v>
      </c>
      <c r="F27" s="409">
        <v>12484</v>
      </c>
      <c r="G27" s="409">
        <v>12484</v>
      </c>
      <c r="H27" s="409">
        <v>12484</v>
      </c>
      <c r="I27" s="409">
        <v>12484</v>
      </c>
      <c r="J27" s="409">
        <v>12484</v>
      </c>
      <c r="K27" s="409">
        <v>12548</v>
      </c>
      <c r="L27" s="409">
        <v>12548</v>
      </c>
      <c r="M27" s="409">
        <v>12548</v>
      </c>
      <c r="N27" s="409">
        <v>12548</v>
      </c>
      <c r="O27" s="409">
        <v>12548</v>
      </c>
      <c r="P27" s="409">
        <v>12548</v>
      </c>
      <c r="Q27" s="409">
        <v>12548</v>
      </c>
      <c r="R27" s="409">
        <v>12596</v>
      </c>
      <c r="S27" s="409">
        <v>12596</v>
      </c>
      <c r="T27" s="409">
        <v>12596</v>
      </c>
      <c r="U27" s="409">
        <v>12596</v>
      </c>
      <c r="V27" s="409">
        <v>12596</v>
      </c>
      <c r="W27" s="409">
        <v>12596</v>
      </c>
      <c r="X27" s="409">
        <v>12596</v>
      </c>
      <c r="Y27" s="409">
        <v>12737</v>
      </c>
      <c r="Z27" s="409">
        <v>12737</v>
      </c>
      <c r="AA27" s="409">
        <v>12737</v>
      </c>
      <c r="AB27" s="409">
        <v>12770</v>
      </c>
      <c r="AC27" s="409">
        <v>12801</v>
      </c>
      <c r="AD27" s="409">
        <v>12813</v>
      </c>
      <c r="AE27" s="301">
        <f t="shared" si="0"/>
        <v>384</v>
      </c>
      <c r="AF27" s="409">
        <v>12429</v>
      </c>
      <c r="AG27" s="144">
        <v>384</v>
      </c>
      <c r="AH27" s="307"/>
      <c r="AI27" s="414"/>
    </row>
    <row r="28" spans="1:35">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301">
        <f t="shared" si="0"/>
        <v>0</v>
      </c>
      <c r="AF28" s="409">
        <v>1339</v>
      </c>
      <c r="AG28" s="144">
        <v>0</v>
      </c>
      <c r="AH28" s="307"/>
      <c r="AI28" s="414"/>
    </row>
    <row r="29" spans="1:35">
      <c r="A29" s="309" t="s">
        <v>154</v>
      </c>
      <c r="B29" s="409">
        <v>830</v>
      </c>
      <c r="C29" s="409">
        <v>830</v>
      </c>
      <c r="D29" s="409">
        <v>836</v>
      </c>
      <c r="E29" s="409">
        <v>836</v>
      </c>
      <c r="F29" s="409">
        <v>836</v>
      </c>
      <c r="G29" s="409">
        <v>836</v>
      </c>
      <c r="H29" s="409">
        <v>836</v>
      </c>
      <c r="I29" s="409">
        <v>836</v>
      </c>
      <c r="J29" s="409">
        <v>836</v>
      </c>
      <c r="K29" s="409">
        <v>841</v>
      </c>
      <c r="L29" s="409">
        <v>841</v>
      </c>
      <c r="M29" s="409">
        <v>841</v>
      </c>
      <c r="N29" s="409">
        <v>841</v>
      </c>
      <c r="O29" s="409">
        <v>841</v>
      </c>
      <c r="P29" s="409">
        <v>841</v>
      </c>
      <c r="Q29" s="409">
        <v>841</v>
      </c>
      <c r="R29" s="409">
        <v>845</v>
      </c>
      <c r="S29" s="409">
        <v>845</v>
      </c>
      <c r="T29" s="409">
        <v>845</v>
      </c>
      <c r="U29" s="409">
        <v>845</v>
      </c>
      <c r="V29" s="409">
        <v>845</v>
      </c>
      <c r="W29" s="409">
        <v>845</v>
      </c>
      <c r="X29" s="409">
        <v>845</v>
      </c>
      <c r="Y29" s="409">
        <v>850</v>
      </c>
      <c r="Z29" s="409">
        <v>850</v>
      </c>
      <c r="AA29" s="409">
        <v>850</v>
      </c>
      <c r="AB29" s="409">
        <v>853</v>
      </c>
      <c r="AC29" s="409">
        <v>854</v>
      </c>
      <c r="AD29" s="409">
        <v>855</v>
      </c>
      <c r="AE29" s="301">
        <f t="shared" si="0"/>
        <v>25</v>
      </c>
      <c r="AF29" s="409">
        <v>830</v>
      </c>
      <c r="AG29" s="144">
        <v>25</v>
      </c>
      <c r="AH29" s="307"/>
      <c r="AI29" s="414"/>
    </row>
    <row r="30" spans="1:35">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301"/>
      <c r="AF30" s="406"/>
      <c r="AI30" s="414"/>
    </row>
    <row r="31" spans="1:35">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301"/>
      <c r="AF31" s="295" t="s">
        <v>75</v>
      </c>
    </row>
    <row r="32" spans="1:35"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301"/>
      <c r="AF32" s="416" t="s">
        <v>78</v>
      </c>
    </row>
    <row r="33" spans="1:32" ht="25.5">
      <c r="A33" s="282" t="s">
        <v>80</v>
      </c>
      <c r="B33" s="416" t="s">
        <v>2565</v>
      </c>
      <c r="C33" s="416" t="s">
        <v>2565</v>
      </c>
      <c r="D33" s="416" t="s">
        <v>2565</v>
      </c>
      <c r="E33" s="416" t="s">
        <v>2565</v>
      </c>
      <c r="F33" s="416" t="s">
        <v>2565</v>
      </c>
      <c r="G33" s="416" t="s">
        <v>2565</v>
      </c>
      <c r="H33" s="416" t="s">
        <v>2565</v>
      </c>
      <c r="I33" s="416" t="s">
        <v>2565</v>
      </c>
      <c r="J33" s="416" t="s">
        <v>2716</v>
      </c>
      <c r="K33" s="416" t="s">
        <v>2716</v>
      </c>
      <c r="L33" s="416" t="s">
        <v>2716</v>
      </c>
      <c r="M33" s="416" t="s">
        <v>2716</v>
      </c>
      <c r="N33" s="416" t="s">
        <v>2716</v>
      </c>
      <c r="O33" s="416" t="s">
        <v>2716</v>
      </c>
      <c r="P33" s="416" t="s">
        <v>2716</v>
      </c>
      <c r="Q33" s="416" t="s">
        <v>2716</v>
      </c>
      <c r="R33" s="416" t="s">
        <v>2716</v>
      </c>
      <c r="S33" s="416" t="s">
        <v>2716</v>
      </c>
      <c r="T33" s="416" t="s">
        <v>2716</v>
      </c>
      <c r="U33" s="416" t="s">
        <v>2716</v>
      </c>
      <c r="V33" s="416" t="s">
        <v>2716</v>
      </c>
      <c r="W33" s="416" t="s">
        <v>2716</v>
      </c>
      <c r="X33" s="416" t="s">
        <v>2716</v>
      </c>
      <c r="Y33" s="416" t="s">
        <v>2716</v>
      </c>
      <c r="Z33" s="416" t="s">
        <v>2716</v>
      </c>
      <c r="AA33" s="416" t="s">
        <v>2716</v>
      </c>
      <c r="AB33" s="416" t="s">
        <v>2716</v>
      </c>
      <c r="AC33" s="416" t="s">
        <v>2716</v>
      </c>
      <c r="AD33" s="416" t="s">
        <v>2716</v>
      </c>
      <c r="AE33" s="301"/>
      <c r="AF33" s="416" t="s">
        <v>2565</v>
      </c>
    </row>
    <row r="34" spans="1:32" ht="15.75" thickBot="1">
      <c r="A34" s="310" t="s">
        <v>81</v>
      </c>
      <c r="B34" s="417" t="s">
        <v>2317</v>
      </c>
      <c r="C34" s="417" t="s">
        <v>2317</v>
      </c>
      <c r="D34" s="417" t="s">
        <v>2317</v>
      </c>
      <c r="E34" s="417" t="s">
        <v>2317</v>
      </c>
      <c r="F34" s="417" t="s">
        <v>2317</v>
      </c>
      <c r="G34" s="417" t="s">
        <v>2317</v>
      </c>
      <c r="H34" s="417" t="s">
        <v>2317</v>
      </c>
      <c r="I34" s="417" t="s">
        <v>2317</v>
      </c>
      <c r="J34" s="417" t="s">
        <v>2317</v>
      </c>
      <c r="K34" s="417" t="s">
        <v>2317</v>
      </c>
      <c r="L34" s="417" t="s">
        <v>2317</v>
      </c>
      <c r="M34" s="417" t="s">
        <v>2317</v>
      </c>
      <c r="N34" s="417" t="s">
        <v>2317</v>
      </c>
      <c r="O34" s="417" t="s">
        <v>2317</v>
      </c>
      <c r="P34" s="417" t="s">
        <v>2317</v>
      </c>
      <c r="Q34" s="417" t="s">
        <v>2317</v>
      </c>
      <c r="R34" s="417" t="s">
        <v>2317</v>
      </c>
      <c r="S34" s="417" t="s">
        <v>2317</v>
      </c>
      <c r="T34" s="417" t="s">
        <v>2317</v>
      </c>
      <c r="U34" s="417" t="s">
        <v>2317</v>
      </c>
      <c r="V34" s="417" t="s">
        <v>2317</v>
      </c>
      <c r="W34" s="417" t="s">
        <v>2317</v>
      </c>
      <c r="X34" s="417" t="s">
        <v>2317</v>
      </c>
      <c r="Y34" s="417" t="s">
        <v>2317</v>
      </c>
      <c r="Z34" s="417" t="s">
        <v>2317</v>
      </c>
      <c r="AA34" s="417" t="s">
        <v>2317</v>
      </c>
      <c r="AB34" s="417" t="s">
        <v>2317</v>
      </c>
      <c r="AC34" s="417" t="s">
        <v>2317</v>
      </c>
      <c r="AD34" s="417" t="s">
        <v>2317</v>
      </c>
      <c r="AE34" s="301"/>
      <c r="AF34" s="417" t="s">
        <v>2317</v>
      </c>
    </row>
    <row r="35" spans="1:32">
      <c r="AE35" s="211"/>
    </row>
    <row r="36" spans="1:32">
      <c r="AE36" s="211"/>
    </row>
  </sheetData>
  <mergeCells count="1">
    <mergeCell ref="A1:AF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835D-6CBF-4EBA-9AB7-8C1221E3C0A5}">
  <dimension ref="A1:AK36"/>
  <sheetViews>
    <sheetView topLeftCell="P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6.570312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45352</v>
      </c>
      <c r="C2" s="281">
        <v>45353</v>
      </c>
      <c r="D2" s="281">
        <v>45354</v>
      </c>
      <c r="E2" s="281">
        <v>45355</v>
      </c>
      <c r="F2" s="281">
        <v>45356</v>
      </c>
      <c r="G2" s="281">
        <v>45357</v>
      </c>
      <c r="H2" s="281">
        <v>45358</v>
      </c>
      <c r="I2" s="281">
        <v>45359</v>
      </c>
      <c r="J2" s="281">
        <v>45360</v>
      </c>
      <c r="K2" s="281">
        <v>45361</v>
      </c>
      <c r="L2" s="281">
        <v>45362</v>
      </c>
      <c r="M2" s="281">
        <v>45363</v>
      </c>
      <c r="N2" s="281">
        <v>45364</v>
      </c>
      <c r="O2" s="281">
        <v>45365</v>
      </c>
      <c r="P2" s="281">
        <v>45366</v>
      </c>
      <c r="Q2" s="281">
        <v>45367</v>
      </c>
      <c r="R2" s="281">
        <v>45368</v>
      </c>
      <c r="S2" s="281">
        <v>45369</v>
      </c>
      <c r="T2" s="281">
        <v>45370</v>
      </c>
      <c r="U2" s="281">
        <v>45371</v>
      </c>
      <c r="V2" s="281">
        <v>45372</v>
      </c>
      <c r="W2" s="281">
        <v>45373</v>
      </c>
      <c r="X2" s="281">
        <v>45374</v>
      </c>
      <c r="Y2" s="281">
        <v>45375</v>
      </c>
      <c r="Z2" s="281">
        <v>45376</v>
      </c>
      <c r="AA2" s="281">
        <v>45377</v>
      </c>
      <c r="AB2" s="281">
        <v>45378</v>
      </c>
      <c r="AC2" s="281">
        <v>45379</v>
      </c>
      <c r="AD2" s="281">
        <v>45380</v>
      </c>
      <c r="AE2" s="281">
        <v>45381</v>
      </c>
      <c r="AF2" s="281">
        <v>45382</v>
      </c>
      <c r="AG2" s="281"/>
      <c r="AH2" s="281">
        <v>45351</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05" t="s">
        <v>2717</v>
      </c>
      <c r="C4" s="405">
        <v>374422</v>
      </c>
      <c r="D4" s="405">
        <v>374629</v>
      </c>
      <c r="E4" s="405">
        <v>374860</v>
      </c>
      <c r="F4" s="405">
        <v>375099</v>
      </c>
      <c r="G4" s="405">
        <v>375319</v>
      </c>
      <c r="H4" s="405">
        <v>375547</v>
      </c>
      <c r="I4" s="286" t="s">
        <v>2718</v>
      </c>
      <c r="J4" s="405">
        <v>375986</v>
      </c>
      <c r="K4" s="405">
        <v>376211</v>
      </c>
      <c r="L4" s="405">
        <v>376440</v>
      </c>
      <c r="M4" s="405">
        <v>376663</v>
      </c>
      <c r="N4" s="405">
        <v>376896</v>
      </c>
      <c r="O4" s="405">
        <v>377121</v>
      </c>
      <c r="P4" s="405">
        <v>377322</v>
      </c>
      <c r="Q4" s="405">
        <v>377567</v>
      </c>
      <c r="R4" s="405">
        <v>377772</v>
      </c>
      <c r="S4" s="405">
        <v>378010</v>
      </c>
      <c r="T4" s="405">
        <v>378233</v>
      </c>
      <c r="U4" s="405">
        <v>378463</v>
      </c>
      <c r="V4" s="405">
        <v>378700</v>
      </c>
      <c r="W4" s="405">
        <v>378839</v>
      </c>
      <c r="X4" s="405">
        <v>379142</v>
      </c>
      <c r="Y4" s="405">
        <v>379365</v>
      </c>
      <c r="Z4" s="405">
        <v>379602</v>
      </c>
      <c r="AA4" s="405">
        <v>379825</v>
      </c>
      <c r="AB4" s="405">
        <v>380054</v>
      </c>
      <c r="AC4" s="405">
        <v>380280</v>
      </c>
      <c r="AD4" s="405">
        <v>380478</v>
      </c>
      <c r="AE4" s="405">
        <v>380724</v>
      </c>
      <c r="AF4" s="405">
        <v>380951</v>
      </c>
      <c r="AG4" s="290"/>
      <c r="AH4" s="405">
        <v>373993</v>
      </c>
      <c r="AI4" s="288"/>
    </row>
    <row r="5" spans="1:37" ht="20.100000000000001" customHeight="1">
      <c r="A5" s="285" t="s">
        <v>55</v>
      </c>
      <c r="B5" s="405" t="s">
        <v>2719</v>
      </c>
      <c r="C5" s="405">
        <v>10484655</v>
      </c>
      <c r="D5" s="405">
        <v>10490643</v>
      </c>
      <c r="E5" s="405">
        <v>10497448</v>
      </c>
      <c r="F5" s="405">
        <v>10504746</v>
      </c>
      <c r="G5" s="405">
        <v>10511605</v>
      </c>
      <c r="H5" s="405">
        <v>10518735</v>
      </c>
      <c r="I5" s="286" t="s">
        <v>2720</v>
      </c>
      <c r="J5" s="405">
        <v>10532460</v>
      </c>
      <c r="K5" s="405">
        <v>10539254</v>
      </c>
      <c r="L5" s="405">
        <v>10546091</v>
      </c>
      <c r="M5" s="405">
        <v>10552811</v>
      </c>
      <c r="N5" s="405">
        <v>10559702</v>
      </c>
      <c r="O5" s="405">
        <v>10566805</v>
      </c>
      <c r="P5" s="405">
        <v>10573046</v>
      </c>
      <c r="Q5" s="405">
        <v>10580466</v>
      </c>
      <c r="R5" s="405">
        <v>10586304</v>
      </c>
      <c r="S5" s="405">
        <v>10593652</v>
      </c>
      <c r="T5" s="405">
        <v>10600499</v>
      </c>
      <c r="U5" s="405">
        <v>10607537</v>
      </c>
      <c r="V5" s="405">
        <v>10614879</v>
      </c>
      <c r="W5" s="405">
        <v>10619238</v>
      </c>
      <c r="X5" s="405">
        <v>10628523</v>
      </c>
      <c r="Y5" s="405">
        <v>10635308</v>
      </c>
      <c r="Z5" s="405">
        <v>10642766</v>
      </c>
      <c r="AA5" s="405">
        <v>10649686</v>
      </c>
      <c r="AB5" s="405">
        <v>10656616</v>
      </c>
      <c r="AC5" s="405">
        <v>10663313</v>
      </c>
      <c r="AD5" s="405">
        <v>10669160</v>
      </c>
      <c r="AE5" s="405">
        <v>10676304</v>
      </c>
      <c r="AF5" s="405">
        <v>10682865</v>
      </c>
      <c r="AG5" s="290"/>
      <c r="AH5" s="405">
        <v>10471831</v>
      </c>
      <c r="AI5" s="288"/>
    </row>
    <row r="6" spans="1:37" ht="20.100000000000001" customHeight="1">
      <c r="A6" s="285" t="s">
        <v>56</v>
      </c>
      <c r="B6" s="405" t="s">
        <v>2721</v>
      </c>
      <c r="C6" s="405">
        <v>4967215</v>
      </c>
      <c r="D6" s="405">
        <v>4969737</v>
      </c>
      <c r="E6" s="405">
        <v>4972802</v>
      </c>
      <c r="F6" s="405">
        <v>4975865</v>
      </c>
      <c r="G6" s="405">
        <v>4978684</v>
      </c>
      <c r="H6" s="405">
        <v>4981621</v>
      </c>
      <c r="I6" s="286" t="s">
        <v>2722</v>
      </c>
      <c r="J6" s="405">
        <v>4986820</v>
      </c>
      <c r="K6" s="405">
        <v>4989534</v>
      </c>
      <c r="L6" s="405">
        <v>4992557</v>
      </c>
      <c r="M6" s="405">
        <v>4995427</v>
      </c>
      <c r="N6" s="405">
        <v>4998377</v>
      </c>
      <c r="O6" s="405">
        <v>5001216</v>
      </c>
      <c r="P6" s="405">
        <v>5003756</v>
      </c>
      <c r="Q6" s="405">
        <v>5006778</v>
      </c>
      <c r="R6" s="405">
        <v>5009323</v>
      </c>
      <c r="S6" s="405">
        <v>5012302</v>
      </c>
      <c r="T6" s="405">
        <v>5015045</v>
      </c>
      <c r="U6" s="405">
        <v>5017886</v>
      </c>
      <c r="V6" s="405">
        <v>5020846</v>
      </c>
      <c r="W6" s="405">
        <v>5022622</v>
      </c>
      <c r="X6" s="405">
        <v>5026027</v>
      </c>
      <c r="Y6" s="405">
        <v>5028692</v>
      </c>
      <c r="Z6" s="405">
        <v>5031683</v>
      </c>
      <c r="AA6" s="405">
        <v>5034446</v>
      </c>
      <c r="AB6" s="405">
        <v>5037457</v>
      </c>
      <c r="AC6" s="405">
        <v>5040344</v>
      </c>
      <c r="AD6" s="405">
        <v>5042780</v>
      </c>
      <c r="AE6" s="405">
        <v>5045616</v>
      </c>
      <c r="AF6" s="405">
        <v>5048251</v>
      </c>
      <c r="AG6" s="290"/>
      <c r="AH6" s="405">
        <v>4961967</v>
      </c>
      <c r="AI6" s="288"/>
    </row>
    <row r="7" spans="1:37" ht="20.100000000000001" customHeight="1">
      <c r="A7" s="285" t="s">
        <v>57</v>
      </c>
      <c r="B7" s="405" t="s">
        <v>2723</v>
      </c>
      <c r="C7" s="405">
        <v>10619400</v>
      </c>
      <c r="D7" s="405">
        <v>10625711</v>
      </c>
      <c r="E7" s="405">
        <v>10632710</v>
      </c>
      <c r="F7" s="405">
        <v>10640074</v>
      </c>
      <c r="G7" s="405">
        <v>10647009</v>
      </c>
      <c r="H7" s="405">
        <v>10654023</v>
      </c>
      <c r="I7" s="286" t="s">
        <v>2724</v>
      </c>
      <c r="J7" s="405">
        <v>10667670</v>
      </c>
      <c r="K7" s="405">
        <v>10671098</v>
      </c>
      <c r="L7" s="405">
        <v>10678692</v>
      </c>
      <c r="M7" s="405">
        <v>10686075</v>
      </c>
      <c r="N7" s="405">
        <v>10693632</v>
      </c>
      <c r="O7" s="405">
        <v>10700779</v>
      </c>
      <c r="P7" s="405">
        <v>10707214</v>
      </c>
      <c r="Q7" s="405">
        <v>10714916</v>
      </c>
      <c r="R7" s="405">
        <v>10721260</v>
      </c>
      <c r="S7" s="405">
        <v>10729103</v>
      </c>
      <c r="T7" s="405">
        <v>10736359</v>
      </c>
      <c r="U7" s="405">
        <v>10743960</v>
      </c>
      <c r="V7" s="405">
        <v>10751613</v>
      </c>
      <c r="W7" s="405">
        <v>10756134</v>
      </c>
      <c r="X7" s="405">
        <v>10765829</v>
      </c>
      <c r="Y7" s="405">
        <v>10765902</v>
      </c>
      <c r="Z7" s="405">
        <v>10765978</v>
      </c>
      <c r="AA7" s="405">
        <v>10766051</v>
      </c>
      <c r="AB7" s="405">
        <v>10766126</v>
      </c>
      <c r="AC7" s="405">
        <v>10766200</v>
      </c>
      <c r="AD7" s="405">
        <v>10766265</v>
      </c>
      <c r="AE7" s="405">
        <v>10766351</v>
      </c>
      <c r="AF7" s="405">
        <v>10766425</v>
      </c>
      <c r="AG7" s="290"/>
      <c r="AH7" s="405">
        <v>10606171</v>
      </c>
      <c r="AI7" s="288"/>
    </row>
    <row r="8" spans="1:37" ht="20.100000000000001" customHeight="1">
      <c r="A8" s="285" t="s">
        <v>58</v>
      </c>
      <c r="B8" s="405" t="s">
        <v>2725</v>
      </c>
      <c r="C8" s="405">
        <v>3541302</v>
      </c>
      <c r="D8" s="405">
        <v>3541302</v>
      </c>
      <c r="E8" s="405">
        <v>3541302</v>
      </c>
      <c r="F8" s="405">
        <v>3541302</v>
      </c>
      <c r="G8" s="405">
        <v>3541315</v>
      </c>
      <c r="H8" s="405">
        <v>3541315</v>
      </c>
      <c r="I8" s="286" t="s">
        <v>2726</v>
      </c>
      <c r="J8" s="405">
        <v>3541388</v>
      </c>
      <c r="K8" s="405">
        <v>3542534</v>
      </c>
      <c r="L8" s="405">
        <v>3542534</v>
      </c>
      <c r="M8" s="405">
        <v>3542534</v>
      </c>
      <c r="N8" s="405">
        <v>3542534</v>
      </c>
      <c r="O8" s="405">
        <v>3548534</v>
      </c>
      <c r="P8" s="405">
        <v>3542534</v>
      </c>
      <c r="Q8" s="405">
        <v>3542761</v>
      </c>
      <c r="R8" s="405">
        <v>3542884</v>
      </c>
      <c r="S8" s="405">
        <v>3542884</v>
      </c>
      <c r="T8" s="405">
        <v>3542884</v>
      </c>
      <c r="U8" s="405">
        <v>3542884</v>
      </c>
      <c r="V8" s="405">
        <v>3542884</v>
      </c>
      <c r="W8" s="405">
        <v>3542884</v>
      </c>
      <c r="X8" s="405">
        <v>3543021</v>
      </c>
      <c r="Y8" s="405">
        <v>3545366</v>
      </c>
      <c r="Z8" s="405">
        <v>3547873</v>
      </c>
      <c r="AA8" s="405">
        <v>3550177</v>
      </c>
      <c r="AB8" s="405">
        <v>3552512</v>
      </c>
      <c r="AC8" s="405">
        <v>3554588</v>
      </c>
      <c r="AD8" s="405">
        <v>3556362</v>
      </c>
      <c r="AE8" s="405">
        <v>3558689</v>
      </c>
      <c r="AF8" s="405">
        <v>3560809</v>
      </c>
      <c r="AG8" s="290"/>
      <c r="AH8" s="405">
        <v>3541302</v>
      </c>
      <c r="AI8" s="288"/>
    </row>
    <row r="9" spans="1:37" ht="20.100000000000001" customHeight="1">
      <c r="A9" s="285" t="s">
        <v>59</v>
      </c>
      <c r="B9" s="405" t="s">
        <v>2727</v>
      </c>
      <c r="C9" s="405">
        <v>21482587</v>
      </c>
      <c r="D9" s="405">
        <v>21487278</v>
      </c>
      <c r="E9" s="405">
        <v>21492364</v>
      </c>
      <c r="F9" s="405">
        <v>21497606</v>
      </c>
      <c r="G9" s="405">
        <v>21502678</v>
      </c>
      <c r="H9" s="405">
        <v>21507852</v>
      </c>
      <c r="I9" s="286" t="s">
        <v>2728</v>
      </c>
      <c r="J9" s="405">
        <v>21518263</v>
      </c>
      <c r="K9" s="405">
        <v>21523426</v>
      </c>
      <c r="L9" s="405">
        <v>21528666</v>
      </c>
      <c r="M9" s="405">
        <v>21533880</v>
      </c>
      <c r="N9" s="405">
        <v>21539185</v>
      </c>
      <c r="O9" s="405">
        <v>21544325</v>
      </c>
      <c r="P9" s="405">
        <v>21549068</v>
      </c>
      <c r="Q9" s="405">
        <v>21554981</v>
      </c>
      <c r="R9" s="405">
        <v>21559808</v>
      </c>
      <c r="S9" s="405">
        <v>21565412</v>
      </c>
      <c r="T9" s="405">
        <v>21570542</v>
      </c>
      <c r="U9" s="405">
        <v>21575790</v>
      </c>
      <c r="V9" s="405">
        <v>21580896</v>
      </c>
      <c r="W9" s="405">
        <v>21583912</v>
      </c>
      <c r="X9" s="405">
        <v>21590668</v>
      </c>
      <c r="Y9" s="405">
        <v>21595640</v>
      </c>
      <c r="Z9" s="405">
        <v>21600959</v>
      </c>
      <c r="AA9" s="405">
        <v>21605952</v>
      </c>
      <c r="AB9" s="405">
        <v>21610890</v>
      </c>
      <c r="AC9" s="405">
        <v>21615907</v>
      </c>
      <c r="AD9" s="405">
        <v>21620439</v>
      </c>
      <c r="AE9" s="405">
        <v>21626282</v>
      </c>
      <c r="AF9" s="405">
        <v>21631654</v>
      </c>
      <c r="AG9" s="290"/>
      <c r="AH9" s="405">
        <v>21472810</v>
      </c>
      <c r="AI9" s="288"/>
    </row>
    <row r="10" spans="1:37" ht="20.100000000000001" customHeight="1">
      <c r="A10" s="285" t="s">
        <v>60</v>
      </c>
      <c r="B10" s="405" t="s">
        <v>2729</v>
      </c>
      <c r="C10" s="405">
        <v>7141183</v>
      </c>
      <c r="D10" s="405">
        <v>7143543</v>
      </c>
      <c r="E10" s="405">
        <v>7146686</v>
      </c>
      <c r="F10" s="405">
        <v>7149759</v>
      </c>
      <c r="G10" s="405">
        <v>7152621</v>
      </c>
      <c r="H10" s="405">
        <v>7155582</v>
      </c>
      <c r="I10" s="286" t="s">
        <v>2730</v>
      </c>
      <c r="J10" s="405">
        <v>7160246</v>
      </c>
      <c r="K10" s="405">
        <v>7162466</v>
      </c>
      <c r="L10" s="405">
        <v>7165466</v>
      </c>
      <c r="M10" s="405">
        <v>7168355</v>
      </c>
      <c r="N10" s="405">
        <v>7171358</v>
      </c>
      <c r="O10" s="405">
        <v>7174314</v>
      </c>
      <c r="P10" s="405">
        <v>7176878</v>
      </c>
      <c r="Q10" s="405">
        <v>7179220</v>
      </c>
      <c r="R10" s="405">
        <v>7181237</v>
      </c>
      <c r="S10" s="405">
        <v>7185252</v>
      </c>
      <c r="T10" s="405">
        <v>7188120</v>
      </c>
      <c r="U10" s="405">
        <v>7191114</v>
      </c>
      <c r="V10" s="405">
        <v>7194238</v>
      </c>
      <c r="W10" s="405">
        <v>7196266</v>
      </c>
      <c r="X10" s="405">
        <v>7199154</v>
      </c>
      <c r="Y10" s="405">
        <v>7201503</v>
      </c>
      <c r="Z10" s="405">
        <v>7204648</v>
      </c>
      <c r="AA10" s="405">
        <v>7207548</v>
      </c>
      <c r="AB10" s="405">
        <v>7210509</v>
      </c>
      <c r="AC10" s="405">
        <v>7213790</v>
      </c>
      <c r="AD10" s="405">
        <v>7216344</v>
      </c>
      <c r="AE10" s="405">
        <v>7218758</v>
      </c>
      <c r="AF10" s="405">
        <v>7221194</v>
      </c>
      <c r="AG10" s="290"/>
      <c r="AH10" s="405">
        <v>7135966</v>
      </c>
      <c r="AI10" s="288"/>
    </row>
    <row r="11" spans="1:37" ht="22.5" customHeight="1">
      <c r="A11" s="285" t="s">
        <v>61</v>
      </c>
      <c r="B11" s="405" t="s">
        <v>2731</v>
      </c>
      <c r="C11" s="405">
        <v>279530</v>
      </c>
      <c r="D11" s="405">
        <v>279628</v>
      </c>
      <c r="E11" s="405">
        <v>279750</v>
      </c>
      <c r="F11" s="405">
        <v>279875</v>
      </c>
      <c r="G11" s="405">
        <v>279988</v>
      </c>
      <c r="H11" s="405">
        <v>280104</v>
      </c>
      <c r="I11" s="286" t="s">
        <v>2732</v>
      </c>
      <c r="J11" s="405">
        <v>280304</v>
      </c>
      <c r="K11" s="405">
        <v>280409</v>
      </c>
      <c r="L11" s="405">
        <v>280524</v>
      </c>
      <c r="M11" s="405">
        <v>280635</v>
      </c>
      <c r="N11" s="405">
        <v>280747</v>
      </c>
      <c r="O11" s="405">
        <v>280856</v>
      </c>
      <c r="P11" s="405">
        <v>280953</v>
      </c>
      <c r="Q11" s="405">
        <v>281059</v>
      </c>
      <c r="R11" s="405">
        <v>281154</v>
      </c>
      <c r="S11" s="405">
        <v>281274</v>
      </c>
      <c r="T11" s="405">
        <v>281383</v>
      </c>
      <c r="U11" s="405">
        <v>281500</v>
      </c>
      <c r="V11" s="405">
        <v>281615</v>
      </c>
      <c r="W11" s="405">
        <v>281691</v>
      </c>
      <c r="X11" s="405">
        <v>281823</v>
      </c>
      <c r="Y11" s="405">
        <v>281931</v>
      </c>
      <c r="Z11" s="405">
        <v>282048</v>
      </c>
      <c r="AA11" s="405">
        <v>282158</v>
      </c>
      <c r="AB11" s="405">
        <v>282272</v>
      </c>
      <c r="AC11" s="405">
        <v>282384</v>
      </c>
      <c r="AD11" s="405">
        <v>282481</v>
      </c>
      <c r="AE11" s="405">
        <v>282590</v>
      </c>
      <c r="AF11" s="405">
        <v>282698</v>
      </c>
      <c r="AG11" s="290"/>
      <c r="AH11" s="405">
        <v>279328</v>
      </c>
      <c r="AI11" s="288"/>
    </row>
    <row r="12" spans="1:37" s="294" customFormat="1" ht="18" customHeight="1">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c r="AE12" s="406"/>
      <c r="AF12" s="406"/>
      <c r="AG12" s="407"/>
      <c r="AH12" s="406"/>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339518</v>
      </c>
      <c r="C14" s="409">
        <v>339628</v>
      </c>
      <c r="D14" s="409">
        <v>339674</v>
      </c>
      <c r="E14" s="409">
        <v>339756</v>
      </c>
      <c r="F14" s="409">
        <v>339823</v>
      </c>
      <c r="G14" s="409">
        <v>339892</v>
      </c>
      <c r="H14" s="409">
        <v>339965</v>
      </c>
      <c r="I14" s="409">
        <v>339965</v>
      </c>
      <c r="J14" s="409">
        <v>340072</v>
      </c>
      <c r="K14" s="409">
        <v>340117</v>
      </c>
      <c r="L14" s="409">
        <v>340202</v>
      </c>
      <c r="M14" s="409">
        <v>340247</v>
      </c>
      <c r="N14" s="409">
        <v>340303</v>
      </c>
      <c r="O14" s="409">
        <v>340370</v>
      </c>
      <c r="P14" s="409">
        <v>340443</v>
      </c>
      <c r="Q14" s="409">
        <v>340484</v>
      </c>
      <c r="R14" s="409">
        <v>340530</v>
      </c>
      <c r="S14" s="409">
        <v>340644</v>
      </c>
      <c r="T14" s="409">
        <v>340644</v>
      </c>
      <c r="U14" s="409">
        <v>340644</v>
      </c>
      <c r="V14" s="409">
        <v>340644</v>
      </c>
      <c r="W14" s="409">
        <v>340875</v>
      </c>
      <c r="X14" s="409">
        <v>340920</v>
      </c>
      <c r="Y14" s="409">
        <v>340981</v>
      </c>
      <c r="Z14" s="409">
        <v>341042</v>
      </c>
      <c r="AA14" s="409">
        <v>341085</v>
      </c>
      <c r="AB14" s="409">
        <v>341136</v>
      </c>
      <c r="AC14" s="409">
        <v>341196</v>
      </c>
      <c r="AD14" s="409">
        <v>341196</v>
      </c>
      <c r="AE14" s="409">
        <v>341288</v>
      </c>
      <c r="AF14" s="409">
        <v>341346</v>
      </c>
      <c r="AG14" s="301">
        <f>AF14-AH14</f>
        <v>1828</v>
      </c>
      <c r="AH14" s="409">
        <v>339518</v>
      </c>
      <c r="AI14" s="299">
        <v>1828</v>
      </c>
      <c r="AJ14" s="299"/>
      <c r="AK14" s="410"/>
    </row>
    <row r="15" spans="1:37" ht="25.5">
      <c r="A15" s="282" t="s">
        <v>67</v>
      </c>
      <c r="B15" s="409">
        <v>8129</v>
      </c>
      <c r="C15" s="409">
        <v>8129</v>
      </c>
      <c r="D15" s="409">
        <v>8129</v>
      </c>
      <c r="E15" s="409">
        <v>8129</v>
      </c>
      <c r="F15" s="409">
        <v>8129</v>
      </c>
      <c r="G15" s="409">
        <v>8129</v>
      </c>
      <c r="H15" s="409">
        <v>8129</v>
      </c>
      <c r="I15" s="409">
        <v>8129</v>
      </c>
      <c r="J15" s="409">
        <v>8129</v>
      </c>
      <c r="K15" s="409">
        <v>8129</v>
      </c>
      <c r="L15" s="409">
        <v>8129</v>
      </c>
      <c r="M15" s="409">
        <v>8129</v>
      </c>
      <c r="N15" s="409">
        <v>8129</v>
      </c>
      <c r="O15" s="409">
        <v>8129</v>
      </c>
      <c r="P15" s="409">
        <v>8129</v>
      </c>
      <c r="Q15" s="409">
        <v>8129</v>
      </c>
      <c r="R15" s="409">
        <v>8129</v>
      </c>
      <c r="S15" s="409">
        <v>8129</v>
      </c>
      <c r="T15" s="409">
        <v>8129</v>
      </c>
      <c r="U15" s="409">
        <v>8129</v>
      </c>
      <c r="V15" s="409">
        <v>8129</v>
      </c>
      <c r="W15" s="409">
        <v>8129</v>
      </c>
      <c r="X15" s="409">
        <v>8129</v>
      </c>
      <c r="Y15" s="409">
        <v>8129</v>
      </c>
      <c r="Z15" s="409">
        <v>8129</v>
      </c>
      <c r="AA15" s="409">
        <v>8129</v>
      </c>
      <c r="AB15" s="409">
        <v>8129</v>
      </c>
      <c r="AC15" s="409">
        <v>8129</v>
      </c>
      <c r="AD15" s="409">
        <v>8129</v>
      </c>
      <c r="AE15" s="409">
        <v>8129</v>
      </c>
      <c r="AF15" s="409">
        <v>8129</v>
      </c>
      <c r="AG15" s="301">
        <f t="shared" ref="AG15:AG29" si="0">AF15-AH15</f>
        <v>0</v>
      </c>
      <c r="AH15" s="409">
        <v>8129</v>
      </c>
      <c r="AI15" s="144">
        <v>0</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406"/>
      <c r="AG17" s="301">
        <f t="shared" si="0"/>
        <v>0</v>
      </c>
      <c r="AH17" s="406"/>
      <c r="AI17" s="144">
        <v>0</v>
      </c>
      <c r="AK17" s="411"/>
    </row>
    <row r="18" spans="1:37">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408" t="s">
        <v>64</v>
      </c>
      <c r="AG18" s="301" t="e">
        <f t="shared" si="0"/>
        <v>#VALUE!</v>
      </c>
      <c r="AH18" s="408" t="s">
        <v>64</v>
      </c>
      <c r="AK18" s="412"/>
    </row>
    <row r="19" spans="1:37" ht="25.5">
      <c r="A19" s="282" t="s">
        <v>70</v>
      </c>
      <c r="B19" s="413">
        <v>78730</v>
      </c>
      <c r="C19" s="413">
        <v>78730</v>
      </c>
      <c r="D19" s="413">
        <v>78736</v>
      </c>
      <c r="E19" s="413">
        <v>78736</v>
      </c>
      <c r="F19" s="413">
        <v>78753</v>
      </c>
      <c r="G19" s="413">
        <v>78791</v>
      </c>
      <c r="H19" s="413">
        <v>78801</v>
      </c>
      <c r="I19" s="413">
        <v>78875</v>
      </c>
      <c r="J19" s="413">
        <v>78875</v>
      </c>
      <c r="K19" s="413">
        <v>78896</v>
      </c>
      <c r="L19" s="413">
        <v>78923</v>
      </c>
      <c r="M19" s="413">
        <v>78943</v>
      </c>
      <c r="N19" s="413">
        <v>78974</v>
      </c>
      <c r="O19" s="413">
        <v>79000</v>
      </c>
      <c r="P19" s="413">
        <v>79027</v>
      </c>
      <c r="Q19" s="413">
        <v>79027</v>
      </c>
      <c r="R19" s="413">
        <v>79064</v>
      </c>
      <c r="S19" s="413">
        <v>79064</v>
      </c>
      <c r="T19" s="413">
        <v>79064</v>
      </c>
      <c r="U19" s="413">
        <v>79064</v>
      </c>
      <c r="V19" s="413">
        <v>79064</v>
      </c>
      <c r="W19" s="413">
        <v>79154</v>
      </c>
      <c r="X19" s="413">
        <v>79160</v>
      </c>
      <c r="Y19" s="413">
        <v>79177</v>
      </c>
      <c r="Z19" s="413">
        <v>79184</v>
      </c>
      <c r="AA19" s="413">
        <v>79194</v>
      </c>
      <c r="AB19" s="413">
        <v>79201</v>
      </c>
      <c r="AC19" s="413">
        <v>79220</v>
      </c>
      <c r="AD19" s="413">
        <v>79220</v>
      </c>
      <c r="AE19" s="413">
        <v>79249</v>
      </c>
      <c r="AF19" s="413">
        <v>79275</v>
      </c>
      <c r="AG19" s="301">
        <f t="shared" si="0"/>
        <v>545</v>
      </c>
      <c r="AH19" s="413">
        <v>78730</v>
      </c>
      <c r="AI19" s="307">
        <v>545</v>
      </c>
      <c r="AJ19" s="307"/>
      <c r="AK19" s="410"/>
    </row>
    <row r="20" spans="1:37" ht="25.5">
      <c r="A20" s="282" t="s">
        <v>2715</v>
      </c>
      <c r="B20" s="413">
        <v>6744</v>
      </c>
      <c r="C20" s="413">
        <v>6889</v>
      </c>
      <c r="D20" s="413">
        <v>6926</v>
      </c>
      <c r="E20" s="413">
        <v>6926</v>
      </c>
      <c r="F20" s="413">
        <v>7012</v>
      </c>
      <c r="G20" s="413">
        <v>7081</v>
      </c>
      <c r="H20" s="413">
        <v>7132</v>
      </c>
      <c r="I20" s="413">
        <v>7132</v>
      </c>
      <c r="J20" s="413">
        <v>7132</v>
      </c>
      <c r="K20" s="413">
        <v>7132</v>
      </c>
      <c r="L20" s="413">
        <v>7216</v>
      </c>
      <c r="M20" s="413">
        <v>7285</v>
      </c>
      <c r="N20" s="413">
        <v>7368</v>
      </c>
      <c r="O20" s="413">
        <v>7459</v>
      </c>
      <c r="P20" s="413">
        <v>7519</v>
      </c>
      <c r="Q20" s="413">
        <v>7519</v>
      </c>
      <c r="R20" s="413">
        <v>7621</v>
      </c>
      <c r="S20" s="413">
        <v>7621</v>
      </c>
      <c r="T20" s="413">
        <v>7621</v>
      </c>
      <c r="U20" s="413">
        <v>7621</v>
      </c>
      <c r="V20" s="413">
        <v>7621</v>
      </c>
      <c r="W20" s="413">
        <v>7788</v>
      </c>
      <c r="X20" s="413">
        <v>7788</v>
      </c>
      <c r="Y20" s="413">
        <v>7788</v>
      </c>
      <c r="Z20" s="413">
        <v>7788</v>
      </c>
      <c r="AA20" s="413">
        <v>7788</v>
      </c>
      <c r="AB20" s="413">
        <v>7788</v>
      </c>
      <c r="AC20" s="413">
        <v>7788</v>
      </c>
      <c r="AD20" s="413">
        <v>7788</v>
      </c>
      <c r="AE20" s="413">
        <v>7788</v>
      </c>
      <c r="AF20" s="413">
        <v>7788</v>
      </c>
      <c r="AG20" s="301">
        <f t="shared" si="0"/>
        <v>1044</v>
      </c>
      <c r="AH20" s="413">
        <v>6744</v>
      </c>
      <c r="AI20" s="144">
        <v>1044</v>
      </c>
      <c r="AJ20" s="307"/>
      <c r="AK20" s="414"/>
    </row>
    <row r="21" spans="1:37">
      <c r="A21" s="282" t="s">
        <v>72</v>
      </c>
      <c r="B21" s="409">
        <v>185492</v>
      </c>
      <c r="C21" s="409">
        <v>185492</v>
      </c>
      <c r="D21" s="409">
        <v>185492</v>
      </c>
      <c r="E21" s="409">
        <v>185492</v>
      </c>
      <c r="F21" s="409">
        <v>185492</v>
      </c>
      <c r="G21" s="409">
        <v>185614</v>
      </c>
      <c r="H21" s="409">
        <v>185614</v>
      </c>
      <c r="I21" s="409">
        <v>186020</v>
      </c>
      <c r="J21" s="409">
        <v>186020</v>
      </c>
      <c r="K21" s="409">
        <v>186175</v>
      </c>
      <c r="L21" s="409">
        <v>186233</v>
      </c>
      <c r="M21" s="409">
        <v>186295</v>
      </c>
      <c r="N21" s="409">
        <v>186405</v>
      </c>
      <c r="O21" s="409">
        <v>186472</v>
      </c>
      <c r="P21" s="409">
        <v>186608</v>
      </c>
      <c r="Q21" s="409">
        <v>186611</v>
      </c>
      <c r="R21" s="409">
        <v>186742</v>
      </c>
      <c r="S21" s="409">
        <v>186895</v>
      </c>
      <c r="T21" s="409">
        <v>186895</v>
      </c>
      <c r="U21" s="409">
        <v>186895</v>
      </c>
      <c r="V21" s="409">
        <v>186895</v>
      </c>
      <c r="W21" s="409">
        <v>187276</v>
      </c>
      <c r="X21" s="409">
        <v>187333</v>
      </c>
      <c r="Y21" s="409">
        <v>187464</v>
      </c>
      <c r="Z21" s="409">
        <v>187567</v>
      </c>
      <c r="AA21" s="409">
        <v>187659</v>
      </c>
      <c r="AB21" s="409">
        <v>187744</v>
      </c>
      <c r="AC21" s="409">
        <v>187815</v>
      </c>
      <c r="AD21" s="409">
        <v>187815</v>
      </c>
      <c r="AE21" s="409">
        <v>187938</v>
      </c>
      <c r="AF21" s="409">
        <v>188076</v>
      </c>
      <c r="AG21" s="301">
        <f t="shared" si="0"/>
        <v>2584</v>
      </c>
      <c r="AH21" s="409">
        <v>185492</v>
      </c>
      <c r="AI21" s="144">
        <v>2584</v>
      </c>
      <c r="AJ21" s="307"/>
      <c r="AK21" s="415"/>
    </row>
    <row r="22" spans="1:37">
      <c r="A22" s="282" t="s">
        <v>73</v>
      </c>
      <c r="B22" s="409">
        <v>207410</v>
      </c>
      <c r="C22" s="409">
        <v>207435</v>
      </c>
      <c r="D22" s="409">
        <v>207459</v>
      </c>
      <c r="E22" s="409">
        <v>207489</v>
      </c>
      <c r="F22" s="409">
        <v>207519</v>
      </c>
      <c r="G22" s="409">
        <v>207547</v>
      </c>
      <c r="H22" s="409">
        <v>207575</v>
      </c>
      <c r="I22" s="409">
        <v>207599</v>
      </c>
      <c r="J22" s="409">
        <v>207635</v>
      </c>
      <c r="K22" s="409">
        <v>207662</v>
      </c>
      <c r="L22" s="409">
        <v>207697</v>
      </c>
      <c r="M22" s="409">
        <v>207745</v>
      </c>
      <c r="N22" s="409">
        <v>207800</v>
      </c>
      <c r="O22" s="409">
        <v>207858</v>
      </c>
      <c r="P22" s="409">
        <v>207892</v>
      </c>
      <c r="Q22" s="409">
        <v>207942</v>
      </c>
      <c r="R22" s="409">
        <v>207997</v>
      </c>
      <c r="S22" s="409">
        <v>208063</v>
      </c>
      <c r="T22" s="409">
        <v>208063</v>
      </c>
      <c r="U22" s="409">
        <v>208063</v>
      </c>
      <c r="V22" s="409">
        <v>208063</v>
      </c>
      <c r="W22" s="409">
        <v>208306</v>
      </c>
      <c r="X22" s="409">
        <v>208355</v>
      </c>
      <c r="Y22" s="409">
        <v>208402</v>
      </c>
      <c r="Z22" s="409">
        <v>208402</v>
      </c>
      <c r="AA22" s="409">
        <v>208402</v>
      </c>
      <c r="AB22" s="409">
        <v>208545</v>
      </c>
      <c r="AC22" s="409">
        <v>208594</v>
      </c>
      <c r="AD22" s="409">
        <v>208594</v>
      </c>
      <c r="AE22" s="409">
        <v>208687</v>
      </c>
      <c r="AF22" s="409">
        <v>208732</v>
      </c>
      <c r="AG22" s="301">
        <f t="shared" si="0"/>
        <v>1351</v>
      </c>
      <c r="AH22" s="409">
        <v>207381</v>
      </c>
      <c r="AI22" s="144">
        <v>1351</v>
      </c>
      <c r="AJ22" s="307"/>
      <c r="AK22" s="414"/>
    </row>
    <row r="23" spans="1:37">
      <c r="A23" s="309" t="s">
        <v>136</v>
      </c>
      <c r="B23" s="409">
        <v>11470</v>
      </c>
      <c r="C23" s="409">
        <v>11482</v>
      </c>
      <c r="D23" s="409">
        <v>11482</v>
      </c>
      <c r="E23" s="409">
        <v>11494</v>
      </c>
      <c r="F23" s="409">
        <v>11503</v>
      </c>
      <c r="G23" s="409">
        <v>11503</v>
      </c>
      <c r="H23" s="409">
        <v>11503</v>
      </c>
      <c r="I23" s="409">
        <v>11535</v>
      </c>
      <c r="J23" s="409">
        <v>11535</v>
      </c>
      <c r="K23" s="409">
        <v>11535</v>
      </c>
      <c r="L23" s="409">
        <v>11544</v>
      </c>
      <c r="M23" s="409">
        <v>11555</v>
      </c>
      <c r="N23" s="409">
        <v>11571</v>
      </c>
      <c r="O23" s="409">
        <v>11589</v>
      </c>
      <c r="P23" s="409">
        <v>11599</v>
      </c>
      <c r="Q23" s="409">
        <v>11600</v>
      </c>
      <c r="R23" s="409">
        <v>11600</v>
      </c>
      <c r="S23" s="409">
        <v>11608</v>
      </c>
      <c r="T23" s="409">
        <v>11613</v>
      </c>
      <c r="U23" s="409">
        <v>11616</v>
      </c>
      <c r="V23" s="409">
        <v>11621</v>
      </c>
      <c r="W23" s="409">
        <v>11625</v>
      </c>
      <c r="X23" s="409">
        <v>11625</v>
      </c>
      <c r="Y23" s="409">
        <v>11625</v>
      </c>
      <c r="Z23" s="409">
        <v>11628</v>
      </c>
      <c r="AA23" s="409">
        <v>11631</v>
      </c>
      <c r="AB23" s="409">
        <v>11635</v>
      </c>
      <c r="AC23" s="409">
        <v>11637</v>
      </c>
      <c r="AD23" s="409">
        <v>11639</v>
      </c>
      <c r="AE23" s="409">
        <v>11639</v>
      </c>
      <c r="AF23" s="409">
        <v>11639</v>
      </c>
      <c r="AG23" s="301">
        <f t="shared" si="0"/>
        <v>169</v>
      </c>
      <c r="AH23" s="409">
        <v>11470</v>
      </c>
      <c r="AI23" s="144">
        <v>169</v>
      </c>
      <c r="AJ23" s="307"/>
      <c r="AK23" s="414"/>
    </row>
    <row r="24" spans="1:37">
      <c r="A24" s="309" t="s">
        <v>139</v>
      </c>
      <c r="B24" s="409">
        <v>7894</v>
      </c>
      <c r="C24" s="409">
        <v>7901</v>
      </c>
      <c r="D24" s="409">
        <v>7901</v>
      </c>
      <c r="E24" s="409">
        <v>7908</v>
      </c>
      <c r="F24" s="409">
        <v>7916</v>
      </c>
      <c r="G24" s="409">
        <v>7916</v>
      </c>
      <c r="H24" s="409">
        <v>7916</v>
      </c>
      <c r="I24" s="409">
        <v>7935</v>
      </c>
      <c r="J24" s="409">
        <v>7935</v>
      </c>
      <c r="K24" s="409">
        <v>7935</v>
      </c>
      <c r="L24" s="409">
        <v>7948</v>
      </c>
      <c r="M24" s="409">
        <v>7950</v>
      </c>
      <c r="N24" s="409">
        <v>7953</v>
      </c>
      <c r="O24" s="409">
        <v>7958</v>
      </c>
      <c r="P24" s="409">
        <v>7968</v>
      </c>
      <c r="Q24" s="409">
        <v>7972</v>
      </c>
      <c r="R24" s="409">
        <v>7977</v>
      </c>
      <c r="S24" s="409">
        <v>7983</v>
      </c>
      <c r="T24" s="409">
        <v>7991</v>
      </c>
      <c r="U24" s="409">
        <v>7998</v>
      </c>
      <c r="V24" s="409">
        <v>7999</v>
      </c>
      <c r="W24" s="409">
        <v>8001</v>
      </c>
      <c r="X24" s="409">
        <v>8001</v>
      </c>
      <c r="Y24" s="409">
        <v>8001</v>
      </c>
      <c r="Z24" s="409">
        <v>8021</v>
      </c>
      <c r="AA24" s="409">
        <v>8022</v>
      </c>
      <c r="AB24" s="409">
        <v>8025</v>
      </c>
      <c r="AC24" s="409">
        <v>8031</v>
      </c>
      <c r="AD24" s="409">
        <v>8035</v>
      </c>
      <c r="AE24" s="409">
        <v>8035</v>
      </c>
      <c r="AF24" s="409">
        <v>8035</v>
      </c>
      <c r="AG24" s="301">
        <f t="shared" si="0"/>
        <v>141</v>
      </c>
      <c r="AH24" s="409">
        <v>7894</v>
      </c>
      <c r="AI24" s="144">
        <v>141</v>
      </c>
      <c r="AJ24" s="307"/>
      <c r="AK24" s="414"/>
    </row>
    <row r="25" spans="1:37">
      <c r="A25" s="309" t="s">
        <v>142</v>
      </c>
      <c r="B25" s="409">
        <v>3131</v>
      </c>
      <c r="C25" s="409">
        <v>3134</v>
      </c>
      <c r="D25" s="409">
        <v>3134</v>
      </c>
      <c r="E25" s="409">
        <v>3139</v>
      </c>
      <c r="F25" s="409">
        <v>3143</v>
      </c>
      <c r="G25" s="409">
        <v>3143</v>
      </c>
      <c r="H25" s="409">
        <v>3143</v>
      </c>
      <c r="I25" s="409">
        <v>3154</v>
      </c>
      <c r="J25" s="409">
        <v>3154</v>
      </c>
      <c r="K25" s="409">
        <v>3154</v>
      </c>
      <c r="L25" s="409">
        <v>3158</v>
      </c>
      <c r="M25" s="409">
        <v>3158</v>
      </c>
      <c r="N25" s="409">
        <v>3159</v>
      </c>
      <c r="O25" s="409">
        <v>3159</v>
      </c>
      <c r="P25" s="409">
        <v>3160</v>
      </c>
      <c r="Q25" s="409">
        <v>3160</v>
      </c>
      <c r="R25" s="409">
        <v>3160</v>
      </c>
      <c r="S25" s="409">
        <v>3160</v>
      </c>
      <c r="T25" s="409">
        <v>3160</v>
      </c>
      <c r="U25" s="409">
        <v>3163</v>
      </c>
      <c r="V25" s="409">
        <v>3167</v>
      </c>
      <c r="W25" s="409">
        <v>3167</v>
      </c>
      <c r="X25" s="409">
        <v>3167</v>
      </c>
      <c r="Y25" s="409">
        <v>3167</v>
      </c>
      <c r="Z25" s="409">
        <v>3167</v>
      </c>
      <c r="AA25" s="409">
        <v>3167</v>
      </c>
      <c r="AB25" s="409">
        <v>3168</v>
      </c>
      <c r="AC25" s="409">
        <v>3169</v>
      </c>
      <c r="AD25" s="409">
        <v>3169</v>
      </c>
      <c r="AE25" s="409">
        <v>3169</v>
      </c>
      <c r="AF25" s="409">
        <v>3169</v>
      </c>
      <c r="AG25" s="301">
        <f t="shared" si="0"/>
        <v>38</v>
      </c>
      <c r="AH25" s="409">
        <v>3131</v>
      </c>
      <c r="AI25" s="144">
        <v>38</v>
      </c>
      <c r="AJ25" s="307"/>
      <c r="AK25" s="414"/>
    </row>
    <row r="26" spans="1:37">
      <c r="A26" s="309" t="s">
        <v>145</v>
      </c>
      <c r="B26" s="409">
        <v>1749</v>
      </c>
      <c r="C26" s="409">
        <v>1749</v>
      </c>
      <c r="D26" s="409">
        <v>1750</v>
      </c>
      <c r="E26" s="409">
        <v>1753</v>
      </c>
      <c r="F26" s="409">
        <v>1755</v>
      </c>
      <c r="G26" s="409">
        <v>1755</v>
      </c>
      <c r="H26" s="409">
        <v>1755</v>
      </c>
      <c r="I26" s="409">
        <v>1763</v>
      </c>
      <c r="J26" s="409">
        <v>1763</v>
      </c>
      <c r="K26" s="409">
        <v>1763</v>
      </c>
      <c r="L26" s="409">
        <v>1766</v>
      </c>
      <c r="M26" s="409">
        <v>1767</v>
      </c>
      <c r="N26" s="409">
        <v>1768</v>
      </c>
      <c r="O26" s="409">
        <v>1768</v>
      </c>
      <c r="P26" s="409">
        <v>1770</v>
      </c>
      <c r="Q26" s="409">
        <v>1770</v>
      </c>
      <c r="R26" s="409">
        <v>1770</v>
      </c>
      <c r="S26" s="409">
        <v>1771</v>
      </c>
      <c r="T26" s="409">
        <v>1771</v>
      </c>
      <c r="U26" s="409">
        <v>1772</v>
      </c>
      <c r="V26" s="409">
        <v>1773</v>
      </c>
      <c r="W26" s="409">
        <v>1773</v>
      </c>
      <c r="X26" s="409">
        <v>1773</v>
      </c>
      <c r="Y26" s="409">
        <v>1773</v>
      </c>
      <c r="Z26" s="409">
        <v>1776</v>
      </c>
      <c r="AA26" s="409">
        <v>1776</v>
      </c>
      <c r="AB26" s="409">
        <v>1777</v>
      </c>
      <c r="AC26" s="409">
        <v>1777</v>
      </c>
      <c r="AD26" s="409">
        <v>1778</v>
      </c>
      <c r="AE26" s="409">
        <v>1778</v>
      </c>
      <c r="AF26" s="409">
        <v>1779</v>
      </c>
      <c r="AG26" s="301">
        <f t="shared" si="0"/>
        <v>30</v>
      </c>
      <c r="AH26" s="409">
        <v>1749</v>
      </c>
      <c r="AI26" s="144">
        <v>30</v>
      </c>
      <c r="AJ26" s="307"/>
      <c r="AK26" s="414"/>
    </row>
    <row r="27" spans="1:37">
      <c r="A27" s="309" t="s">
        <v>148</v>
      </c>
      <c r="B27" s="409">
        <v>12813</v>
      </c>
      <c r="C27" s="409">
        <v>12825</v>
      </c>
      <c r="D27" s="409">
        <v>12825</v>
      </c>
      <c r="E27" s="409">
        <v>12838</v>
      </c>
      <c r="F27" s="409">
        <v>12849</v>
      </c>
      <c r="G27" s="409">
        <v>12849</v>
      </c>
      <c r="H27" s="409">
        <v>12849</v>
      </c>
      <c r="I27" s="409">
        <v>12883</v>
      </c>
      <c r="J27" s="409">
        <v>12883</v>
      </c>
      <c r="K27" s="409">
        <v>12883</v>
      </c>
      <c r="L27" s="409">
        <v>12899</v>
      </c>
      <c r="M27" s="409">
        <v>12903</v>
      </c>
      <c r="N27" s="409">
        <v>12907</v>
      </c>
      <c r="O27" s="409">
        <v>12913</v>
      </c>
      <c r="P27" s="409">
        <v>12917</v>
      </c>
      <c r="Q27" s="409">
        <v>12918</v>
      </c>
      <c r="R27" s="409">
        <v>12921</v>
      </c>
      <c r="S27" s="409">
        <v>12929</v>
      </c>
      <c r="T27" s="409">
        <v>12937</v>
      </c>
      <c r="U27" s="409">
        <v>12945</v>
      </c>
      <c r="V27" s="409">
        <v>12967</v>
      </c>
      <c r="W27" s="409">
        <v>12996</v>
      </c>
      <c r="X27" s="409">
        <v>12996</v>
      </c>
      <c r="Y27" s="409">
        <v>12996</v>
      </c>
      <c r="Z27" s="409">
        <v>13038</v>
      </c>
      <c r="AA27" s="409">
        <v>13042</v>
      </c>
      <c r="AB27" s="409">
        <v>13052</v>
      </c>
      <c r="AC27" s="409">
        <v>13070</v>
      </c>
      <c r="AD27" s="409">
        <v>13081</v>
      </c>
      <c r="AE27" s="409">
        <v>13081</v>
      </c>
      <c r="AF27" s="409">
        <v>13096</v>
      </c>
      <c r="AG27" s="301">
        <f t="shared" si="0"/>
        <v>283</v>
      </c>
      <c r="AH27" s="409">
        <v>12813</v>
      </c>
      <c r="AI27" s="144">
        <v>283</v>
      </c>
      <c r="AJ27" s="307"/>
      <c r="AK27" s="414"/>
    </row>
    <row r="28" spans="1:37">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409">
        <v>1339</v>
      </c>
      <c r="AG28" s="301">
        <f t="shared" si="0"/>
        <v>0</v>
      </c>
      <c r="AH28" s="409">
        <v>1339</v>
      </c>
      <c r="AI28" s="144">
        <v>0</v>
      </c>
      <c r="AJ28" s="307"/>
      <c r="AK28" s="414"/>
    </row>
    <row r="29" spans="1:37">
      <c r="A29" s="309" t="s">
        <v>154</v>
      </c>
      <c r="B29" s="409">
        <v>855</v>
      </c>
      <c r="C29" s="409">
        <v>858</v>
      </c>
      <c r="D29" s="409">
        <v>858</v>
      </c>
      <c r="E29" s="409">
        <v>858</v>
      </c>
      <c r="F29" s="409">
        <v>858</v>
      </c>
      <c r="G29" s="409">
        <v>858</v>
      </c>
      <c r="H29" s="409">
        <v>858</v>
      </c>
      <c r="I29" s="409">
        <v>862</v>
      </c>
      <c r="J29" s="409">
        <v>862</v>
      </c>
      <c r="K29" s="409">
        <v>862</v>
      </c>
      <c r="L29" s="409">
        <v>863</v>
      </c>
      <c r="M29" s="409">
        <v>864</v>
      </c>
      <c r="N29" s="409">
        <v>864</v>
      </c>
      <c r="O29" s="409">
        <v>864</v>
      </c>
      <c r="P29" s="409">
        <v>865</v>
      </c>
      <c r="Q29" s="409">
        <v>865</v>
      </c>
      <c r="R29" s="409">
        <v>865</v>
      </c>
      <c r="S29" s="409">
        <v>866</v>
      </c>
      <c r="T29" s="409">
        <v>867</v>
      </c>
      <c r="U29" s="409">
        <v>867</v>
      </c>
      <c r="V29" s="409">
        <v>868</v>
      </c>
      <c r="W29" s="409">
        <v>869</v>
      </c>
      <c r="X29" s="409">
        <v>869</v>
      </c>
      <c r="Y29" s="409">
        <v>869</v>
      </c>
      <c r="Z29" s="409">
        <v>872</v>
      </c>
      <c r="AA29" s="409">
        <v>872</v>
      </c>
      <c r="AB29" s="409">
        <v>873</v>
      </c>
      <c r="AC29" s="409">
        <v>873</v>
      </c>
      <c r="AD29" s="409">
        <v>874</v>
      </c>
      <c r="AE29" s="409">
        <v>874</v>
      </c>
      <c r="AF29" s="409">
        <v>875</v>
      </c>
      <c r="AG29" s="301">
        <f t="shared" si="0"/>
        <v>20</v>
      </c>
      <c r="AH29" s="409">
        <v>855</v>
      </c>
      <c r="AI29" s="144">
        <v>20</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416" t="s">
        <v>78</v>
      </c>
      <c r="AG32" s="301"/>
      <c r="AH32" s="416" t="s">
        <v>78</v>
      </c>
    </row>
    <row r="33" spans="1:34" ht="25.5">
      <c r="A33" s="282" t="s">
        <v>80</v>
      </c>
      <c r="B33" s="416" t="s">
        <v>2716</v>
      </c>
      <c r="C33" s="416" t="s">
        <v>2716</v>
      </c>
      <c r="D33" s="416" t="s">
        <v>2716</v>
      </c>
      <c r="E33" s="416" t="s">
        <v>2716</v>
      </c>
      <c r="F33" s="416" t="s">
        <v>2716</v>
      </c>
      <c r="G33" s="416" t="s">
        <v>2716</v>
      </c>
      <c r="H33" s="416" t="s">
        <v>2716</v>
      </c>
      <c r="I33" s="416" t="s">
        <v>2716</v>
      </c>
      <c r="J33" s="416" t="s">
        <v>2733</v>
      </c>
      <c r="K33" s="416" t="s">
        <v>2733</v>
      </c>
      <c r="L33" s="416" t="s">
        <v>2733</v>
      </c>
      <c r="M33" s="416" t="s">
        <v>2733</v>
      </c>
      <c r="N33" s="416" t="s">
        <v>2733</v>
      </c>
      <c r="O33" s="416" t="s">
        <v>2733</v>
      </c>
      <c r="P33" s="416" t="s">
        <v>2733</v>
      </c>
      <c r="Q33" s="416" t="s">
        <v>2733</v>
      </c>
      <c r="R33" s="416" t="s">
        <v>2734</v>
      </c>
      <c r="S33" s="416" t="s">
        <v>2734</v>
      </c>
      <c r="T33" s="416" t="s">
        <v>2734</v>
      </c>
      <c r="U33" s="416" t="s">
        <v>2734</v>
      </c>
      <c r="V33" s="416" t="s">
        <v>2734</v>
      </c>
      <c r="W33" s="416" t="s">
        <v>2734</v>
      </c>
      <c r="X33" s="416" t="s">
        <v>2734</v>
      </c>
      <c r="Y33" s="416" t="s">
        <v>2734</v>
      </c>
      <c r="Z33" s="416" t="s">
        <v>2734</v>
      </c>
      <c r="AA33" s="416" t="s">
        <v>2734</v>
      </c>
      <c r="AB33" s="416" t="s">
        <v>2734</v>
      </c>
      <c r="AC33" s="416" t="s">
        <v>2734</v>
      </c>
      <c r="AD33" s="416" t="s">
        <v>2734</v>
      </c>
      <c r="AE33" s="416" t="s">
        <v>2734</v>
      </c>
      <c r="AF33" s="416" t="s">
        <v>2734</v>
      </c>
      <c r="AG33" s="301"/>
      <c r="AH33" s="416" t="s">
        <v>2716</v>
      </c>
    </row>
    <row r="34" spans="1:34" ht="15.75" thickBot="1">
      <c r="A34" s="310" t="s">
        <v>81</v>
      </c>
      <c r="B34" s="417" t="s">
        <v>2317</v>
      </c>
      <c r="C34" s="417" t="s">
        <v>2317</v>
      </c>
      <c r="D34" s="417" t="s">
        <v>2317</v>
      </c>
      <c r="E34" s="417" t="s">
        <v>2317</v>
      </c>
      <c r="F34" s="417" t="s">
        <v>2317</v>
      </c>
      <c r="G34" s="417" t="s">
        <v>2317</v>
      </c>
      <c r="H34" s="417" t="s">
        <v>2317</v>
      </c>
      <c r="I34" s="417" t="s">
        <v>2317</v>
      </c>
      <c r="J34" s="417" t="s">
        <v>2735</v>
      </c>
      <c r="K34" s="417" t="s">
        <v>2735</v>
      </c>
      <c r="L34" s="417" t="s">
        <v>2735</v>
      </c>
      <c r="M34" s="417" t="s">
        <v>2735</v>
      </c>
      <c r="N34" s="417" t="s">
        <v>2735</v>
      </c>
      <c r="O34" s="417" t="s">
        <v>2735</v>
      </c>
      <c r="P34" s="417" t="s">
        <v>2735</v>
      </c>
      <c r="Q34" s="417" t="s">
        <v>2735</v>
      </c>
      <c r="R34" s="417" t="s">
        <v>2735</v>
      </c>
      <c r="S34" s="417" t="s">
        <v>2735</v>
      </c>
      <c r="T34" s="417" t="s">
        <v>2735</v>
      </c>
      <c r="U34" s="417" t="s">
        <v>2735</v>
      </c>
      <c r="V34" s="417" t="s">
        <v>2735</v>
      </c>
      <c r="W34" s="417" t="s">
        <v>2735</v>
      </c>
      <c r="X34" s="417" t="s">
        <v>2735</v>
      </c>
      <c r="Y34" s="417" t="s">
        <v>2735</v>
      </c>
      <c r="Z34" s="417" t="s">
        <v>2735</v>
      </c>
      <c r="AA34" s="417" t="s">
        <v>2735</v>
      </c>
      <c r="AB34" s="417" t="s">
        <v>2735</v>
      </c>
      <c r="AC34" s="417" t="s">
        <v>2735</v>
      </c>
      <c r="AD34" s="417" t="s">
        <v>2735</v>
      </c>
      <c r="AE34" s="417" t="s">
        <v>2735</v>
      </c>
      <c r="AF34" s="417" t="s">
        <v>2735</v>
      </c>
      <c r="AG34" s="301"/>
      <c r="AH34" s="417" t="s">
        <v>2317</v>
      </c>
    </row>
    <row r="35" spans="1:34">
      <c r="AG35" s="211"/>
    </row>
    <row r="36" spans="1:34">
      <c r="AG36" s="211"/>
    </row>
  </sheetData>
  <mergeCells count="1">
    <mergeCell ref="A1:AH1"/>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CBA8-7D69-4F87-B17A-B7BA321C8A65}">
  <dimension ref="A1:AJ36"/>
  <sheetViews>
    <sheetView topLeftCell="O1"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16.570312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45383</v>
      </c>
      <c r="C2" s="281">
        <v>45384</v>
      </c>
      <c r="D2" s="281">
        <v>45385</v>
      </c>
      <c r="E2" s="281">
        <v>45386</v>
      </c>
      <c r="F2" s="281">
        <v>45387</v>
      </c>
      <c r="G2" s="281">
        <v>45388</v>
      </c>
      <c r="H2" s="281">
        <v>45389</v>
      </c>
      <c r="I2" s="281">
        <v>45390</v>
      </c>
      <c r="J2" s="281">
        <v>45391</v>
      </c>
      <c r="K2" s="281">
        <v>45392</v>
      </c>
      <c r="L2" s="281">
        <v>45393</v>
      </c>
      <c r="M2" s="281">
        <v>45394</v>
      </c>
      <c r="N2" s="281">
        <v>45395</v>
      </c>
      <c r="O2" s="281">
        <v>45396</v>
      </c>
      <c r="P2" s="281">
        <v>45397</v>
      </c>
      <c r="Q2" s="281">
        <v>45398</v>
      </c>
      <c r="R2" s="281">
        <v>45399</v>
      </c>
      <c r="S2" s="281">
        <v>45400</v>
      </c>
      <c r="T2" s="281">
        <v>45401</v>
      </c>
      <c r="U2" s="281">
        <v>45402</v>
      </c>
      <c r="V2" s="281">
        <v>45403</v>
      </c>
      <c r="W2" s="281">
        <v>45404</v>
      </c>
      <c r="X2" s="281">
        <v>45405</v>
      </c>
      <c r="Y2" s="281">
        <v>45406</v>
      </c>
      <c r="Z2" s="281">
        <v>45407</v>
      </c>
      <c r="AA2" s="281">
        <v>45408</v>
      </c>
      <c r="AB2" s="281">
        <v>45409</v>
      </c>
      <c r="AC2" s="281">
        <v>45410</v>
      </c>
      <c r="AD2" s="281">
        <v>45411</v>
      </c>
      <c r="AE2" s="281">
        <v>45412</v>
      </c>
      <c r="AF2" s="281"/>
      <c r="AG2" s="281">
        <v>45382</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05">
        <v>381179</v>
      </c>
      <c r="C4" s="405">
        <v>381404</v>
      </c>
      <c r="D4" s="405">
        <v>381661</v>
      </c>
      <c r="E4" s="405">
        <v>381865</v>
      </c>
      <c r="F4" s="405">
        <v>382011</v>
      </c>
      <c r="G4" s="405">
        <v>382343</v>
      </c>
      <c r="H4" s="405">
        <v>382550</v>
      </c>
      <c r="I4" s="405">
        <v>382795</v>
      </c>
      <c r="J4" s="405">
        <v>383030</v>
      </c>
      <c r="K4" s="405">
        <v>383262</v>
      </c>
      <c r="L4" s="405">
        <v>383547</v>
      </c>
      <c r="M4" s="286" t="s">
        <v>2736</v>
      </c>
      <c r="N4" s="405">
        <v>383947</v>
      </c>
      <c r="O4" s="405">
        <v>384163</v>
      </c>
      <c r="P4" s="405">
        <v>384437</v>
      </c>
      <c r="Q4" s="405">
        <v>384681</v>
      </c>
      <c r="R4" s="405">
        <v>384864</v>
      </c>
      <c r="S4" s="405">
        <v>385138</v>
      </c>
      <c r="T4" s="405">
        <v>385339</v>
      </c>
      <c r="U4" s="405">
        <v>385554</v>
      </c>
      <c r="V4" s="405">
        <v>385803</v>
      </c>
      <c r="W4" s="405">
        <v>386044</v>
      </c>
      <c r="X4" s="405">
        <v>386282</v>
      </c>
      <c r="Y4" s="405">
        <v>386516</v>
      </c>
      <c r="Z4" s="405">
        <v>386769</v>
      </c>
      <c r="AA4" s="286" t="s">
        <v>2737</v>
      </c>
      <c r="AB4" s="405">
        <v>387252</v>
      </c>
      <c r="AC4" s="405">
        <v>387462</v>
      </c>
      <c r="AD4" s="405">
        <v>387700</v>
      </c>
      <c r="AE4" s="405">
        <v>387962</v>
      </c>
      <c r="AF4" s="290"/>
      <c r="AG4" s="405">
        <v>380951</v>
      </c>
      <c r="AH4" s="288"/>
    </row>
    <row r="5" spans="1:36" ht="20.100000000000001" customHeight="1">
      <c r="A5" s="285" t="s">
        <v>55</v>
      </c>
      <c r="B5" s="405">
        <v>10689821</v>
      </c>
      <c r="C5" s="405">
        <v>10696278</v>
      </c>
      <c r="D5" s="405">
        <v>10703725</v>
      </c>
      <c r="E5" s="405">
        <v>10709759</v>
      </c>
      <c r="F5" s="405">
        <v>10714010</v>
      </c>
      <c r="G5" s="405">
        <v>10722768</v>
      </c>
      <c r="H5" s="405">
        <v>10728157</v>
      </c>
      <c r="I5" s="405">
        <v>10735299</v>
      </c>
      <c r="J5" s="405">
        <v>10741902</v>
      </c>
      <c r="K5" s="405">
        <v>10748470</v>
      </c>
      <c r="L5" s="405">
        <v>10756830</v>
      </c>
      <c r="M5" s="286" t="s">
        <v>2738</v>
      </c>
      <c r="N5" s="405">
        <v>10767665</v>
      </c>
      <c r="O5" s="405">
        <v>10773250</v>
      </c>
      <c r="P5" s="405">
        <v>10780700</v>
      </c>
      <c r="Q5" s="405">
        <v>10787589</v>
      </c>
      <c r="R5" s="405">
        <v>10792556</v>
      </c>
      <c r="S5" s="405">
        <v>10800252</v>
      </c>
      <c r="T5" s="405">
        <v>10805732</v>
      </c>
      <c r="U5" s="405">
        <v>10811756</v>
      </c>
      <c r="V5" s="405">
        <v>10818456</v>
      </c>
      <c r="W5" s="405">
        <v>10825164</v>
      </c>
      <c r="X5" s="405">
        <v>10832101</v>
      </c>
      <c r="Y5" s="405">
        <v>10838932</v>
      </c>
      <c r="Z5" s="405">
        <v>10845910</v>
      </c>
      <c r="AA5" s="286" t="s">
        <v>2739</v>
      </c>
      <c r="AB5" s="405">
        <v>10858995</v>
      </c>
      <c r="AC5" s="405">
        <v>10864760</v>
      </c>
      <c r="AD5" s="405">
        <v>10871127</v>
      </c>
      <c r="AE5" s="405">
        <v>10878591</v>
      </c>
      <c r="AF5" s="290"/>
      <c r="AG5" s="405">
        <v>10682865</v>
      </c>
      <c r="AH5" s="288"/>
    </row>
    <row r="6" spans="1:36" ht="20.100000000000001" customHeight="1">
      <c r="A6" s="285" t="s">
        <v>56</v>
      </c>
      <c r="B6" s="405">
        <v>5051106</v>
      </c>
      <c r="C6" s="405">
        <v>5053925</v>
      </c>
      <c r="D6" s="405">
        <v>5057205</v>
      </c>
      <c r="E6" s="405">
        <v>5059733</v>
      </c>
      <c r="F6" s="405">
        <v>5061606</v>
      </c>
      <c r="G6" s="405">
        <v>5065288</v>
      </c>
      <c r="H6" s="405">
        <v>5067577</v>
      </c>
      <c r="I6" s="405">
        <v>5070503</v>
      </c>
      <c r="J6" s="405">
        <v>5073164</v>
      </c>
      <c r="K6" s="405">
        <v>5075817</v>
      </c>
      <c r="L6" s="405">
        <v>5079068</v>
      </c>
      <c r="M6" s="286" t="s">
        <v>2740</v>
      </c>
      <c r="N6" s="405">
        <v>5083503</v>
      </c>
      <c r="O6" s="405">
        <v>5085927</v>
      </c>
      <c r="P6" s="405">
        <v>5089391</v>
      </c>
      <c r="Q6" s="405">
        <v>5092531</v>
      </c>
      <c r="R6" s="405">
        <v>5094824</v>
      </c>
      <c r="S6" s="405">
        <v>5094824</v>
      </c>
      <c r="T6" s="405">
        <v>5100650</v>
      </c>
      <c r="U6" s="405">
        <v>5103018</v>
      </c>
      <c r="V6" s="405">
        <v>5105759</v>
      </c>
      <c r="W6" s="405">
        <v>5108716</v>
      </c>
      <c r="X6" s="405">
        <v>5111625</v>
      </c>
      <c r="Y6" s="405">
        <v>5114524</v>
      </c>
      <c r="Z6" s="405">
        <v>5117724</v>
      </c>
      <c r="AA6" s="286" t="s">
        <v>2741</v>
      </c>
      <c r="AB6" s="405">
        <v>5123193</v>
      </c>
      <c r="AC6" s="405">
        <v>5125802</v>
      </c>
      <c r="AD6" s="405">
        <v>5128712</v>
      </c>
      <c r="AE6" s="405">
        <v>5132143</v>
      </c>
      <c r="AF6" s="290"/>
      <c r="AG6" s="405">
        <v>5048251</v>
      </c>
      <c r="AH6" s="288"/>
    </row>
    <row r="7" spans="1:36" ht="20.100000000000001" customHeight="1">
      <c r="A7" s="285" t="s">
        <v>57</v>
      </c>
      <c r="B7" s="405">
        <v>10766499</v>
      </c>
      <c r="C7" s="405">
        <v>10766569</v>
      </c>
      <c r="D7" s="405">
        <v>10766651</v>
      </c>
      <c r="E7" s="405">
        <v>10766715</v>
      </c>
      <c r="F7" s="405">
        <v>10766760</v>
      </c>
      <c r="G7" s="405">
        <v>10767857</v>
      </c>
      <c r="H7" s="405">
        <v>10773692</v>
      </c>
      <c r="I7" s="405">
        <v>10780684</v>
      </c>
      <c r="J7" s="405">
        <v>10787401</v>
      </c>
      <c r="K7" s="405">
        <v>10794116</v>
      </c>
      <c r="L7" s="405">
        <v>10802429</v>
      </c>
      <c r="M7" s="286" t="s">
        <v>2742</v>
      </c>
      <c r="N7" s="405">
        <v>10813650</v>
      </c>
      <c r="O7" s="405">
        <v>10819225</v>
      </c>
      <c r="P7" s="405">
        <v>10826135</v>
      </c>
      <c r="Q7" s="405">
        <v>10833344</v>
      </c>
      <c r="R7" s="405">
        <v>10838557</v>
      </c>
      <c r="S7" s="405">
        <v>10847647</v>
      </c>
      <c r="T7" s="405">
        <v>10854282</v>
      </c>
      <c r="U7" s="405">
        <v>10861403</v>
      </c>
      <c r="V7" s="405">
        <v>10861697</v>
      </c>
      <c r="W7" s="405">
        <v>10861770</v>
      </c>
      <c r="X7" s="405">
        <v>10861842</v>
      </c>
      <c r="Y7" s="405">
        <v>10861914</v>
      </c>
      <c r="Z7" s="405">
        <v>10861989</v>
      </c>
      <c r="AA7" s="286" t="s">
        <v>2743</v>
      </c>
      <c r="AB7" s="405">
        <v>10862137</v>
      </c>
      <c r="AC7" s="405">
        <v>10862205</v>
      </c>
      <c r="AD7" s="405">
        <v>10862275</v>
      </c>
      <c r="AE7" s="405">
        <v>10862353</v>
      </c>
      <c r="AF7" s="290"/>
      <c r="AG7" s="405">
        <v>10766425</v>
      </c>
      <c r="AH7" s="288"/>
    </row>
    <row r="8" spans="1:36" ht="20.100000000000001" customHeight="1">
      <c r="A8" s="285" t="s">
        <v>58</v>
      </c>
      <c r="B8" s="405">
        <v>3562932</v>
      </c>
      <c r="C8" s="405">
        <v>3565025</v>
      </c>
      <c r="D8" s="405">
        <v>3567520</v>
      </c>
      <c r="E8" s="405">
        <v>3569421</v>
      </c>
      <c r="F8" s="405">
        <v>3570765</v>
      </c>
      <c r="G8" s="405">
        <v>3573374</v>
      </c>
      <c r="H8" s="405">
        <v>3573374</v>
      </c>
      <c r="I8" s="405">
        <v>3573374</v>
      </c>
      <c r="J8" s="405">
        <v>3573374</v>
      </c>
      <c r="K8" s="405">
        <v>3573374</v>
      </c>
      <c r="L8" s="405">
        <v>3573374</v>
      </c>
      <c r="M8" s="286" t="s">
        <v>2744</v>
      </c>
      <c r="N8" s="405">
        <v>3573374</v>
      </c>
      <c r="O8" s="405">
        <v>3573374</v>
      </c>
      <c r="P8" s="405">
        <v>3573378</v>
      </c>
      <c r="Q8" s="405">
        <v>3573741</v>
      </c>
      <c r="R8" s="405">
        <v>3573741</v>
      </c>
      <c r="S8" s="405">
        <v>3573741</v>
      </c>
      <c r="T8" s="405">
        <v>3573742</v>
      </c>
      <c r="U8" s="405">
        <v>3573742</v>
      </c>
      <c r="V8" s="405">
        <v>3576309</v>
      </c>
      <c r="W8" s="405">
        <v>3578886</v>
      </c>
      <c r="X8" s="405">
        <v>3581517</v>
      </c>
      <c r="Y8" s="405">
        <v>3583972</v>
      </c>
      <c r="Z8" s="405">
        <v>3586599</v>
      </c>
      <c r="AA8" s="286" t="s">
        <v>2745</v>
      </c>
      <c r="AB8" s="405">
        <v>3591916</v>
      </c>
      <c r="AC8" s="405">
        <v>3594481</v>
      </c>
      <c r="AD8" s="405">
        <v>3597250</v>
      </c>
      <c r="AE8" s="405">
        <v>3600492</v>
      </c>
      <c r="AF8" s="290"/>
      <c r="AG8" s="405">
        <v>3560809</v>
      </c>
      <c r="AH8" s="288"/>
    </row>
    <row r="9" spans="1:36" ht="20.100000000000001" customHeight="1">
      <c r="A9" s="285" t="s">
        <v>59</v>
      </c>
      <c r="B9" s="405">
        <v>21636994</v>
      </c>
      <c r="C9" s="405">
        <v>21642186</v>
      </c>
      <c r="D9" s="405">
        <v>21648273</v>
      </c>
      <c r="E9" s="405">
        <v>21652984</v>
      </c>
      <c r="F9" s="405">
        <v>21656569</v>
      </c>
      <c r="G9" s="405">
        <v>21664908</v>
      </c>
      <c r="H9" s="405">
        <v>21670144</v>
      </c>
      <c r="I9" s="405">
        <v>21676227</v>
      </c>
      <c r="J9" s="405">
        <v>21681767</v>
      </c>
      <c r="K9" s="405">
        <v>21687548</v>
      </c>
      <c r="L9" s="405">
        <v>21694547</v>
      </c>
      <c r="M9" s="286" t="s">
        <v>2746</v>
      </c>
      <c r="N9" s="405">
        <v>21704314</v>
      </c>
      <c r="O9" s="405">
        <v>21709633</v>
      </c>
      <c r="P9" s="405">
        <v>21715925</v>
      </c>
      <c r="Q9" s="405">
        <v>21722298</v>
      </c>
      <c r="R9" s="405">
        <v>21726748</v>
      </c>
      <c r="S9" s="405">
        <v>21733636</v>
      </c>
      <c r="T9" s="405">
        <v>21738742</v>
      </c>
      <c r="U9" s="405">
        <v>21744305</v>
      </c>
      <c r="V9" s="405">
        <v>21750766</v>
      </c>
      <c r="W9" s="405">
        <v>21756927</v>
      </c>
      <c r="X9" s="405">
        <v>21763070</v>
      </c>
      <c r="Y9" s="405">
        <v>21768967</v>
      </c>
      <c r="Z9" s="405">
        <v>21775236</v>
      </c>
      <c r="AA9" s="286" t="s">
        <v>2747</v>
      </c>
      <c r="AB9" s="405">
        <v>21786994</v>
      </c>
      <c r="AC9" s="405">
        <v>21792477</v>
      </c>
      <c r="AD9" s="405">
        <v>21798306</v>
      </c>
      <c r="AE9" s="405">
        <v>21805279</v>
      </c>
      <c r="AF9" s="290"/>
      <c r="AG9" s="405">
        <v>21631654</v>
      </c>
      <c r="AH9" s="288"/>
    </row>
    <row r="10" spans="1:36" ht="20.100000000000001" customHeight="1">
      <c r="A10" s="285" t="s">
        <v>60</v>
      </c>
      <c r="B10" s="405">
        <v>7224345</v>
      </c>
      <c r="C10" s="405">
        <v>7227411</v>
      </c>
      <c r="D10" s="405">
        <v>7231134</v>
      </c>
      <c r="E10" s="405">
        <v>7233833</v>
      </c>
      <c r="F10" s="405">
        <v>7236042</v>
      </c>
      <c r="G10" s="405">
        <v>7239674</v>
      </c>
      <c r="H10" s="405">
        <v>7241565</v>
      </c>
      <c r="I10" s="405">
        <v>7244047</v>
      </c>
      <c r="J10" s="405">
        <v>7246457</v>
      </c>
      <c r="K10" s="405">
        <v>7248851</v>
      </c>
      <c r="L10" s="405">
        <v>7251853</v>
      </c>
      <c r="M10" s="286" t="s">
        <v>2748</v>
      </c>
      <c r="N10" s="405">
        <v>7255855</v>
      </c>
      <c r="O10" s="405">
        <v>7258037</v>
      </c>
      <c r="P10" s="405">
        <v>7261145</v>
      </c>
      <c r="Q10" s="405">
        <v>7264308</v>
      </c>
      <c r="R10" s="405">
        <v>7266482</v>
      </c>
      <c r="S10" s="405">
        <v>7270493</v>
      </c>
      <c r="T10" s="405">
        <v>7272941</v>
      </c>
      <c r="U10" s="405">
        <v>7275061</v>
      </c>
      <c r="V10" s="405">
        <v>7277690</v>
      </c>
      <c r="W10" s="405">
        <v>7281018</v>
      </c>
      <c r="X10" s="405">
        <v>7284345</v>
      </c>
      <c r="Y10" s="405">
        <v>7287551</v>
      </c>
      <c r="Z10" s="405">
        <v>7291156</v>
      </c>
      <c r="AA10" s="286" t="s">
        <v>2749</v>
      </c>
      <c r="AB10" s="405">
        <v>7296812</v>
      </c>
      <c r="AC10" s="405">
        <v>7299330</v>
      </c>
      <c r="AD10" s="405">
        <v>7302707</v>
      </c>
      <c r="AE10" s="405">
        <v>7306567</v>
      </c>
      <c r="AF10" s="290"/>
      <c r="AG10" s="405">
        <v>7221194</v>
      </c>
      <c r="AH10" s="288"/>
    </row>
    <row r="11" spans="1:36" ht="22.5" customHeight="1">
      <c r="A11" s="285" t="s">
        <v>61</v>
      </c>
      <c r="B11" s="405">
        <v>282808</v>
      </c>
      <c r="C11" s="405">
        <v>282918</v>
      </c>
      <c r="D11" s="405">
        <v>283050</v>
      </c>
      <c r="E11" s="405">
        <v>283145</v>
      </c>
      <c r="F11" s="405">
        <v>283224</v>
      </c>
      <c r="G11" s="405">
        <v>283363</v>
      </c>
      <c r="H11" s="405">
        <v>283451</v>
      </c>
      <c r="I11" s="405">
        <v>283555</v>
      </c>
      <c r="J11" s="405">
        <v>283652</v>
      </c>
      <c r="K11" s="405">
        <v>283748</v>
      </c>
      <c r="L11" s="405">
        <v>283865</v>
      </c>
      <c r="M11" s="286" t="s">
        <v>2750</v>
      </c>
      <c r="N11" s="405">
        <v>284018</v>
      </c>
      <c r="O11" s="405">
        <v>284108</v>
      </c>
      <c r="P11" s="405">
        <v>284225</v>
      </c>
      <c r="Q11" s="405">
        <v>284339</v>
      </c>
      <c r="R11" s="405">
        <v>284416</v>
      </c>
      <c r="S11" s="405">
        <v>284558</v>
      </c>
      <c r="T11" s="405">
        <v>284647</v>
      </c>
      <c r="U11" s="405">
        <v>284731</v>
      </c>
      <c r="V11" s="405">
        <v>284841</v>
      </c>
      <c r="W11" s="405">
        <v>284959</v>
      </c>
      <c r="X11" s="405">
        <v>285075</v>
      </c>
      <c r="Y11" s="405">
        <v>285187</v>
      </c>
      <c r="Z11" s="405">
        <v>285312</v>
      </c>
      <c r="AA11" s="286" t="s">
        <v>2751</v>
      </c>
      <c r="AB11" s="405">
        <v>285521</v>
      </c>
      <c r="AC11" s="405">
        <v>285619</v>
      </c>
      <c r="AD11" s="405">
        <v>285733</v>
      </c>
      <c r="AE11" s="405">
        <v>285859</v>
      </c>
      <c r="AF11" s="290"/>
      <c r="AG11" s="405">
        <v>282698</v>
      </c>
      <c r="AH11" s="288"/>
    </row>
    <row r="12" spans="1:36" s="294" customFormat="1" ht="18" customHeight="1">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c r="AE12" s="406"/>
      <c r="AF12" s="407"/>
      <c r="AG12" s="406"/>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341346</v>
      </c>
      <c r="C14" s="409">
        <v>96.3</v>
      </c>
      <c r="D14" s="409">
        <v>144</v>
      </c>
      <c r="E14" s="409">
        <v>155</v>
      </c>
      <c r="F14" s="409">
        <v>155</v>
      </c>
      <c r="G14" s="409">
        <v>312</v>
      </c>
      <c r="H14" s="409">
        <v>421</v>
      </c>
      <c r="I14" s="409">
        <v>558</v>
      </c>
      <c r="J14" s="409">
        <v>558</v>
      </c>
      <c r="K14" s="409">
        <v>558</v>
      </c>
      <c r="L14" s="409">
        <v>558</v>
      </c>
      <c r="M14" s="409">
        <v>558</v>
      </c>
      <c r="N14" s="409">
        <v>558</v>
      </c>
      <c r="O14" s="409">
        <v>558</v>
      </c>
      <c r="P14" s="409">
        <v>558</v>
      </c>
      <c r="Q14" s="409">
        <v>1466</v>
      </c>
      <c r="R14" s="409">
        <v>1523</v>
      </c>
      <c r="S14" s="409">
        <v>1598</v>
      </c>
      <c r="T14" s="409">
        <v>1598</v>
      </c>
      <c r="U14" s="409">
        <v>1737</v>
      </c>
      <c r="V14" s="409">
        <v>1792</v>
      </c>
      <c r="W14" s="409">
        <v>1792</v>
      </c>
      <c r="X14" s="409">
        <v>1792</v>
      </c>
      <c r="Y14" s="409">
        <v>2043</v>
      </c>
      <c r="Z14" s="409">
        <v>2043</v>
      </c>
      <c r="AA14" s="409">
        <v>2150</v>
      </c>
      <c r="AB14" s="409">
        <v>2239</v>
      </c>
      <c r="AC14" s="409">
        <v>2294</v>
      </c>
      <c r="AD14" s="409">
        <v>2294</v>
      </c>
      <c r="AE14" s="409">
        <v>2432</v>
      </c>
      <c r="AF14" s="301">
        <f>AE14-AG14</f>
        <v>2432</v>
      </c>
      <c r="AG14" s="409">
        <v>0</v>
      </c>
      <c r="AH14" s="299">
        <v>2432</v>
      </c>
      <c r="AI14" s="299"/>
      <c r="AJ14" s="410"/>
    </row>
    <row r="15" spans="1:36" ht="25.5">
      <c r="A15" s="282" t="s">
        <v>67</v>
      </c>
      <c r="B15" s="409">
        <v>8129</v>
      </c>
      <c r="C15" s="409">
        <v>8129</v>
      </c>
      <c r="D15" s="409">
        <v>8129</v>
      </c>
      <c r="E15" s="409">
        <v>8129</v>
      </c>
      <c r="F15" s="409">
        <v>8129</v>
      </c>
      <c r="G15" s="409">
        <v>8129</v>
      </c>
      <c r="H15" s="409">
        <v>8129</v>
      </c>
      <c r="I15" s="409">
        <v>8129</v>
      </c>
      <c r="J15" s="409">
        <v>8129</v>
      </c>
      <c r="K15" s="409">
        <v>8129</v>
      </c>
      <c r="L15" s="409">
        <v>8129</v>
      </c>
      <c r="M15" s="409">
        <v>8129</v>
      </c>
      <c r="N15" s="409">
        <v>8129</v>
      </c>
      <c r="O15" s="409">
        <v>8129</v>
      </c>
      <c r="P15" s="409">
        <v>8129</v>
      </c>
      <c r="Q15" s="409">
        <v>8318</v>
      </c>
      <c r="R15" s="409">
        <v>8318</v>
      </c>
      <c r="S15" s="409">
        <v>8318</v>
      </c>
      <c r="T15" s="409">
        <v>8318</v>
      </c>
      <c r="U15" s="409">
        <v>8318</v>
      </c>
      <c r="V15" s="409">
        <v>8318</v>
      </c>
      <c r="W15" s="409">
        <v>8318</v>
      </c>
      <c r="X15" s="409">
        <v>8318</v>
      </c>
      <c r="Y15" s="409">
        <v>8318</v>
      </c>
      <c r="Z15" s="409">
        <v>8318</v>
      </c>
      <c r="AA15" s="409">
        <v>8318</v>
      </c>
      <c r="AB15" s="409">
        <v>8318</v>
      </c>
      <c r="AC15" s="409">
        <v>8318</v>
      </c>
      <c r="AD15" s="409">
        <v>8318</v>
      </c>
      <c r="AE15" s="409">
        <v>8318</v>
      </c>
      <c r="AF15" s="301">
        <f t="shared" ref="AF15:AF29" si="0">AE15-AG15</f>
        <v>189</v>
      </c>
      <c r="AG15" s="409">
        <v>8129</v>
      </c>
      <c r="AH15" s="144">
        <v>189</v>
      </c>
      <c r="AI15" s="299"/>
      <c r="AJ15" s="411"/>
    </row>
    <row r="16" spans="1:36"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301">
        <f t="shared" si="0"/>
        <v>0</v>
      </c>
      <c r="AG17" s="406"/>
      <c r="AH17" s="144">
        <v>0</v>
      </c>
      <c r="AJ17" s="411"/>
    </row>
    <row r="18" spans="1:36">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301"/>
      <c r="AG18" s="408" t="s">
        <v>64</v>
      </c>
      <c r="AJ18" s="412"/>
    </row>
    <row r="19" spans="1:36" ht="25.5">
      <c r="A19" s="282" t="s">
        <v>70</v>
      </c>
      <c r="B19" s="413">
        <v>79304</v>
      </c>
      <c r="C19" s="413">
        <v>79337</v>
      </c>
      <c r="D19" s="413">
        <v>79358</v>
      </c>
      <c r="E19" s="413">
        <v>79386</v>
      </c>
      <c r="F19" s="413">
        <v>79386</v>
      </c>
      <c r="G19" s="413">
        <v>79386</v>
      </c>
      <c r="H19" s="413">
        <v>79429</v>
      </c>
      <c r="I19" s="413">
        <v>79437</v>
      </c>
      <c r="J19" s="413">
        <v>79437</v>
      </c>
      <c r="K19" s="413">
        <v>79437</v>
      </c>
      <c r="L19" s="413">
        <v>79437</v>
      </c>
      <c r="M19" s="413">
        <v>79437</v>
      </c>
      <c r="N19" s="413">
        <v>79437</v>
      </c>
      <c r="O19" s="413">
        <v>79437</v>
      </c>
      <c r="P19" s="413">
        <v>79437</v>
      </c>
      <c r="Q19" s="413">
        <v>79646</v>
      </c>
      <c r="R19" s="413">
        <v>79667</v>
      </c>
      <c r="S19" s="413">
        <v>79697</v>
      </c>
      <c r="T19" s="413">
        <v>79697</v>
      </c>
      <c r="U19" s="413">
        <v>79743</v>
      </c>
      <c r="V19" s="413">
        <v>79756</v>
      </c>
      <c r="W19" s="413">
        <v>79756</v>
      </c>
      <c r="X19" s="413">
        <v>79756</v>
      </c>
      <c r="Y19" s="413">
        <v>79878</v>
      </c>
      <c r="Z19" s="413">
        <v>79878</v>
      </c>
      <c r="AA19" s="413">
        <v>79956</v>
      </c>
      <c r="AB19" s="413">
        <v>79956</v>
      </c>
      <c r="AC19" s="413">
        <v>79975</v>
      </c>
      <c r="AD19" s="413">
        <v>79975</v>
      </c>
      <c r="AE19" s="413">
        <v>80053</v>
      </c>
      <c r="AF19" s="301">
        <f t="shared" si="0"/>
        <v>778</v>
      </c>
      <c r="AG19" s="413">
        <v>79275</v>
      </c>
      <c r="AH19" s="307">
        <v>778</v>
      </c>
      <c r="AI19" s="307"/>
      <c r="AJ19" s="410"/>
    </row>
    <row r="20" spans="1:36" ht="25.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301">
        <f t="shared" si="0"/>
        <v>0</v>
      </c>
      <c r="AG20" s="413">
        <v>7788</v>
      </c>
      <c r="AH20" s="144">
        <v>0</v>
      </c>
      <c r="AI20" s="307"/>
      <c r="AJ20" s="414"/>
    </row>
    <row r="21" spans="1:36">
      <c r="A21" s="282" t="s">
        <v>72</v>
      </c>
      <c r="B21" s="409">
        <v>188151</v>
      </c>
      <c r="C21" s="409">
        <v>188270</v>
      </c>
      <c r="D21" s="409">
        <v>188352</v>
      </c>
      <c r="E21" s="409">
        <v>188465</v>
      </c>
      <c r="F21" s="409">
        <v>188465</v>
      </c>
      <c r="G21" s="409">
        <v>188696</v>
      </c>
      <c r="H21" s="409">
        <v>188811</v>
      </c>
      <c r="I21" s="409">
        <v>188908</v>
      </c>
      <c r="J21" s="409">
        <v>188908</v>
      </c>
      <c r="K21" s="409">
        <v>188908</v>
      </c>
      <c r="L21" s="409">
        <v>188908</v>
      </c>
      <c r="M21" s="409">
        <v>188908</v>
      </c>
      <c r="N21" s="409">
        <v>188908</v>
      </c>
      <c r="O21" s="409">
        <v>188908</v>
      </c>
      <c r="P21" s="409">
        <v>188908</v>
      </c>
      <c r="Q21" s="409">
        <v>189908</v>
      </c>
      <c r="R21" s="409">
        <v>190084</v>
      </c>
      <c r="S21" s="409">
        <v>190233</v>
      </c>
      <c r="T21" s="409">
        <v>190233</v>
      </c>
      <c r="U21" s="409">
        <v>190478</v>
      </c>
      <c r="V21" s="409">
        <v>190613</v>
      </c>
      <c r="W21" s="409">
        <v>190613</v>
      </c>
      <c r="X21" s="409">
        <v>190613</v>
      </c>
      <c r="Y21" s="409">
        <v>191097</v>
      </c>
      <c r="Z21" s="409">
        <v>191097</v>
      </c>
      <c r="AA21" s="409">
        <v>191478</v>
      </c>
      <c r="AB21" s="409">
        <v>191478</v>
      </c>
      <c r="AC21" s="409">
        <v>191632</v>
      </c>
      <c r="AD21" s="409">
        <v>191632</v>
      </c>
      <c r="AE21" s="409">
        <v>191943</v>
      </c>
      <c r="AF21" s="301">
        <f t="shared" si="0"/>
        <v>3867</v>
      </c>
      <c r="AG21" s="409">
        <v>188076</v>
      </c>
      <c r="AH21" s="144">
        <v>3867</v>
      </c>
      <c r="AI21" s="307"/>
      <c r="AJ21" s="415"/>
    </row>
    <row r="22" spans="1:36">
      <c r="A22" s="282" t="s">
        <v>73</v>
      </c>
      <c r="B22" s="409">
        <v>208781</v>
      </c>
      <c r="C22" s="409">
        <v>208832</v>
      </c>
      <c r="D22" s="409">
        <v>208884</v>
      </c>
      <c r="E22" s="409">
        <v>208939</v>
      </c>
      <c r="F22" s="409">
        <v>208939</v>
      </c>
      <c r="G22" s="409">
        <v>209058</v>
      </c>
      <c r="H22" s="409">
        <v>209109</v>
      </c>
      <c r="I22" s="409">
        <v>209161</v>
      </c>
      <c r="J22" s="409">
        <v>209161</v>
      </c>
      <c r="K22" s="409">
        <v>209161</v>
      </c>
      <c r="L22" s="409">
        <v>209161</v>
      </c>
      <c r="M22" s="409">
        <v>209161</v>
      </c>
      <c r="N22" s="409">
        <v>209161</v>
      </c>
      <c r="O22" s="409">
        <v>209161</v>
      </c>
      <c r="P22" s="409">
        <v>209161</v>
      </c>
      <c r="Q22" s="409">
        <v>209161</v>
      </c>
      <c r="R22" s="409">
        <v>209692</v>
      </c>
      <c r="S22" s="409">
        <v>209761</v>
      </c>
      <c r="T22" s="409">
        <v>209761</v>
      </c>
      <c r="U22" s="409">
        <v>209761</v>
      </c>
      <c r="V22" s="409">
        <v>209981</v>
      </c>
      <c r="W22" s="409">
        <v>209981</v>
      </c>
      <c r="X22" s="409">
        <v>209981</v>
      </c>
      <c r="Y22" s="409">
        <v>210212</v>
      </c>
      <c r="Z22" s="409">
        <v>210212</v>
      </c>
      <c r="AA22" s="409">
        <v>210429</v>
      </c>
      <c r="AB22" s="409">
        <v>210429</v>
      </c>
      <c r="AC22" s="409">
        <v>210507</v>
      </c>
      <c r="AD22" s="409">
        <v>210507</v>
      </c>
      <c r="AE22" s="409">
        <v>210676</v>
      </c>
      <c r="AF22" s="301">
        <f t="shared" si="0"/>
        <v>1944</v>
      </c>
      <c r="AG22" s="409">
        <v>208732</v>
      </c>
      <c r="AH22" s="144">
        <v>1944</v>
      </c>
      <c r="AI22" s="307"/>
      <c r="AJ22" s="414"/>
    </row>
    <row r="23" spans="1:36">
      <c r="A23" s="309" t="s">
        <v>136</v>
      </c>
      <c r="B23" s="409">
        <v>11639</v>
      </c>
      <c r="C23" s="409">
        <v>11645</v>
      </c>
      <c r="D23" s="409">
        <v>11647</v>
      </c>
      <c r="E23" s="409">
        <v>11647</v>
      </c>
      <c r="F23" s="409">
        <v>11660</v>
      </c>
      <c r="G23" s="409">
        <v>11660</v>
      </c>
      <c r="H23" s="409">
        <v>11705</v>
      </c>
      <c r="I23" s="409">
        <v>11711</v>
      </c>
      <c r="J23" s="409">
        <v>11712</v>
      </c>
      <c r="K23" s="409">
        <v>11712</v>
      </c>
      <c r="L23" s="409">
        <v>11712</v>
      </c>
      <c r="M23" s="409">
        <v>11715</v>
      </c>
      <c r="N23" s="409">
        <v>11715</v>
      </c>
      <c r="O23" s="409">
        <v>11747</v>
      </c>
      <c r="P23" s="409">
        <v>11797</v>
      </c>
      <c r="Q23" s="409">
        <v>11799</v>
      </c>
      <c r="R23" s="409">
        <v>11803</v>
      </c>
      <c r="S23" s="409">
        <v>11803</v>
      </c>
      <c r="T23" s="409">
        <v>11829</v>
      </c>
      <c r="U23" s="409">
        <v>11829</v>
      </c>
      <c r="V23" s="409">
        <v>11829</v>
      </c>
      <c r="W23" s="409">
        <v>11843</v>
      </c>
      <c r="X23" s="409">
        <v>11857</v>
      </c>
      <c r="Y23" s="409">
        <v>11868</v>
      </c>
      <c r="Z23" s="409">
        <v>11879</v>
      </c>
      <c r="AA23" s="409">
        <v>11894</v>
      </c>
      <c r="AB23" s="409">
        <v>11894</v>
      </c>
      <c r="AC23" s="409">
        <v>11899</v>
      </c>
      <c r="AD23" s="409">
        <v>11910</v>
      </c>
      <c r="AE23" s="409">
        <v>11921</v>
      </c>
      <c r="AF23" s="301">
        <f t="shared" si="0"/>
        <v>282</v>
      </c>
      <c r="AG23" s="409">
        <v>11639</v>
      </c>
      <c r="AH23" s="144">
        <v>282</v>
      </c>
      <c r="AI23" s="307"/>
      <c r="AJ23" s="414"/>
    </row>
    <row r="24" spans="1:36">
      <c r="A24" s="309" t="s">
        <v>139</v>
      </c>
      <c r="B24" s="409">
        <v>8035</v>
      </c>
      <c r="C24" s="409">
        <v>8037</v>
      </c>
      <c r="D24" s="409">
        <v>8039</v>
      </c>
      <c r="E24" s="409">
        <v>8039</v>
      </c>
      <c r="F24" s="409">
        <v>8047</v>
      </c>
      <c r="G24" s="409">
        <v>8047</v>
      </c>
      <c r="H24" s="409">
        <v>8056</v>
      </c>
      <c r="I24" s="409">
        <v>8057</v>
      </c>
      <c r="J24" s="409">
        <v>8057</v>
      </c>
      <c r="K24" s="409">
        <v>8057</v>
      </c>
      <c r="L24" s="409">
        <v>8057</v>
      </c>
      <c r="M24" s="409">
        <v>8062</v>
      </c>
      <c r="N24" s="409">
        <v>8062</v>
      </c>
      <c r="O24" s="409">
        <v>8097</v>
      </c>
      <c r="P24" s="409">
        <v>8106</v>
      </c>
      <c r="Q24" s="409">
        <v>8106</v>
      </c>
      <c r="R24" s="409">
        <v>8107</v>
      </c>
      <c r="S24" s="409">
        <v>8107</v>
      </c>
      <c r="T24" s="409">
        <v>8122</v>
      </c>
      <c r="U24" s="409">
        <v>8122</v>
      </c>
      <c r="V24" s="409">
        <v>8122</v>
      </c>
      <c r="W24" s="409">
        <v>8149</v>
      </c>
      <c r="X24" s="409">
        <v>8156</v>
      </c>
      <c r="Y24" s="409">
        <v>8161</v>
      </c>
      <c r="Z24" s="409">
        <v>8170</v>
      </c>
      <c r="AA24" s="409">
        <v>8179</v>
      </c>
      <c r="AB24" s="409">
        <v>8179</v>
      </c>
      <c r="AC24" s="409">
        <v>8179</v>
      </c>
      <c r="AD24" s="409">
        <v>8184</v>
      </c>
      <c r="AE24" s="409">
        <v>8191</v>
      </c>
      <c r="AF24" s="301">
        <f t="shared" si="0"/>
        <v>156</v>
      </c>
      <c r="AG24" s="409">
        <v>8035</v>
      </c>
      <c r="AH24" s="144">
        <v>156</v>
      </c>
      <c r="AI24" s="307"/>
      <c r="AJ24" s="414"/>
    </row>
    <row r="25" spans="1:36">
      <c r="A25" s="309" t="s">
        <v>142</v>
      </c>
      <c r="B25" s="409">
        <v>3169</v>
      </c>
      <c r="C25" s="409">
        <v>3173</v>
      </c>
      <c r="D25" s="409">
        <v>3173</v>
      </c>
      <c r="E25" s="409">
        <v>3173</v>
      </c>
      <c r="F25" s="409">
        <v>3173</v>
      </c>
      <c r="G25" s="409">
        <v>3173</v>
      </c>
      <c r="H25" s="409">
        <v>3181</v>
      </c>
      <c r="I25" s="409">
        <v>3183</v>
      </c>
      <c r="J25" s="409">
        <v>3183</v>
      </c>
      <c r="K25" s="409">
        <v>3183</v>
      </c>
      <c r="L25" s="409">
        <v>3183</v>
      </c>
      <c r="M25" s="409">
        <v>3184</v>
      </c>
      <c r="N25" s="409">
        <v>3184</v>
      </c>
      <c r="O25" s="409">
        <v>3214</v>
      </c>
      <c r="P25" s="409">
        <v>3229</v>
      </c>
      <c r="Q25" s="409">
        <v>3230</v>
      </c>
      <c r="R25" s="409">
        <v>3230</v>
      </c>
      <c r="S25" s="409">
        <v>3230</v>
      </c>
      <c r="T25" s="409">
        <v>3247</v>
      </c>
      <c r="U25" s="409">
        <v>3247</v>
      </c>
      <c r="V25" s="409">
        <v>3247</v>
      </c>
      <c r="W25" s="409">
        <v>3257</v>
      </c>
      <c r="X25" s="409">
        <v>3261</v>
      </c>
      <c r="Y25" s="409">
        <v>3278</v>
      </c>
      <c r="Z25" s="409">
        <v>3288</v>
      </c>
      <c r="AA25" s="409">
        <v>3293</v>
      </c>
      <c r="AB25" s="409">
        <v>3293</v>
      </c>
      <c r="AC25" s="409">
        <v>3295</v>
      </c>
      <c r="AD25" s="409">
        <v>3301</v>
      </c>
      <c r="AE25" s="409">
        <v>3307</v>
      </c>
      <c r="AF25" s="301">
        <f t="shared" si="0"/>
        <v>138</v>
      </c>
      <c r="AG25" s="409">
        <v>3169</v>
      </c>
      <c r="AH25" s="144">
        <v>138</v>
      </c>
      <c r="AI25" s="307"/>
      <c r="AJ25" s="414"/>
    </row>
    <row r="26" spans="1:36">
      <c r="A26" s="309" t="s">
        <v>145</v>
      </c>
      <c r="B26" s="409">
        <v>1779</v>
      </c>
      <c r="C26" s="409">
        <v>1780</v>
      </c>
      <c r="D26" s="409">
        <v>1780</v>
      </c>
      <c r="E26" s="409">
        <v>1780</v>
      </c>
      <c r="F26" s="409">
        <v>1781</v>
      </c>
      <c r="G26" s="409">
        <v>1781</v>
      </c>
      <c r="H26" s="409">
        <v>1781</v>
      </c>
      <c r="I26" s="409">
        <v>1791</v>
      </c>
      <c r="J26" s="409">
        <v>1799</v>
      </c>
      <c r="K26" s="409">
        <v>1799</v>
      </c>
      <c r="L26" s="409">
        <v>1799</v>
      </c>
      <c r="M26" s="409">
        <v>1805</v>
      </c>
      <c r="N26" s="409">
        <v>1805</v>
      </c>
      <c r="O26" s="409">
        <v>1816</v>
      </c>
      <c r="P26" s="409">
        <v>1825</v>
      </c>
      <c r="Q26" s="409">
        <v>1827</v>
      </c>
      <c r="R26" s="409">
        <v>1827</v>
      </c>
      <c r="S26" s="409">
        <v>1827</v>
      </c>
      <c r="T26" s="409">
        <v>1833</v>
      </c>
      <c r="U26" s="409">
        <v>1833</v>
      </c>
      <c r="V26" s="409">
        <v>1833</v>
      </c>
      <c r="W26" s="409">
        <v>1836</v>
      </c>
      <c r="X26" s="409">
        <v>1838</v>
      </c>
      <c r="Y26" s="409">
        <v>1840</v>
      </c>
      <c r="Z26" s="409">
        <v>1844</v>
      </c>
      <c r="AA26" s="409">
        <v>1845</v>
      </c>
      <c r="AB26" s="409">
        <v>1845</v>
      </c>
      <c r="AC26" s="409">
        <v>1846</v>
      </c>
      <c r="AD26" s="409">
        <v>1848</v>
      </c>
      <c r="AE26" s="409">
        <v>1850</v>
      </c>
      <c r="AF26" s="301">
        <f t="shared" si="0"/>
        <v>71</v>
      </c>
      <c r="AG26" s="409">
        <v>1779</v>
      </c>
      <c r="AH26" s="144">
        <v>71</v>
      </c>
      <c r="AI26" s="307"/>
      <c r="AJ26" s="414"/>
    </row>
    <row r="27" spans="1:36">
      <c r="A27" s="309" t="s">
        <v>148</v>
      </c>
      <c r="B27" s="409">
        <v>13096</v>
      </c>
      <c r="C27" s="409">
        <v>13105</v>
      </c>
      <c r="D27" s="409">
        <v>13108</v>
      </c>
      <c r="E27" s="409">
        <v>13108</v>
      </c>
      <c r="F27" s="409">
        <v>13118</v>
      </c>
      <c r="G27" s="409">
        <v>13118</v>
      </c>
      <c r="H27" s="409">
        <v>13124</v>
      </c>
      <c r="I27" s="409">
        <v>13164</v>
      </c>
      <c r="J27" s="409">
        <v>13194</v>
      </c>
      <c r="K27" s="409">
        <v>13194</v>
      </c>
      <c r="L27" s="409">
        <v>13194</v>
      </c>
      <c r="M27" s="409">
        <v>13265</v>
      </c>
      <c r="N27" s="409">
        <v>13265</v>
      </c>
      <c r="O27" s="409">
        <v>13265</v>
      </c>
      <c r="P27" s="409">
        <v>13272</v>
      </c>
      <c r="Q27" s="409">
        <v>13277</v>
      </c>
      <c r="R27" s="409">
        <v>13281</v>
      </c>
      <c r="S27" s="409">
        <v>13281</v>
      </c>
      <c r="T27" s="409">
        <v>13304</v>
      </c>
      <c r="U27" s="409">
        <v>13304</v>
      </c>
      <c r="V27" s="409">
        <v>13304</v>
      </c>
      <c r="W27" s="409">
        <v>13325</v>
      </c>
      <c r="X27" s="409">
        <v>13334</v>
      </c>
      <c r="Y27" s="409">
        <v>13345</v>
      </c>
      <c r="Z27" s="409">
        <v>13356</v>
      </c>
      <c r="AA27" s="409">
        <v>13367</v>
      </c>
      <c r="AB27" s="409">
        <v>13367</v>
      </c>
      <c r="AC27" s="409">
        <v>13372</v>
      </c>
      <c r="AD27" s="409">
        <v>13383</v>
      </c>
      <c r="AE27" s="409">
        <v>13394</v>
      </c>
      <c r="AF27" s="301">
        <f t="shared" si="0"/>
        <v>298</v>
      </c>
      <c r="AG27" s="409">
        <v>13096</v>
      </c>
      <c r="AH27" s="144">
        <v>298</v>
      </c>
      <c r="AI27" s="307"/>
      <c r="AJ27" s="414"/>
    </row>
    <row r="28" spans="1:36">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301">
        <f t="shared" si="0"/>
        <v>0</v>
      </c>
      <c r="AG28" s="409">
        <v>1339</v>
      </c>
      <c r="AH28" s="144">
        <v>0</v>
      </c>
      <c r="AI28" s="307"/>
      <c r="AJ28" s="414"/>
    </row>
    <row r="29" spans="1:36">
      <c r="A29" s="309" t="s">
        <v>154</v>
      </c>
      <c r="B29" s="409">
        <v>875</v>
      </c>
      <c r="C29" s="409">
        <v>877</v>
      </c>
      <c r="D29" s="409">
        <v>877</v>
      </c>
      <c r="E29" s="409">
        <v>877</v>
      </c>
      <c r="F29" s="409">
        <v>879</v>
      </c>
      <c r="G29" s="409">
        <v>879</v>
      </c>
      <c r="H29" s="409">
        <v>880</v>
      </c>
      <c r="I29" s="409">
        <v>881</v>
      </c>
      <c r="J29" s="409">
        <v>881</v>
      </c>
      <c r="K29" s="409">
        <v>881</v>
      </c>
      <c r="L29" s="409">
        <v>881</v>
      </c>
      <c r="M29" s="409">
        <v>882</v>
      </c>
      <c r="N29" s="409">
        <v>882</v>
      </c>
      <c r="O29" s="409">
        <v>883</v>
      </c>
      <c r="P29" s="409">
        <v>883</v>
      </c>
      <c r="Q29" s="409">
        <v>884</v>
      </c>
      <c r="R29" s="409">
        <v>885</v>
      </c>
      <c r="S29" s="409">
        <v>885</v>
      </c>
      <c r="T29" s="409">
        <v>887</v>
      </c>
      <c r="U29" s="409">
        <v>887</v>
      </c>
      <c r="V29" s="409">
        <v>887</v>
      </c>
      <c r="W29" s="409">
        <v>888</v>
      </c>
      <c r="X29" s="409">
        <v>889</v>
      </c>
      <c r="Y29" s="409">
        <v>890</v>
      </c>
      <c r="Z29" s="409">
        <v>891</v>
      </c>
      <c r="AA29" s="409">
        <v>891</v>
      </c>
      <c r="AB29" s="409">
        <v>891</v>
      </c>
      <c r="AC29" s="409">
        <v>892</v>
      </c>
      <c r="AD29" s="409">
        <v>893</v>
      </c>
      <c r="AE29" s="409">
        <v>894</v>
      </c>
      <c r="AF29" s="301">
        <f t="shared" si="0"/>
        <v>19</v>
      </c>
      <c r="AG29" s="409">
        <v>875</v>
      </c>
      <c r="AH29" s="144">
        <v>19</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301"/>
      <c r="AG32" s="416" t="s">
        <v>78</v>
      </c>
    </row>
    <row r="33" spans="1:33" ht="25.5">
      <c r="A33" s="282" t="s">
        <v>80</v>
      </c>
      <c r="B33" s="416" t="s">
        <v>2734</v>
      </c>
      <c r="C33" s="416" t="s">
        <v>2734</v>
      </c>
      <c r="D33" s="416" t="s">
        <v>2734</v>
      </c>
      <c r="E33" s="416" t="s">
        <v>2734</v>
      </c>
      <c r="F33" s="416" t="s">
        <v>2734</v>
      </c>
      <c r="G33" s="416" t="s">
        <v>2734</v>
      </c>
      <c r="H33" s="416" t="s">
        <v>2734</v>
      </c>
      <c r="I33" s="416" t="s">
        <v>2734</v>
      </c>
      <c r="J33" s="416" t="s">
        <v>2734</v>
      </c>
      <c r="K33" s="416" t="s">
        <v>2734</v>
      </c>
      <c r="L33" s="416" t="s">
        <v>2734</v>
      </c>
      <c r="M33" s="416" t="s">
        <v>2734</v>
      </c>
      <c r="N33" s="416" t="s">
        <v>2734</v>
      </c>
      <c r="O33" s="416" t="s">
        <v>2734</v>
      </c>
      <c r="P33" s="416" t="s">
        <v>2734</v>
      </c>
      <c r="Q33" s="416" t="s">
        <v>2734</v>
      </c>
      <c r="R33" s="416" t="s">
        <v>2734</v>
      </c>
      <c r="S33" s="416" t="s">
        <v>2734</v>
      </c>
      <c r="T33" s="416" t="s">
        <v>2734</v>
      </c>
      <c r="U33" s="416" t="s">
        <v>2734</v>
      </c>
      <c r="V33" s="416" t="s">
        <v>2734</v>
      </c>
      <c r="W33" s="416" t="s">
        <v>2734</v>
      </c>
      <c r="X33" s="416" t="s">
        <v>2734</v>
      </c>
      <c r="Y33" s="416" t="s">
        <v>2734</v>
      </c>
      <c r="Z33" s="416" t="s">
        <v>2734</v>
      </c>
      <c r="AA33" s="416" t="s">
        <v>2734</v>
      </c>
      <c r="AB33" s="416" t="s">
        <v>2734</v>
      </c>
      <c r="AC33" s="416" t="s">
        <v>2734</v>
      </c>
      <c r="AD33" s="416" t="s">
        <v>2734</v>
      </c>
      <c r="AE33" s="416" t="s">
        <v>2734</v>
      </c>
      <c r="AF33" s="301"/>
      <c r="AG33" s="416" t="s">
        <v>2734</v>
      </c>
    </row>
    <row r="34" spans="1:33" ht="15.75" thickBot="1">
      <c r="A34" s="310" t="s">
        <v>81</v>
      </c>
      <c r="B34" s="417" t="s">
        <v>2735</v>
      </c>
      <c r="C34" s="417" t="s">
        <v>2735</v>
      </c>
      <c r="D34" s="417" t="s">
        <v>2735</v>
      </c>
      <c r="E34" s="417" t="s">
        <v>2735</v>
      </c>
      <c r="F34" s="417" t="s">
        <v>2735</v>
      </c>
      <c r="G34" s="417" t="s">
        <v>2735</v>
      </c>
      <c r="H34" s="417" t="s">
        <v>2735</v>
      </c>
      <c r="I34" s="417" t="s">
        <v>2735</v>
      </c>
      <c r="J34" s="417" t="s">
        <v>2735</v>
      </c>
      <c r="K34" s="417" t="s">
        <v>2735</v>
      </c>
      <c r="L34" s="417" t="s">
        <v>2735</v>
      </c>
      <c r="M34" s="417" t="s">
        <v>2735</v>
      </c>
      <c r="N34" s="417" t="s">
        <v>2735</v>
      </c>
      <c r="O34" s="417" t="s">
        <v>2735</v>
      </c>
      <c r="P34" s="417" t="s">
        <v>2735</v>
      </c>
      <c r="Q34" s="417" t="s">
        <v>2735</v>
      </c>
      <c r="R34" s="417" t="s">
        <v>2735</v>
      </c>
      <c r="S34" s="417" t="s">
        <v>2735</v>
      </c>
      <c r="T34" s="417" t="s">
        <v>2735</v>
      </c>
      <c r="U34" s="417" t="s">
        <v>2735</v>
      </c>
      <c r="V34" s="417" t="s">
        <v>2735</v>
      </c>
      <c r="W34" s="417" t="s">
        <v>2735</v>
      </c>
      <c r="X34" s="417" t="s">
        <v>2735</v>
      </c>
      <c r="Y34" s="417" t="s">
        <v>2735</v>
      </c>
      <c r="Z34" s="417" t="s">
        <v>2735</v>
      </c>
      <c r="AA34" s="417" t="s">
        <v>2735</v>
      </c>
      <c r="AB34" s="417" t="s">
        <v>2735</v>
      </c>
      <c r="AC34" s="417" t="s">
        <v>2735</v>
      </c>
      <c r="AD34" s="417" t="s">
        <v>2735</v>
      </c>
      <c r="AE34" s="417" t="s">
        <v>2735</v>
      </c>
      <c r="AF34" s="301"/>
      <c r="AG34" s="417" t="s">
        <v>2735</v>
      </c>
    </row>
    <row r="35" spans="1:33">
      <c r="AF35" s="211"/>
    </row>
    <row r="36" spans="1:33">
      <c r="AF36" s="211"/>
    </row>
  </sheetData>
  <mergeCells count="1">
    <mergeCell ref="A1:AG1"/>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5E21-D95B-46DE-86C0-7CC5B310235A}">
  <dimension ref="A1:AK36"/>
  <sheetViews>
    <sheetView topLeftCell="P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6.570312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45413</v>
      </c>
      <c r="C2" s="281">
        <v>45414</v>
      </c>
      <c r="D2" s="281">
        <v>45415</v>
      </c>
      <c r="E2" s="281">
        <v>45416</v>
      </c>
      <c r="F2" s="281">
        <v>45417</v>
      </c>
      <c r="G2" s="281">
        <v>45418</v>
      </c>
      <c r="H2" s="281">
        <v>45419</v>
      </c>
      <c r="I2" s="281">
        <v>45420</v>
      </c>
      <c r="J2" s="281">
        <v>45421</v>
      </c>
      <c r="K2" s="281">
        <v>45422</v>
      </c>
      <c r="L2" s="281">
        <v>45423</v>
      </c>
      <c r="M2" s="281">
        <v>45424</v>
      </c>
      <c r="N2" s="281">
        <v>45425</v>
      </c>
      <c r="O2" s="281">
        <v>45426</v>
      </c>
      <c r="P2" s="281">
        <v>45427</v>
      </c>
      <c r="Q2" s="281">
        <v>45428</v>
      </c>
      <c r="R2" s="281">
        <v>45429</v>
      </c>
      <c r="S2" s="281">
        <v>45430</v>
      </c>
      <c r="T2" s="281">
        <v>45431</v>
      </c>
      <c r="U2" s="281">
        <v>45432</v>
      </c>
      <c r="V2" s="281">
        <v>45433</v>
      </c>
      <c r="W2" s="281">
        <v>45434</v>
      </c>
      <c r="X2" s="281">
        <v>45435</v>
      </c>
      <c r="Y2" s="281">
        <v>45436</v>
      </c>
      <c r="Z2" s="281">
        <v>45437</v>
      </c>
      <c r="AA2" s="281">
        <v>45438</v>
      </c>
      <c r="AB2" s="281">
        <v>45439</v>
      </c>
      <c r="AC2" s="281">
        <v>45440</v>
      </c>
      <c r="AD2" s="281">
        <v>45441</v>
      </c>
      <c r="AE2" s="281">
        <v>45442</v>
      </c>
      <c r="AF2" s="281">
        <v>45443</v>
      </c>
      <c r="AG2" s="281"/>
      <c r="AH2" s="281">
        <v>45412</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05">
        <v>388187</v>
      </c>
      <c r="C4" s="405">
        <v>388445</v>
      </c>
      <c r="D4" s="286" t="s">
        <v>2752</v>
      </c>
      <c r="E4" s="405">
        <v>388885</v>
      </c>
      <c r="F4" s="405">
        <v>389150</v>
      </c>
      <c r="G4" s="405">
        <v>389382</v>
      </c>
      <c r="H4" s="286" t="s">
        <v>2753</v>
      </c>
      <c r="I4" s="405">
        <v>389868</v>
      </c>
      <c r="J4" s="405">
        <v>390113</v>
      </c>
      <c r="K4" s="286" t="s">
        <v>2754</v>
      </c>
      <c r="L4" s="405">
        <v>390593</v>
      </c>
      <c r="M4" s="405">
        <v>390903</v>
      </c>
      <c r="N4" s="405">
        <v>391080</v>
      </c>
      <c r="O4" s="405">
        <v>391333</v>
      </c>
      <c r="P4" s="405">
        <v>391582</v>
      </c>
      <c r="Q4" s="405">
        <v>391842</v>
      </c>
      <c r="R4" s="286" t="s">
        <v>2755</v>
      </c>
      <c r="S4" s="405">
        <v>392322</v>
      </c>
      <c r="T4" s="405">
        <v>392574</v>
      </c>
      <c r="U4" s="405">
        <v>392824</v>
      </c>
      <c r="V4" s="405">
        <v>393084</v>
      </c>
      <c r="W4" s="405">
        <v>393340</v>
      </c>
      <c r="X4" s="405">
        <v>393599</v>
      </c>
      <c r="Y4" s="405">
        <v>393864</v>
      </c>
      <c r="Z4" s="405">
        <v>394105</v>
      </c>
      <c r="AA4" s="405">
        <v>394362</v>
      </c>
      <c r="AB4" s="405">
        <v>394623</v>
      </c>
      <c r="AC4" s="405">
        <v>394910</v>
      </c>
      <c r="AD4" s="405">
        <v>395150</v>
      </c>
      <c r="AE4" s="405">
        <v>395428</v>
      </c>
      <c r="AF4" s="286" t="s">
        <v>2756</v>
      </c>
      <c r="AG4" s="290"/>
      <c r="AH4" s="405">
        <v>387962</v>
      </c>
      <c r="AI4" s="288"/>
    </row>
    <row r="5" spans="1:37" ht="20.100000000000001" customHeight="1">
      <c r="A5" s="285" t="s">
        <v>55</v>
      </c>
      <c r="B5" s="405">
        <v>10884978</v>
      </c>
      <c r="C5" s="405">
        <v>10892499</v>
      </c>
      <c r="D5" s="286" t="s">
        <v>2757</v>
      </c>
      <c r="E5" s="405">
        <v>10905010</v>
      </c>
      <c r="F5" s="405">
        <v>10912145</v>
      </c>
      <c r="G5" s="405">
        <v>10919146</v>
      </c>
      <c r="H5" s="286" t="s">
        <v>2758</v>
      </c>
      <c r="I5" s="405">
        <v>10933478</v>
      </c>
      <c r="J5" s="405">
        <v>10941010</v>
      </c>
      <c r="K5" s="286" t="s">
        <v>2759</v>
      </c>
      <c r="L5" s="405">
        <v>10954989</v>
      </c>
      <c r="M5" s="405">
        <v>10963964</v>
      </c>
      <c r="N5" s="405">
        <v>10968701</v>
      </c>
      <c r="O5" s="405">
        <v>10975489</v>
      </c>
      <c r="P5" s="405">
        <v>10982243</v>
      </c>
      <c r="Q5" s="405">
        <v>10989368</v>
      </c>
      <c r="R5" s="286" t="s">
        <v>2760</v>
      </c>
      <c r="S5" s="405">
        <v>11002065</v>
      </c>
      <c r="T5" s="405">
        <v>11008568</v>
      </c>
      <c r="U5" s="405">
        <v>11015470</v>
      </c>
      <c r="V5" s="405">
        <v>11022589</v>
      </c>
      <c r="W5" s="405">
        <v>11029750</v>
      </c>
      <c r="X5" s="405">
        <v>11036678</v>
      </c>
      <c r="Y5" s="405">
        <v>11044181</v>
      </c>
      <c r="Z5" s="405">
        <v>11050834</v>
      </c>
      <c r="AA5" s="405">
        <v>11057937</v>
      </c>
      <c r="AB5" s="405">
        <v>11065251</v>
      </c>
      <c r="AC5" s="405">
        <v>11073053</v>
      </c>
      <c r="AD5" s="405">
        <v>11079333</v>
      </c>
      <c r="AE5" s="405">
        <v>11086860</v>
      </c>
      <c r="AF5" s="286" t="s">
        <v>2761</v>
      </c>
      <c r="AG5" s="290"/>
      <c r="AH5" s="405">
        <v>10878591</v>
      </c>
      <c r="AI5" s="288"/>
    </row>
    <row r="6" spans="1:37" ht="20.100000000000001" customHeight="1">
      <c r="A6" s="285" t="s">
        <v>56</v>
      </c>
      <c r="B6" s="405">
        <v>5135024</v>
      </c>
      <c r="C6" s="405">
        <v>5138543</v>
      </c>
      <c r="D6" s="286" t="s">
        <v>2762</v>
      </c>
      <c r="E6" s="405">
        <v>5143869</v>
      </c>
      <c r="F6" s="405">
        <v>5147008</v>
      </c>
      <c r="G6" s="405">
        <v>5150091</v>
      </c>
      <c r="H6" s="286" t="s">
        <v>2763</v>
      </c>
      <c r="I6" s="405">
        <v>5156391</v>
      </c>
      <c r="J6" s="405">
        <v>5159612</v>
      </c>
      <c r="K6" s="286" t="s">
        <v>2764</v>
      </c>
      <c r="L6" s="405">
        <v>5165194</v>
      </c>
      <c r="M6" s="405">
        <v>5169074</v>
      </c>
      <c r="N6" s="405">
        <v>5171114</v>
      </c>
      <c r="O6" s="405">
        <v>5174341</v>
      </c>
      <c r="P6" s="405">
        <v>5177630</v>
      </c>
      <c r="Q6" s="405">
        <v>5181016</v>
      </c>
      <c r="R6" s="286" t="s">
        <v>2765</v>
      </c>
      <c r="S6" s="405">
        <v>5186340</v>
      </c>
      <c r="T6" s="405">
        <v>5189340</v>
      </c>
      <c r="U6" s="405">
        <v>5192724</v>
      </c>
      <c r="V6" s="405">
        <v>5196253</v>
      </c>
      <c r="W6" s="405">
        <v>5199721</v>
      </c>
      <c r="X6" s="405">
        <v>5203160</v>
      </c>
      <c r="Y6" s="405">
        <v>5206607</v>
      </c>
      <c r="Z6" s="405">
        <v>5209572</v>
      </c>
      <c r="AA6" s="405">
        <v>5212708</v>
      </c>
      <c r="AB6" s="405">
        <v>5216028</v>
      </c>
      <c r="AC6" s="405">
        <v>5219459</v>
      </c>
      <c r="AD6" s="405">
        <v>5222288</v>
      </c>
      <c r="AE6" s="405">
        <v>5225907</v>
      </c>
      <c r="AF6" s="286" t="s">
        <v>2766</v>
      </c>
      <c r="AG6" s="290"/>
      <c r="AH6" s="405">
        <v>5132143</v>
      </c>
      <c r="AI6" s="288"/>
    </row>
    <row r="7" spans="1:37" ht="20.100000000000001" customHeight="1">
      <c r="A7" s="285" t="s">
        <v>57</v>
      </c>
      <c r="B7" s="405">
        <v>10862419</v>
      </c>
      <c r="C7" s="405">
        <v>10862497</v>
      </c>
      <c r="D7" s="286" t="s">
        <v>2767</v>
      </c>
      <c r="E7" s="405">
        <v>10862632</v>
      </c>
      <c r="F7" s="405">
        <v>10872155</v>
      </c>
      <c r="G7" s="405">
        <v>10880991</v>
      </c>
      <c r="H7" s="286" t="s">
        <v>2768</v>
      </c>
      <c r="I7" s="405">
        <v>10899785</v>
      </c>
      <c r="J7" s="405">
        <v>10909363</v>
      </c>
      <c r="K7" s="286" t="s">
        <v>2769</v>
      </c>
      <c r="L7" s="405">
        <v>10927062</v>
      </c>
      <c r="M7" s="405">
        <v>10937642</v>
      </c>
      <c r="N7" s="405">
        <v>10943460</v>
      </c>
      <c r="O7" s="405">
        <v>10953128</v>
      </c>
      <c r="P7" s="405">
        <v>10962666</v>
      </c>
      <c r="Q7" s="405">
        <v>10972843</v>
      </c>
      <c r="R7" s="286" t="s">
        <v>2770</v>
      </c>
      <c r="S7" s="405">
        <v>10990888</v>
      </c>
      <c r="T7" s="405">
        <v>10990964</v>
      </c>
      <c r="U7" s="405">
        <v>10991043</v>
      </c>
      <c r="V7" s="405">
        <v>10991125</v>
      </c>
      <c r="W7" s="405">
        <v>10991206</v>
      </c>
      <c r="X7" s="405">
        <v>10991284</v>
      </c>
      <c r="Y7" s="405">
        <v>10991367</v>
      </c>
      <c r="Z7" s="405">
        <v>10991445</v>
      </c>
      <c r="AA7" s="405">
        <v>10992221</v>
      </c>
      <c r="AB7" s="405">
        <v>10994621</v>
      </c>
      <c r="AC7" s="405">
        <v>10996931</v>
      </c>
      <c r="AD7" s="405">
        <v>10998486</v>
      </c>
      <c r="AE7" s="405">
        <v>11000643</v>
      </c>
      <c r="AF7" s="286" t="s">
        <v>2771</v>
      </c>
      <c r="AG7" s="290"/>
      <c r="AH7" s="405">
        <v>10862353</v>
      </c>
      <c r="AI7" s="288"/>
    </row>
    <row r="8" spans="1:37" ht="20.100000000000001" customHeight="1">
      <c r="A8" s="285" t="s">
        <v>58</v>
      </c>
      <c r="B8" s="405">
        <v>3603342</v>
      </c>
      <c r="C8" s="405">
        <v>3606453</v>
      </c>
      <c r="D8" s="286" t="s">
        <v>2772</v>
      </c>
      <c r="E8" s="405">
        <v>3611785</v>
      </c>
      <c r="F8" s="405">
        <v>3611905</v>
      </c>
      <c r="G8" s="405">
        <v>3611905</v>
      </c>
      <c r="H8" s="286" t="s">
        <v>2773</v>
      </c>
      <c r="I8" s="405">
        <v>3611905</v>
      </c>
      <c r="J8" s="405">
        <v>3611905</v>
      </c>
      <c r="K8" s="286" t="s">
        <v>2773</v>
      </c>
      <c r="L8" s="405">
        <v>3611905</v>
      </c>
      <c r="M8" s="405">
        <v>3611905</v>
      </c>
      <c r="N8" s="405">
        <v>3611905</v>
      </c>
      <c r="O8" s="405">
        <v>3611905</v>
      </c>
      <c r="P8" s="405">
        <v>3611905</v>
      </c>
      <c r="Q8" s="405">
        <v>3611905</v>
      </c>
      <c r="R8" s="286" t="s">
        <v>2774</v>
      </c>
      <c r="S8" s="405">
        <v>3612033</v>
      </c>
      <c r="T8" s="405">
        <v>3614981</v>
      </c>
      <c r="U8" s="405">
        <v>3617898</v>
      </c>
      <c r="V8" s="405">
        <v>3620657</v>
      </c>
      <c r="W8" s="405">
        <v>3623750</v>
      </c>
      <c r="X8" s="405">
        <v>3626988</v>
      </c>
      <c r="Y8" s="405">
        <v>3630175</v>
      </c>
      <c r="Z8" s="405">
        <v>3632764</v>
      </c>
      <c r="AA8" s="405">
        <v>3635538</v>
      </c>
      <c r="AB8" s="405">
        <v>3638390</v>
      </c>
      <c r="AC8" s="405">
        <v>3641607</v>
      </c>
      <c r="AD8" s="405">
        <v>3644238</v>
      </c>
      <c r="AE8" s="405">
        <v>3647402</v>
      </c>
      <c r="AF8" s="286" t="s">
        <v>2775</v>
      </c>
      <c r="AG8" s="290"/>
      <c r="AH8" s="405">
        <v>3600492</v>
      </c>
      <c r="AI8" s="288"/>
    </row>
    <row r="9" spans="1:37" ht="20.100000000000001" customHeight="1">
      <c r="A9" s="285" t="s">
        <v>59</v>
      </c>
      <c r="B9" s="405">
        <v>21811145</v>
      </c>
      <c r="C9" s="405">
        <v>21818594</v>
      </c>
      <c r="D9" s="286" t="s">
        <v>2776</v>
      </c>
      <c r="E9" s="405">
        <v>21831594</v>
      </c>
      <c r="F9" s="405">
        <v>21839662</v>
      </c>
      <c r="G9" s="405">
        <v>21845890</v>
      </c>
      <c r="H9" s="286" t="s">
        <v>2777</v>
      </c>
      <c r="I9" s="405">
        <v>21860647</v>
      </c>
      <c r="J9" s="405">
        <v>21868304</v>
      </c>
      <c r="K9" s="286" t="s">
        <v>2778</v>
      </c>
      <c r="L9" s="405">
        <v>21882163</v>
      </c>
      <c r="M9" s="405">
        <v>21890566</v>
      </c>
      <c r="N9" s="405">
        <v>21895094</v>
      </c>
      <c r="O9" s="405">
        <v>21901500</v>
      </c>
      <c r="P9" s="405">
        <v>21907889</v>
      </c>
      <c r="Q9" s="405">
        <v>21914470</v>
      </c>
      <c r="R9" s="286" t="s">
        <v>2779</v>
      </c>
      <c r="S9" s="405">
        <v>21927027</v>
      </c>
      <c r="T9" s="405">
        <v>21933265</v>
      </c>
      <c r="U9" s="405">
        <v>21939102</v>
      </c>
      <c r="V9" s="405">
        <v>21944992</v>
      </c>
      <c r="W9" s="405">
        <v>21951067</v>
      </c>
      <c r="X9" s="405">
        <v>21956977</v>
      </c>
      <c r="Y9" s="405">
        <v>21963673</v>
      </c>
      <c r="Z9" s="405">
        <v>21969101</v>
      </c>
      <c r="AA9" s="405">
        <v>21975314</v>
      </c>
      <c r="AB9" s="405">
        <v>21982271</v>
      </c>
      <c r="AC9" s="405">
        <v>21989603</v>
      </c>
      <c r="AD9" s="405">
        <v>21995369</v>
      </c>
      <c r="AE9" s="405">
        <v>22002782</v>
      </c>
      <c r="AF9" s="286" t="s">
        <v>2780</v>
      </c>
      <c r="AG9" s="290"/>
      <c r="AH9" s="405">
        <v>21805279</v>
      </c>
      <c r="AI9" s="288"/>
    </row>
    <row r="10" spans="1:37" ht="20.100000000000001" customHeight="1">
      <c r="A10" s="285" t="s">
        <v>60</v>
      </c>
      <c r="B10" s="405">
        <v>7309645</v>
      </c>
      <c r="C10" s="405">
        <v>7313286</v>
      </c>
      <c r="D10" s="286" t="s">
        <v>2781</v>
      </c>
      <c r="E10" s="405">
        <v>7318461</v>
      </c>
      <c r="F10" s="405">
        <v>7321405</v>
      </c>
      <c r="G10" s="405">
        <v>7324918</v>
      </c>
      <c r="H10" s="286" t="s">
        <v>2782</v>
      </c>
      <c r="I10" s="405">
        <v>7332048</v>
      </c>
      <c r="J10" s="405">
        <v>7335708</v>
      </c>
      <c r="K10" s="286" t="s">
        <v>2783</v>
      </c>
      <c r="L10" s="405">
        <v>7341648</v>
      </c>
      <c r="M10" s="405">
        <v>7345794</v>
      </c>
      <c r="N10" s="405">
        <v>7348000</v>
      </c>
      <c r="O10" s="405">
        <v>7351570</v>
      </c>
      <c r="P10" s="405">
        <v>7355202</v>
      </c>
      <c r="Q10" s="405">
        <v>7359172</v>
      </c>
      <c r="R10" s="286" t="s">
        <v>2784</v>
      </c>
      <c r="S10" s="405">
        <v>7365792</v>
      </c>
      <c r="T10" s="405">
        <v>7369008</v>
      </c>
      <c r="U10" s="405">
        <v>7372992</v>
      </c>
      <c r="V10" s="405">
        <v>7377092</v>
      </c>
      <c r="W10" s="405">
        <v>7381339</v>
      </c>
      <c r="X10" s="405">
        <v>7385472</v>
      </c>
      <c r="Y10" s="405">
        <v>7389598</v>
      </c>
      <c r="Z10" s="405">
        <v>7392568</v>
      </c>
      <c r="AA10" s="405">
        <v>7395877</v>
      </c>
      <c r="AB10" s="405">
        <v>7399966</v>
      </c>
      <c r="AC10" s="405">
        <v>7404309</v>
      </c>
      <c r="AD10" s="405">
        <v>7407662</v>
      </c>
      <c r="AE10" s="405">
        <v>7411917</v>
      </c>
      <c r="AF10" s="286" t="s">
        <v>2785</v>
      </c>
      <c r="AG10" s="290"/>
      <c r="AH10" s="405">
        <v>7306567</v>
      </c>
      <c r="AI10" s="288"/>
    </row>
    <row r="11" spans="1:37" ht="22.5" customHeight="1">
      <c r="A11" s="285" t="s">
        <v>61</v>
      </c>
      <c r="B11" s="405">
        <v>285962</v>
      </c>
      <c r="C11" s="405">
        <v>286085</v>
      </c>
      <c r="D11" s="286" t="s">
        <v>2786</v>
      </c>
      <c r="E11" s="405">
        <v>286258</v>
      </c>
      <c r="F11" s="405">
        <v>286365</v>
      </c>
      <c r="G11" s="405">
        <v>286475</v>
      </c>
      <c r="H11" s="286" t="s">
        <v>2787</v>
      </c>
      <c r="I11" s="405">
        <v>286705</v>
      </c>
      <c r="J11" s="405">
        <v>286821</v>
      </c>
      <c r="K11" s="286" t="s">
        <v>2788</v>
      </c>
      <c r="L11" s="405">
        <v>287023</v>
      </c>
      <c r="M11" s="405">
        <v>287178</v>
      </c>
      <c r="N11" s="405">
        <v>287548</v>
      </c>
      <c r="O11" s="405">
        <v>287369</v>
      </c>
      <c r="P11" s="405">
        <v>287486</v>
      </c>
      <c r="Q11" s="405">
        <v>287611</v>
      </c>
      <c r="R11" s="286" t="s">
        <v>2789</v>
      </c>
      <c r="S11" s="405">
        <v>287825</v>
      </c>
      <c r="T11" s="405">
        <v>287943</v>
      </c>
      <c r="U11" s="405">
        <v>288067</v>
      </c>
      <c r="V11" s="405">
        <v>288199</v>
      </c>
      <c r="W11" s="405">
        <v>288331</v>
      </c>
      <c r="X11" s="405">
        <v>288457</v>
      </c>
      <c r="Y11" s="405">
        <v>288590</v>
      </c>
      <c r="Z11" s="405">
        <v>288687</v>
      </c>
      <c r="AA11" s="405">
        <v>288803</v>
      </c>
      <c r="AB11" s="405">
        <v>288937</v>
      </c>
      <c r="AC11" s="405">
        <v>289089</v>
      </c>
      <c r="AD11" s="405">
        <v>289207</v>
      </c>
      <c r="AE11" s="405">
        <v>289355</v>
      </c>
      <c r="AF11" s="286" t="s">
        <v>2790</v>
      </c>
      <c r="AG11" s="290"/>
      <c r="AH11" s="405">
        <v>285859</v>
      </c>
      <c r="AI11" s="288"/>
    </row>
    <row r="12" spans="1:37" s="294" customFormat="1" ht="18" customHeight="1">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c r="AE12" s="406"/>
      <c r="AF12" s="406"/>
      <c r="AG12" s="407"/>
      <c r="AH12" s="406"/>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2513</v>
      </c>
      <c r="C14" s="409">
        <v>2579</v>
      </c>
      <c r="D14" s="409">
        <v>2579</v>
      </c>
      <c r="E14" s="409">
        <v>2670</v>
      </c>
      <c r="F14" s="409">
        <v>2670</v>
      </c>
      <c r="G14" s="409">
        <v>2814</v>
      </c>
      <c r="H14" s="409">
        <v>2878</v>
      </c>
      <c r="I14" s="409">
        <v>2878</v>
      </c>
      <c r="J14" s="409">
        <v>3023</v>
      </c>
      <c r="K14" s="409">
        <v>3023</v>
      </c>
      <c r="L14" s="409">
        <v>3146</v>
      </c>
      <c r="M14" s="409">
        <v>3200</v>
      </c>
      <c r="N14" s="409">
        <v>3281</v>
      </c>
      <c r="O14" s="409">
        <v>3373</v>
      </c>
      <c r="P14" s="409">
        <v>3452</v>
      </c>
      <c r="Q14" s="409">
        <v>3539</v>
      </c>
      <c r="R14" s="409">
        <v>3616</v>
      </c>
      <c r="S14" s="409">
        <v>3645</v>
      </c>
      <c r="T14" s="409">
        <v>3723</v>
      </c>
      <c r="U14" s="409">
        <v>3793</v>
      </c>
      <c r="V14" s="409">
        <v>3879</v>
      </c>
      <c r="W14" s="409">
        <v>3958</v>
      </c>
      <c r="X14" s="409">
        <v>4021</v>
      </c>
      <c r="Y14" s="409">
        <v>4100</v>
      </c>
      <c r="Z14" s="409">
        <v>4133</v>
      </c>
      <c r="AA14" s="409">
        <v>4133</v>
      </c>
      <c r="AB14" s="409">
        <v>4275</v>
      </c>
      <c r="AC14" s="409">
        <v>4353</v>
      </c>
      <c r="AD14" s="409">
        <v>4430</v>
      </c>
      <c r="AE14" s="409">
        <v>4507</v>
      </c>
      <c r="AF14" s="409">
        <v>4578</v>
      </c>
      <c r="AG14" s="301">
        <f>AF14-AH14</f>
        <v>2146</v>
      </c>
      <c r="AH14" s="409">
        <v>2432</v>
      </c>
      <c r="AI14" s="299">
        <v>2146</v>
      </c>
      <c r="AJ14" s="299"/>
      <c r="AK14" s="410"/>
    </row>
    <row r="15" spans="1:37" ht="25.5">
      <c r="A15" s="282" t="s">
        <v>67</v>
      </c>
      <c r="B15" s="409">
        <v>8318</v>
      </c>
      <c r="C15" s="409">
        <v>8318</v>
      </c>
      <c r="D15" s="409">
        <v>8318</v>
      </c>
      <c r="E15" s="409">
        <v>8318</v>
      </c>
      <c r="F15" s="409">
        <v>8318</v>
      </c>
      <c r="G15" s="409">
        <v>8318</v>
      </c>
      <c r="H15" s="409">
        <v>8318</v>
      </c>
      <c r="I15" s="409">
        <v>8318</v>
      </c>
      <c r="J15" s="409">
        <v>8318</v>
      </c>
      <c r="K15" s="409">
        <v>8318</v>
      </c>
      <c r="L15" s="409">
        <v>8318</v>
      </c>
      <c r="M15" s="409">
        <v>8318</v>
      </c>
      <c r="N15" s="409">
        <v>8318</v>
      </c>
      <c r="O15" s="409">
        <v>8318</v>
      </c>
      <c r="P15" s="409">
        <v>8318</v>
      </c>
      <c r="Q15" s="409">
        <v>8318</v>
      </c>
      <c r="R15" s="409">
        <v>8318</v>
      </c>
      <c r="S15" s="409">
        <v>8318</v>
      </c>
      <c r="T15" s="409">
        <v>8318</v>
      </c>
      <c r="U15" s="409">
        <v>8318</v>
      </c>
      <c r="V15" s="409">
        <v>8318</v>
      </c>
      <c r="W15" s="409">
        <v>8318</v>
      </c>
      <c r="X15" s="409">
        <v>8318</v>
      </c>
      <c r="Y15" s="409">
        <v>8318</v>
      </c>
      <c r="Z15" s="409">
        <v>8318</v>
      </c>
      <c r="AA15" s="409">
        <v>8318</v>
      </c>
      <c r="AB15" s="409">
        <v>8318</v>
      </c>
      <c r="AC15" s="409">
        <v>8318</v>
      </c>
      <c r="AD15" s="409">
        <v>8318</v>
      </c>
      <c r="AE15" s="409">
        <v>8318</v>
      </c>
      <c r="AF15" s="409">
        <v>8318</v>
      </c>
      <c r="AG15" s="301">
        <f t="shared" ref="AG15:AG29" si="0">AF15-AH15</f>
        <v>0</v>
      </c>
      <c r="AH15" s="409">
        <v>8318</v>
      </c>
      <c r="AI15" s="144">
        <v>0</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406"/>
      <c r="AG17" s="301">
        <f t="shared" si="0"/>
        <v>0</v>
      </c>
      <c r="AH17" s="406"/>
      <c r="AI17" s="144">
        <v>0</v>
      </c>
      <c r="AK17" s="411"/>
    </row>
    <row r="18" spans="1:37">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408" t="s">
        <v>64</v>
      </c>
      <c r="AG18" s="301"/>
      <c r="AH18" s="408" t="s">
        <v>64</v>
      </c>
      <c r="AK18" s="412"/>
    </row>
    <row r="19" spans="1:37" ht="25.5">
      <c r="A19" s="282" t="s">
        <v>70</v>
      </c>
      <c r="B19" s="413">
        <v>80088</v>
      </c>
      <c r="C19" s="413">
        <v>80103</v>
      </c>
      <c r="D19" s="413">
        <v>80103</v>
      </c>
      <c r="E19" s="413">
        <v>80126</v>
      </c>
      <c r="F19" s="413">
        <v>80126</v>
      </c>
      <c r="G19" s="413">
        <v>80202</v>
      </c>
      <c r="H19" s="413">
        <v>80227</v>
      </c>
      <c r="I19" s="413">
        <v>80227</v>
      </c>
      <c r="J19" s="413">
        <v>80297</v>
      </c>
      <c r="K19" s="413">
        <v>80297</v>
      </c>
      <c r="L19" s="413">
        <v>80354</v>
      </c>
      <c r="M19" s="413">
        <v>80384</v>
      </c>
      <c r="N19" s="413">
        <v>80433</v>
      </c>
      <c r="O19" s="413">
        <v>80472</v>
      </c>
      <c r="P19" s="413">
        <v>80505</v>
      </c>
      <c r="Q19" s="413">
        <v>80542</v>
      </c>
      <c r="R19" s="413">
        <v>80587</v>
      </c>
      <c r="S19" s="413">
        <v>80607</v>
      </c>
      <c r="T19" s="413">
        <v>80627</v>
      </c>
      <c r="U19" s="413">
        <v>80671</v>
      </c>
      <c r="V19" s="413">
        <v>80715</v>
      </c>
      <c r="W19" s="413">
        <v>80756</v>
      </c>
      <c r="X19" s="413">
        <v>80800</v>
      </c>
      <c r="Y19" s="413">
        <v>80848</v>
      </c>
      <c r="Z19" s="413">
        <v>80867</v>
      </c>
      <c r="AA19" s="413">
        <v>80867</v>
      </c>
      <c r="AB19" s="413">
        <v>80961</v>
      </c>
      <c r="AC19" s="413">
        <v>81020</v>
      </c>
      <c r="AD19" s="413">
        <v>81084</v>
      </c>
      <c r="AE19" s="413">
        <v>81143</v>
      </c>
      <c r="AF19" s="413">
        <v>81209</v>
      </c>
      <c r="AG19" s="301">
        <f t="shared" si="0"/>
        <v>1156</v>
      </c>
      <c r="AH19" s="413">
        <v>80053</v>
      </c>
      <c r="AI19" s="307">
        <v>1156</v>
      </c>
      <c r="AJ19" s="307"/>
      <c r="AK19" s="410"/>
    </row>
    <row r="20" spans="1:37" ht="25.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413">
        <v>7788</v>
      </c>
      <c r="AG20" s="301">
        <f t="shared" si="0"/>
        <v>0</v>
      </c>
      <c r="AH20" s="413">
        <v>7788</v>
      </c>
      <c r="AI20" s="144">
        <v>0</v>
      </c>
      <c r="AJ20" s="307"/>
      <c r="AK20" s="414"/>
    </row>
    <row r="21" spans="1:37">
      <c r="A21" s="282" t="s">
        <v>72</v>
      </c>
      <c r="B21" s="409">
        <v>192124</v>
      </c>
      <c r="C21" s="409">
        <v>192255</v>
      </c>
      <c r="D21" s="409">
        <v>192255</v>
      </c>
      <c r="E21" s="409">
        <v>192472</v>
      </c>
      <c r="F21" s="409">
        <v>192472</v>
      </c>
      <c r="G21" s="409">
        <v>192847</v>
      </c>
      <c r="H21" s="409">
        <v>193037</v>
      </c>
      <c r="I21" s="409">
        <v>193037</v>
      </c>
      <c r="J21" s="409">
        <v>193356</v>
      </c>
      <c r="K21" s="409">
        <v>193356</v>
      </c>
      <c r="L21" s="409">
        <v>193614</v>
      </c>
      <c r="M21" s="409">
        <v>193708</v>
      </c>
      <c r="N21" s="409">
        <v>193940</v>
      </c>
      <c r="O21" s="409">
        <v>194106</v>
      </c>
      <c r="P21" s="409">
        <v>194293</v>
      </c>
      <c r="Q21" s="409">
        <v>194490</v>
      </c>
      <c r="R21" s="409">
        <v>194857</v>
      </c>
      <c r="S21" s="409">
        <v>194857</v>
      </c>
      <c r="T21" s="409">
        <v>194965</v>
      </c>
      <c r="U21" s="409">
        <v>195140</v>
      </c>
      <c r="V21" s="409">
        <v>195312</v>
      </c>
      <c r="W21" s="409">
        <v>195478</v>
      </c>
      <c r="X21" s="409">
        <v>195666</v>
      </c>
      <c r="Y21" s="409">
        <v>195870</v>
      </c>
      <c r="Z21" s="409">
        <v>196015</v>
      </c>
      <c r="AA21" s="409">
        <v>196015</v>
      </c>
      <c r="AB21" s="409">
        <v>196404</v>
      </c>
      <c r="AC21" s="409">
        <v>196649</v>
      </c>
      <c r="AD21" s="409">
        <v>196773</v>
      </c>
      <c r="AE21" s="409">
        <v>196773</v>
      </c>
      <c r="AF21" s="409">
        <v>196773</v>
      </c>
      <c r="AG21" s="301">
        <f t="shared" si="0"/>
        <v>4830</v>
      </c>
      <c r="AH21" s="409">
        <v>191943</v>
      </c>
      <c r="AI21" s="144">
        <v>4830</v>
      </c>
      <c r="AJ21" s="307"/>
      <c r="AK21" s="415"/>
    </row>
    <row r="22" spans="1:37">
      <c r="A22" s="282" t="s">
        <v>73</v>
      </c>
      <c r="B22" s="409">
        <v>210768</v>
      </c>
      <c r="C22" s="409">
        <v>210838</v>
      </c>
      <c r="D22" s="409">
        <v>210838</v>
      </c>
      <c r="E22" s="409">
        <v>210996</v>
      </c>
      <c r="F22" s="409">
        <v>211093</v>
      </c>
      <c r="G22" s="409">
        <v>211174</v>
      </c>
      <c r="H22" s="409">
        <v>211264</v>
      </c>
      <c r="I22" s="409">
        <v>211264</v>
      </c>
      <c r="J22" s="409">
        <v>211461</v>
      </c>
      <c r="K22" s="409">
        <v>211461</v>
      </c>
      <c r="L22" s="409">
        <v>211629</v>
      </c>
      <c r="M22" s="409">
        <v>211680</v>
      </c>
      <c r="N22" s="409">
        <v>211779</v>
      </c>
      <c r="O22" s="409">
        <v>211881</v>
      </c>
      <c r="P22" s="409">
        <v>211971</v>
      </c>
      <c r="Q22" s="409">
        <v>212075</v>
      </c>
      <c r="R22" s="409">
        <v>212180</v>
      </c>
      <c r="S22" s="409">
        <v>212275</v>
      </c>
      <c r="T22" s="409">
        <v>212389</v>
      </c>
      <c r="U22" s="409">
        <v>212465</v>
      </c>
      <c r="V22" s="409">
        <v>212554</v>
      </c>
      <c r="W22" s="409">
        <v>212653</v>
      </c>
      <c r="X22" s="409">
        <v>212764</v>
      </c>
      <c r="Y22" s="409">
        <v>212865</v>
      </c>
      <c r="Z22" s="409">
        <v>212972</v>
      </c>
      <c r="AA22" s="409">
        <v>212972</v>
      </c>
      <c r="AB22" s="409">
        <v>213203</v>
      </c>
      <c r="AC22" s="409">
        <v>213319</v>
      </c>
      <c r="AD22" s="409">
        <v>213418</v>
      </c>
      <c r="AE22" s="409">
        <v>213532</v>
      </c>
      <c r="AF22" s="409">
        <v>213652</v>
      </c>
      <c r="AG22" s="301">
        <f t="shared" si="0"/>
        <v>2976</v>
      </c>
      <c r="AH22" s="409">
        <v>210676</v>
      </c>
      <c r="AI22" s="144">
        <v>2976</v>
      </c>
      <c r="AJ22" s="307"/>
      <c r="AK22" s="414"/>
    </row>
    <row r="23" spans="1:37">
      <c r="A23" s="309" t="s">
        <v>136</v>
      </c>
      <c r="B23" s="409">
        <v>11933</v>
      </c>
      <c r="C23" s="409">
        <v>11933</v>
      </c>
      <c r="D23" s="409">
        <v>11933</v>
      </c>
      <c r="E23" s="409">
        <v>11954</v>
      </c>
      <c r="F23" s="409">
        <v>11956</v>
      </c>
      <c r="G23" s="409">
        <v>11969</v>
      </c>
      <c r="H23" s="409">
        <v>11969</v>
      </c>
      <c r="I23" s="409">
        <v>11995</v>
      </c>
      <c r="J23" s="409">
        <v>12007</v>
      </c>
      <c r="K23" s="409">
        <v>12007</v>
      </c>
      <c r="L23" s="409">
        <v>12018</v>
      </c>
      <c r="M23" s="409">
        <v>12018</v>
      </c>
      <c r="N23" s="409">
        <v>12018</v>
      </c>
      <c r="O23" s="409">
        <v>12043</v>
      </c>
      <c r="P23" s="409">
        <v>12056</v>
      </c>
      <c r="Q23" s="409">
        <v>12070</v>
      </c>
      <c r="R23" s="409">
        <v>12082</v>
      </c>
      <c r="S23" s="409">
        <v>12082</v>
      </c>
      <c r="T23" s="409">
        <v>12085</v>
      </c>
      <c r="U23" s="409">
        <v>12095</v>
      </c>
      <c r="V23" s="409">
        <v>12110</v>
      </c>
      <c r="W23" s="409">
        <v>12123</v>
      </c>
      <c r="X23" s="409">
        <v>12135</v>
      </c>
      <c r="Y23" s="409">
        <v>12147</v>
      </c>
      <c r="Z23" s="409">
        <v>12147</v>
      </c>
      <c r="AA23" s="409">
        <v>12147</v>
      </c>
      <c r="AB23" s="409">
        <v>12161</v>
      </c>
      <c r="AC23" s="409">
        <v>12174</v>
      </c>
      <c r="AD23" s="409">
        <v>12188</v>
      </c>
      <c r="AE23" s="409">
        <v>12200</v>
      </c>
      <c r="AF23" s="409">
        <v>12212</v>
      </c>
      <c r="AG23" s="301">
        <f t="shared" si="0"/>
        <v>291</v>
      </c>
      <c r="AH23" s="409">
        <v>11921</v>
      </c>
      <c r="AI23" s="144">
        <v>291</v>
      </c>
      <c r="AJ23" s="307"/>
      <c r="AK23" s="414"/>
    </row>
    <row r="24" spans="1:37">
      <c r="A24" s="309" t="s">
        <v>139</v>
      </c>
      <c r="B24" s="409">
        <v>8201</v>
      </c>
      <c r="C24" s="409">
        <v>8201</v>
      </c>
      <c r="D24" s="409">
        <v>8201</v>
      </c>
      <c r="E24" s="409">
        <v>8228</v>
      </c>
      <c r="F24" s="409">
        <v>8230</v>
      </c>
      <c r="G24" s="409">
        <v>8237</v>
      </c>
      <c r="H24" s="409">
        <v>8237</v>
      </c>
      <c r="I24" s="409">
        <v>8255</v>
      </c>
      <c r="J24" s="409">
        <v>8261</v>
      </c>
      <c r="K24" s="409">
        <v>8261</v>
      </c>
      <c r="L24" s="409">
        <v>8275</v>
      </c>
      <c r="M24" s="409">
        <v>8281</v>
      </c>
      <c r="N24" s="409">
        <v>8290</v>
      </c>
      <c r="O24" s="409">
        <v>8315</v>
      </c>
      <c r="P24" s="409">
        <v>8335</v>
      </c>
      <c r="Q24" s="409">
        <v>8344</v>
      </c>
      <c r="R24" s="409">
        <v>8354</v>
      </c>
      <c r="S24" s="409">
        <v>8357</v>
      </c>
      <c r="T24" s="409">
        <v>8357</v>
      </c>
      <c r="U24" s="409">
        <v>8365</v>
      </c>
      <c r="V24" s="409">
        <v>8372</v>
      </c>
      <c r="W24" s="409">
        <v>8378</v>
      </c>
      <c r="X24" s="409">
        <v>8384</v>
      </c>
      <c r="Y24" s="409">
        <v>8390</v>
      </c>
      <c r="Z24" s="409">
        <v>8390</v>
      </c>
      <c r="AA24" s="409">
        <v>8390</v>
      </c>
      <c r="AB24" s="409">
        <v>8400</v>
      </c>
      <c r="AC24" s="409">
        <v>8408</v>
      </c>
      <c r="AD24" s="409">
        <v>8415</v>
      </c>
      <c r="AE24" s="409">
        <v>8423</v>
      </c>
      <c r="AF24" s="409">
        <v>8430</v>
      </c>
      <c r="AG24" s="301">
        <f t="shared" si="0"/>
        <v>239</v>
      </c>
      <c r="AH24" s="409">
        <v>8191</v>
      </c>
      <c r="AI24" s="144">
        <v>239</v>
      </c>
      <c r="AJ24" s="307"/>
      <c r="AK24" s="414"/>
    </row>
    <row r="25" spans="1:37">
      <c r="A25" s="309" t="s">
        <v>142</v>
      </c>
      <c r="B25" s="409">
        <v>3313</v>
      </c>
      <c r="C25" s="409">
        <v>3313</v>
      </c>
      <c r="D25" s="409">
        <v>3313</v>
      </c>
      <c r="E25" s="409">
        <v>3318</v>
      </c>
      <c r="F25" s="409">
        <v>3319</v>
      </c>
      <c r="G25" s="409">
        <v>3321</v>
      </c>
      <c r="H25" s="409">
        <v>3321</v>
      </c>
      <c r="I25" s="409">
        <v>3327</v>
      </c>
      <c r="J25" s="409">
        <v>3332</v>
      </c>
      <c r="K25" s="409">
        <v>3332</v>
      </c>
      <c r="L25" s="409">
        <v>3335</v>
      </c>
      <c r="M25" s="409">
        <v>3337</v>
      </c>
      <c r="N25" s="409">
        <v>3339</v>
      </c>
      <c r="O25" s="409">
        <v>3343</v>
      </c>
      <c r="P25" s="409">
        <v>3346</v>
      </c>
      <c r="Q25" s="409">
        <v>3352</v>
      </c>
      <c r="R25" s="409">
        <v>3358</v>
      </c>
      <c r="S25" s="409">
        <v>3358</v>
      </c>
      <c r="T25" s="409">
        <v>3358</v>
      </c>
      <c r="U25" s="409">
        <v>3361</v>
      </c>
      <c r="V25" s="409">
        <v>3365</v>
      </c>
      <c r="W25" s="409">
        <v>3368</v>
      </c>
      <c r="X25" s="409">
        <v>3368</v>
      </c>
      <c r="Y25" s="409">
        <v>3374</v>
      </c>
      <c r="Z25" s="409">
        <v>3374</v>
      </c>
      <c r="AA25" s="409">
        <v>3374</v>
      </c>
      <c r="AB25" s="409">
        <v>3377</v>
      </c>
      <c r="AC25" s="409">
        <v>3380</v>
      </c>
      <c r="AD25" s="409">
        <v>3384</v>
      </c>
      <c r="AE25" s="409">
        <v>3387</v>
      </c>
      <c r="AF25" s="409">
        <v>3390</v>
      </c>
      <c r="AG25" s="301">
        <f t="shared" si="0"/>
        <v>83</v>
      </c>
      <c r="AH25" s="409">
        <v>3307</v>
      </c>
      <c r="AI25" s="144">
        <v>83</v>
      </c>
      <c r="AJ25" s="307"/>
      <c r="AK25" s="414"/>
    </row>
    <row r="26" spans="1:37">
      <c r="A26" s="309" t="s">
        <v>145</v>
      </c>
      <c r="B26" s="409">
        <v>1852</v>
      </c>
      <c r="C26" s="409">
        <v>1852</v>
      </c>
      <c r="D26" s="409">
        <v>1852</v>
      </c>
      <c r="E26" s="409">
        <v>1857</v>
      </c>
      <c r="F26" s="409">
        <v>1858</v>
      </c>
      <c r="G26" s="409">
        <v>1859</v>
      </c>
      <c r="H26" s="409">
        <v>1859</v>
      </c>
      <c r="I26" s="409">
        <v>1863</v>
      </c>
      <c r="J26" s="409">
        <v>1865</v>
      </c>
      <c r="K26" s="409">
        <v>1865</v>
      </c>
      <c r="L26" s="409">
        <v>1867</v>
      </c>
      <c r="M26" s="409">
        <v>1869</v>
      </c>
      <c r="N26" s="409">
        <v>1872</v>
      </c>
      <c r="O26" s="409">
        <v>1874</v>
      </c>
      <c r="P26" s="409">
        <v>1876</v>
      </c>
      <c r="Q26" s="409">
        <v>1879</v>
      </c>
      <c r="R26" s="409">
        <v>1881</v>
      </c>
      <c r="S26" s="409">
        <v>1881</v>
      </c>
      <c r="T26" s="409">
        <v>1886</v>
      </c>
      <c r="U26" s="409">
        <v>1888</v>
      </c>
      <c r="V26" s="409">
        <v>1891</v>
      </c>
      <c r="W26" s="409">
        <v>1893</v>
      </c>
      <c r="X26" s="409">
        <v>1895</v>
      </c>
      <c r="Y26" s="409">
        <v>1896</v>
      </c>
      <c r="Z26" s="409">
        <v>1896</v>
      </c>
      <c r="AA26" s="409">
        <v>1896</v>
      </c>
      <c r="AB26" s="409">
        <v>1904</v>
      </c>
      <c r="AC26" s="409">
        <v>1908</v>
      </c>
      <c r="AD26" s="409">
        <v>1911</v>
      </c>
      <c r="AE26" s="409">
        <v>1913</v>
      </c>
      <c r="AF26" s="409">
        <v>1915</v>
      </c>
      <c r="AG26" s="301">
        <f t="shared" si="0"/>
        <v>65</v>
      </c>
      <c r="AH26" s="409">
        <v>1850</v>
      </c>
      <c r="AI26" s="144">
        <v>65</v>
      </c>
      <c r="AJ26" s="307"/>
      <c r="AK26" s="414"/>
    </row>
    <row r="27" spans="1:37">
      <c r="A27" s="309" t="s">
        <v>148</v>
      </c>
      <c r="B27" s="409">
        <v>13405</v>
      </c>
      <c r="C27" s="409">
        <v>13405</v>
      </c>
      <c r="D27" s="409">
        <v>13405</v>
      </c>
      <c r="E27" s="409">
        <v>13427</v>
      </c>
      <c r="F27" s="409">
        <v>13429</v>
      </c>
      <c r="G27" s="409">
        <v>13442</v>
      </c>
      <c r="H27" s="409">
        <v>13442</v>
      </c>
      <c r="I27" s="409">
        <v>13469</v>
      </c>
      <c r="J27" s="409">
        <v>13485</v>
      </c>
      <c r="K27" s="409">
        <v>13485</v>
      </c>
      <c r="L27" s="409">
        <v>13496</v>
      </c>
      <c r="M27" s="409">
        <v>13502</v>
      </c>
      <c r="N27" s="409">
        <v>13511</v>
      </c>
      <c r="O27" s="409">
        <v>13524</v>
      </c>
      <c r="P27" s="409">
        <v>13535</v>
      </c>
      <c r="Q27" s="409">
        <v>13548</v>
      </c>
      <c r="R27" s="409">
        <v>13551</v>
      </c>
      <c r="S27" s="409">
        <v>13562</v>
      </c>
      <c r="T27" s="409">
        <v>13578</v>
      </c>
      <c r="U27" s="409">
        <v>13592</v>
      </c>
      <c r="V27" s="409">
        <v>13607</v>
      </c>
      <c r="W27" s="409">
        <v>13620</v>
      </c>
      <c r="X27" s="409">
        <v>13630</v>
      </c>
      <c r="Y27" s="409">
        <v>13641</v>
      </c>
      <c r="Z27" s="409">
        <v>13641</v>
      </c>
      <c r="AA27" s="409">
        <v>13641</v>
      </c>
      <c r="AB27" s="409">
        <v>13660</v>
      </c>
      <c r="AC27" s="409">
        <v>13671</v>
      </c>
      <c r="AD27" s="409">
        <v>13683</v>
      </c>
      <c r="AE27" s="409">
        <v>13695</v>
      </c>
      <c r="AF27" s="409">
        <v>13707</v>
      </c>
      <c r="AG27" s="301">
        <f t="shared" si="0"/>
        <v>313</v>
      </c>
      <c r="AH27" s="409">
        <v>13394</v>
      </c>
      <c r="AI27" s="144">
        <v>313</v>
      </c>
      <c r="AJ27" s="307"/>
      <c r="AK27" s="414"/>
    </row>
    <row r="28" spans="1:37">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409">
        <v>1339</v>
      </c>
      <c r="AG28" s="301">
        <f t="shared" si="0"/>
        <v>0</v>
      </c>
      <c r="AH28" s="409">
        <v>1339</v>
      </c>
      <c r="AI28" s="144">
        <v>0</v>
      </c>
      <c r="AJ28" s="307"/>
      <c r="AK28" s="414"/>
    </row>
    <row r="29" spans="1:37">
      <c r="A29" s="309" t="s">
        <v>154</v>
      </c>
      <c r="B29" s="409">
        <v>895</v>
      </c>
      <c r="C29" s="409">
        <v>895</v>
      </c>
      <c r="D29" s="409">
        <v>895</v>
      </c>
      <c r="E29" s="409">
        <v>895</v>
      </c>
      <c r="F29" s="409">
        <v>895</v>
      </c>
      <c r="G29" s="409">
        <v>895</v>
      </c>
      <c r="H29" s="409">
        <v>895</v>
      </c>
      <c r="I29" s="409">
        <v>895</v>
      </c>
      <c r="J29" s="409">
        <v>895</v>
      </c>
      <c r="K29" s="409">
        <v>895</v>
      </c>
      <c r="L29" s="409">
        <v>895</v>
      </c>
      <c r="M29" s="409">
        <v>895</v>
      </c>
      <c r="N29" s="409">
        <v>895</v>
      </c>
      <c r="O29" s="409">
        <v>895</v>
      </c>
      <c r="P29" s="409">
        <v>895</v>
      </c>
      <c r="Q29" s="409">
        <v>895</v>
      </c>
      <c r="R29" s="409">
        <v>895</v>
      </c>
      <c r="S29" s="409">
        <v>895</v>
      </c>
      <c r="T29" s="409">
        <v>895</v>
      </c>
      <c r="U29" s="409">
        <v>895</v>
      </c>
      <c r="V29" s="409">
        <v>895</v>
      </c>
      <c r="W29" s="409">
        <v>895</v>
      </c>
      <c r="X29" s="409">
        <v>895</v>
      </c>
      <c r="Y29" s="409">
        <v>895</v>
      </c>
      <c r="Z29" s="409">
        <v>895</v>
      </c>
      <c r="AA29" s="409">
        <v>895</v>
      </c>
      <c r="AB29" s="409">
        <v>895</v>
      </c>
      <c r="AC29" s="409">
        <v>895</v>
      </c>
      <c r="AD29" s="409">
        <v>895</v>
      </c>
      <c r="AE29" s="409">
        <v>895</v>
      </c>
      <c r="AF29" s="409">
        <v>895</v>
      </c>
      <c r="AG29" s="301">
        <f t="shared" si="0"/>
        <v>1</v>
      </c>
      <c r="AH29" s="409">
        <v>894</v>
      </c>
      <c r="AI29" s="144">
        <v>1</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416" t="s">
        <v>78</v>
      </c>
      <c r="AG32" s="301"/>
      <c r="AH32" s="416" t="s">
        <v>78</v>
      </c>
    </row>
    <row r="33" spans="1:34" ht="25.5">
      <c r="A33" s="282" t="s">
        <v>80</v>
      </c>
      <c r="B33" s="416" t="s">
        <v>2733</v>
      </c>
      <c r="C33" s="416" t="s">
        <v>2733</v>
      </c>
      <c r="D33" s="416" t="s">
        <v>2733</v>
      </c>
      <c r="E33" s="416" t="s">
        <v>2733</v>
      </c>
      <c r="F33" s="416" t="s">
        <v>2733</v>
      </c>
      <c r="G33" s="416" t="s">
        <v>2733</v>
      </c>
      <c r="H33" s="416" t="s">
        <v>2733</v>
      </c>
      <c r="I33" s="416" t="s">
        <v>2733</v>
      </c>
      <c r="J33" s="416" t="s">
        <v>2733</v>
      </c>
      <c r="K33" s="416" t="s">
        <v>2733</v>
      </c>
      <c r="L33" s="416" t="s">
        <v>2733</v>
      </c>
      <c r="M33" s="416" t="s">
        <v>2733</v>
      </c>
      <c r="N33" s="416" t="s">
        <v>2733</v>
      </c>
      <c r="O33" s="416" t="s">
        <v>2733</v>
      </c>
      <c r="P33" s="416" t="s">
        <v>2733</v>
      </c>
      <c r="Q33" s="416" t="s">
        <v>2733</v>
      </c>
      <c r="R33" s="416" t="s">
        <v>2733</v>
      </c>
      <c r="S33" s="416" t="s">
        <v>2733</v>
      </c>
      <c r="T33" s="416" t="s">
        <v>2733</v>
      </c>
      <c r="U33" s="416" t="s">
        <v>2733</v>
      </c>
      <c r="V33" s="416" t="s">
        <v>2733</v>
      </c>
      <c r="W33" s="416" t="s">
        <v>2733</v>
      </c>
      <c r="X33" s="416" t="s">
        <v>2733</v>
      </c>
      <c r="Y33" s="416" t="s">
        <v>2733</v>
      </c>
      <c r="Z33" s="416" t="s">
        <v>2791</v>
      </c>
      <c r="AA33" s="416" t="s">
        <v>2791</v>
      </c>
      <c r="AB33" s="416" t="s">
        <v>2791</v>
      </c>
      <c r="AC33" s="416" t="s">
        <v>2791</v>
      </c>
      <c r="AD33" s="416" t="s">
        <v>2791</v>
      </c>
      <c r="AE33" s="416" t="s">
        <v>2791</v>
      </c>
      <c r="AF33" s="416" t="s">
        <v>2791</v>
      </c>
      <c r="AG33" s="301"/>
      <c r="AH33" s="416" t="s">
        <v>2734</v>
      </c>
    </row>
    <row r="34" spans="1:34" ht="15.75" thickBot="1">
      <c r="A34" s="310" t="s">
        <v>81</v>
      </c>
      <c r="B34" s="417" t="s">
        <v>2735</v>
      </c>
      <c r="C34" s="417" t="s">
        <v>2735</v>
      </c>
      <c r="D34" s="417" t="s">
        <v>2735</v>
      </c>
      <c r="E34" s="417" t="s">
        <v>2735</v>
      </c>
      <c r="F34" s="417" t="s">
        <v>2735</v>
      </c>
      <c r="G34" s="417" t="s">
        <v>2735</v>
      </c>
      <c r="H34" s="417" t="s">
        <v>2735</v>
      </c>
      <c r="I34" s="417" t="s">
        <v>2735</v>
      </c>
      <c r="J34" s="417" t="s">
        <v>2735</v>
      </c>
      <c r="K34" s="417" t="s">
        <v>2735</v>
      </c>
      <c r="L34" s="417" t="s">
        <v>2735</v>
      </c>
      <c r="M34" s="417" t="s">
        <v>2735</v>
      </c>
      <c r="N34" s="417" t="s">
        <v>2735</v>
      </c>
      <c r="O34" s="417" t="s">
        <v>2735</v>
      </c>
      <c r="P34" s="417" t="s">
        <v>2735</v>
      </c>
      <c r="Q34" s="417" t="s">
        <v>2735</v>
      </c>
      <c r="R34" s="417" t="s">
        <v>2735</v>
      </c>
      <c r="S34" s="417" t="s">
        <v>2735</v>
      </c>
      <c r="T34" s="417" t="s">
        <v>2735</v>
      </c>
      <c r="U34" s="417" t="s">
        <v>2735</v>
      </c>
      <c r="V34" s="417" t="s">
        <v>2735</v>
      </c>
      <c r="W34" s="417" t="s">
        <v>2735</v>
      </c>
      <c r="X34" s="417" t="s">
        <v>2735</v>
      </c>
      <c r="Y34" s="417" t="s">
        <v>2735</v>
      </c>
      <c r="Z34" s="417" t="s">
        <v>2735</v>
      </c>
      <c r="AA34" s="417" t="s">
        <v>2735</v>
      </c>
      <c r="AB34" s="417" t="s">
        <v>2735</v>
      </c>
      <c r="AC34" s="417" t="s">
        <v>2735</v>
      </c>
      <c r="AD34" s="417" t="s">
        <v>2735</v>
      </c>
      <c r="AE34" s="417" t="s">
        <v>2735</v>
      </c>
      <c r="AF34" s="417" t="s">
        <v>2735</v>
      </c>
      <c r="AG34" s="301"/>
      <c r="AH34" s="417" t="s">
        <v>2735</v>
      </c>
    </row>
    <row r="35" spans="1:34">
      <c r="AG35" s="211"/>
    </row>
    <row r="36" spans="1:34">
      <c r="AG36" s="211"/>
    </row>
  </sheetData>
  <mergeCells count="1">
    <mergeCell ref="A1:AH1"/>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EEB8-9944-42DF-A0F6-EFAEA7FAEB97}">
  <dimension ref="A1:AJ36"/>
  <sheetViews>
    <sheetView topLeftCell="O10"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16.570312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45444</v>
      </c>
      <c r="C2" s="281">
        <v>45445</v>
      </c>
      <c r="D2" s="281">
        <v>45446</v>
      </c>
      <c r="E2" s="281">
        <v>45447</v>
      </c>
      <c r="F2" s="281">
        <v>45448</v>
      </c>
      <c r="G2" s="281">
        <v>45449</v>
      </c>
      <c r="H2" s="281">
        <v>45450</v>
      </c>
      <c r="I2" s="281">
        <v>45451</v>
      </c>
      <c r="J2" s="281">
        <v>45452</v>
      </c>
      <c r="K2" s="281">
        <v>45453</v>
      </c>
      <c r="L2" s="281">
        <v>45454</v>
      </c>
      <c r="M2" s="281">
        <v>45455</v>
      </c>
      <c r="N2" s="281">
        <v>45456</v>
      </c>
      <c r="O2" s="281">
        <v>45457</v>
      </c>
      <c r="P2" s="281">
        <v>45458</v>
      </c>
      <c r="Q2" s="281">
        <v>45459</v>
      </c>
      <c r="R2" s="281">
        <v>45460</v>
      </c>
      <c r="S2" s="281">
        <v>45461</v>
      </c>
      <c r="T2" s="281">
        <v>45462</v>
      </c>
      <c r="U2" s="281">
        <v>45463</v>
      </c>
      <c r="V2" s="281">
        <v>45464</v>
      </c>
      <c r="W2" s="281">
        <v>45465</v>
      </c>
      <c r="X2" s="281">
        <v>45466</v>
      </c>
      <c r="Y2" s="281">
        <v>45467</v>
      </c>
      <c r="Z2" s="281">
        <v>45468</v>
      </c>
      <c r="AA2" s="281">
        <v>45469</v>
      </c>
      <c r="AB2" s="281">
        <v>45470</v>
      </c>
      <c r="AC2" s="281">
        <v>45471</v>
      </c>
      <c r="AD2" s="281">
        <v>45472</v>
      </c>
      <c r="AE2" s="281">
        <v>45473</v>
      </c>
      <c r="AF2" s="281"/>
      <c r="AG2" s="281">
        <v>45443</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05">
        <v>395923</v>
      </c>
      <c r="C4" s="405">
        <v>396180</v>
      </c>
      <c r="D4" s="405">
        <v>396435</v>
      </c>
      <c r="E4" s="405">
        <v>396695</v>
      </c>
      <c r="F4" s="405">
        <v>396948</v>
      </c>
      <c r="G4" s="405">
        <v>397207</v>
      </c>
      <c r="H4" s="405">
        <v>397461</v>
      </c>
      <c r="I4" s="405">
        <v>397717</v>
      </c>
      <c r="J4" s="405">
        <v>397958</v>
      </c>
      <c r="K4" s="405">
        <v>398204</v>
      </c>
      <c r="L4" s="405">
        <v>398464</v>
      </c>
      <c r="M4" s="405">
        <v>398721</v>
      </c>
      <c r="N4" s="405">
        <v>398986</v>
      </c>
      <c r="O4" s="405">
        <v>399251</v>
      </c>
      <c r="P4" s="405">
        <v>399486</v>
      </c>
      <c r="Q4" s="405">
        <v>399739</v>
      </c>
      <c r="R4" s="405">
        <v>399973</v>
      </c>
      <c r="S4" s="405">
        <v>400216</v>
      </c>
      <c r="T4" s="405">
        <v>400462</v>
      </c>
      <c r="U4" s="405">
        <v>400719</v>
      </c>
      <c r="V4" s="405">
        <v>400877</v>
      </c>
      <c r="W4" s="405">
        <v>401215</v>
      </c>
      <c r="X4" s="405">
        <v>401464</v>
      </c>
      <c r="Y4" s="405">
        <v>401727</v>
      </c>
      <c r="Z4" s="405">
        <v>401988</v>
      </c>
      <c r="AA4" s="405">
        <v>402251</v>
      </c>
      <c r="AB4" s="405">
        <v>402533</v>
      </c>
      <c r="AC4" s="405">
        <v>402799</v>
      </c>
      <c r="AD4" s="405">
        <v>403047</v>
      </c>
      <c r="AE4" s="405">
        <v>403279</v>
      </c>
      <c r="AF4" s="290"/>
      <c r="AG4" s="286" t="s">
        <v>2756</v>
      </c>
      <c r="AH4" s="288"/>
    </row>
    <row r="5" spans="1:36" ht="20.100000000000001" customHeight="1">
      <c r="A5" s="285" t="s">
        <v>55</v>
      </c>
      <c r="B5" s="405">
        <v>11100647</v>
      </c>
      <c r="C5" s="405">
        <v>11107551</v>
      </c>
      <c r="D5" s="405">
        <v>11114689</v>
      </c>
      <c r="E5" s="405">
        <v>11122064</v>
      </c>
      <c r="F5" s="405">
        <v>11128978</v>
      </c>
      <c r="G5" s="405">
        <v>11136197</v>
      </c>
      <c r="H5" s="405">
        <v>11143232</v>
      </c>
      <c r="I5" s="405">
        <v>11150145</v>
      </c>
      <c r="J5" s="405">
        <v>11156579</v>
      </c>
      <c r="K5" s="405">
        <v>11163759</v>
      </c>
      <c r="L5" s="405">
        <v>11171252</v>
      </c>
      <c r="M5" s="405">
        <v>11178728</v>
      </c>
      <c r="N5" s="405">
        <v>11186187</v>
      </c>
      <c r="O5" s="405">
        <v>11193341</v>
      </c>
      <c r="P5" s="405">
        <v>11199341</v>
      </c>
      <c r="Q5" s="405">
        <v>11205936</v>
      </c>
      <c r="R5" s="405">
        <v>11211982</v>
      </c>
      <c r="S5" s="405">
        <v>11218078</v>
      </c>
      <c r="T5" s="405">
        <v>11224202</v>
      </c>
      <c r="U5" s="405">
        <v>11230411</v>
      </c>
      <c r="V5" s="405">
        <v>11234174</v>
      </c>
      <c r="W5" s="405">
        <v>11242699</v>
      </c>
      <c r="X5" s="405">
        <v>11249309</v>
      </c>
      <c r="Y5" s="405">
        <v>11256585</v>
      </c>
      <c r="Z5" s="405">
        <v>11263848</v>
      </c>
      <c r="AA5" s="405">
        <v>11270998</v>
      </c>
      <c r="AB5" s="405">
        <v>11278587</v>
      </c>
      <c r="AC5" s="405">
        <v>11285520</v>
      </c>
      <c r="AD5" s="405">
        <v>11291845</v>
      </c>
      <c r="AE5" s="405">
        <v>11297653</v>
      </c>
      <c r="AF5" s="290"/>
      <c r="AG5" s="286" t="s">
        <v>2761</v>
      </c>
      <c r="AH5" s="288"/>
    </row>
    <row r="6" spans="1:36" ht="20.100000000000001" customHeight="1">
      <c r="A6" s="285" t="s">
        <v>56</v>
      </c>
      <c r="B6" s="405">
        <v>5231758</v>
      </c>
      <c r="C6" s="405">
        <v>5234872</v>
      </c>
      <c r="D6" s="405">
        <v>5238017</v>
      </c>
      <c r="E6" s="405">
        <v>5241245</v>
      </c>
      <c r="F6" s="405">
        <v>5244332</v>
      </c>
      <c r="G6" s="405">
        <v>5247625</v>
      </c>
      <c r="H6" s="405">
        <v>5250818</v>
      </c>
      <c r="I6" s="405">
        <v>5253796</v>
      </c>
      <c r="J6" s="405">
        <v>5256682</v>
      </c>
      <c r="K6" s="405">
        <v>5259875</v>
      </c>
      <c r="L6" s="405">
        <v>5263114</v>
      </c>
      <c r="M6" s="405">
        <v>5266171</v>
      </c>
      <c r="N6" s="405">
        <v>5269512</v>
      </c>
      <c r="O6" s="405">
        <v>5272678</v>
      </c>
      <c r="P6" s="405">
        <v>5275194</v>
      </c>
      <c r="Q6" s="405">
        <v>5277881</v>
      </c>
      <c r="R6" s="405">
        <v>5280332</v>
      </c>
      <c r="S6" s="405">
        <v>5282982</v>
      </c>
      <c r="T6" s="405">
        <v>5285651</v>
      </c>
      <c r="U6" s="405">
        <v>5288541</v>
      </c>
      <c r="V6" s="405">
        <v>5290211</v>
      </c>
      <c r="W6" s="405">
        <v>5293519</v>
      </c>
      <c r="X6" s="405">
        <v>5296225</v>
      </c>
      <c r="Y6" s="405">
        <v>5299356</v>
      </c>
      <c r="Z6" s="405">
        <v>5302533</v>
      </c>
      <c r="AA6" s="405">
        <v>5305689</v>
      </c>
      <c r="AB6" s="405">
        <v>5309133</v>
      </c>
      <c r="AC6" s="405">
        <v>5312156</v>
      </c>
      <c r="AD6" s="405">
        <v>5314822</v>
      </c>
      <c r="AE6" s="405">
        <v>5317452</v>
      </c>
      <c r="AF6" s="290"/>
      <c r="AG6" s="286" t="s">
        <v>2766</v>
      </c>
      <c r="AH6" s="288"/>
    </row>
    <row r="7" spans="1:36" ht="20.100000000000001" customHeight="1">
      <c r="A7" s="285" t="s">
        <v>57</v>
      </c>
      <c r="B7" s="405">
        <v>11003633</v>
      </c>
      <c r="C7" s="405">
        <v>11014611</v>
      </c>
      <c r="D7" s="405">
        <v>11025319</v>
      </c>
      <c r="E7" s="405">
        <v>11036094</v>
      </c>
      <c r="F7" s="405">
        <v>11047890</v>
      </c>
      <c r="G7" s="405">
        <v>11059257</v>
      </c>
      <c r="H7" s="405">
        <v>11070250</v>
      </c>
      <c r="I7" s="405">
        <v>11080576</v>
      </c>
      <c r="J7" s="405">
        <v>11089960</v>
      </c>
      <c r="K7" s="405">
        <v>11098366</v>
      </c>
      <c r="L7" s="405">
        <v>11107532</v>
      </c>
      <c r="M7" s="405">
        <v>11115912</v>
      </c>
      <c r="N7" s="405">
        <v>11124891</v>
      </c>
      <c r="O7" s="405">
        <v>11133052</v>
      </c>
      <c r="P7" s="405">
        <v>11140182</v>
      </c>
      <c r="Q7" s="405">
        <v>11140263</v>
      </c>
      <c r="R7" s="405">
        <v>11140339</v>
      </c>
      <c r="S7" s="405">
        <v>11140420</v>
      </c>
      <c r="T7" s="405">
        <v>11140501</v>
      </c>
      <c r="U7" s="405">
        <v>11140582</v>
      </c>
      <c r="V7" s="405">
        <v>11140629</v>
      </c>
      <c r="W7" s="405">
        <v>11140737</v>
      </c>
      <c r="X7" s="405">
        <v>11142243</v>
      </c>
      <c r="Y7" s="405">
        <v>11148691</v>
      </c>
      <c r="Z7" s="405">
        <v>11151982</v>
      </c>
      <c r="AA7" s="405">
        <v>11155061</v>
      </c>
      <c r="AB7" s="405">
        <v>11158203</v>
      </c>
      <c r="AC7" s="405">
        <v>11160369</v>
      </c>
      <c r="AD7" s="405">
        <v>11164189</v>
      </c>
      <c r="AE7" s="405">
        <v>11175849</v>
      </c>
      <c r="AF7" s="290"/>
      <c r="AG7" s="286" t="s">
        <v>2771</v>
      </c>
      <c r="AH7" s="288"/>
    </row>
    <row r="8" spans="1:36" ht="20.100000000000001" customHeight="1">
      <c r="A8" s="285" t="s">
        <v>58</v>
      </c>
      <c r="B8" s="405">
        <v>3653669</v>
      </c>
      <c r="C8" s="405">
        <v>3653669</v>
      </c>
      <c r="D8" s="405">
        <v>3653669</v>
      </c>
      <c r="E8" s="405">
        <v>3653669</v>
      </c>
      <c r="F8" s="405">
        <v>3653669</v>
      </c>
      <c r="G8" s="405">
        <v>3653669</v>
      </c>
      <c r="H8" s="405">
        <v>3653669</v>
      </c>
      <c r="I8" s="405">
        <v>3653929</v>
      </c>
      <c r="J8" s="405">
        <v>3654768</v>
      </c>
      <c r="K8" s="405">
        <v>3656950</v>
      </c>
      <c r="L8" s="405">
        <v>3658889</v>
      </c>
      <c r="M8" s="405">
        <v>3660870</v>
      </c>
      <c r="N8" s="405">
        <v>3661792</v>
      </c>
      <c r="O8" s="405">
        <v>3662193</v>
      </c>
      <c r="P8" s="405">
        <v>3662300</v>
      </c>
      <c r="Q8" s="405">
        <v>3665022</v>
      </c>
      <c r="R8" s="405">
        <v>3667537</v>
      </c>
      <c r="S8" s="405">
        <v>3670102</v>
      </c>
      <c r="T8" s="405">
        <v>3672648</v>
      </c>
      <c r="U8" s="405">
        <v>3675364</v>
      </c>
      <c r="V8" s="405">
        <v>3677088</v>
      </c>
      <c r="W8" s="405">
        <v>3681191</v>
      </c>
      <c r="X8" s="405">
        <v>3684430</v>
      </c>
      <c r="Y8" s="405">
        <v>3687503</v>
      </c>
      <c r="Z8" s="405">
        <v>3690718</v>
      </c>
      <c r="AA8" s="405">
        <v>3693637</v>
      </c>
      <c r="AB8" s="405">
        <v>3696714</v>
      </c>
      <c r="AC8" s="405">
        <v>3700089</v>
      </c>
      <c r="AD8" s="405">
        <v>3702898</v>
      </c>
      <c r="AE8" s="405">
        <v>3702898</v>
      </c>
      <c r="AF8" s="290"/>
      <c r="AG8" s="286" t="s">
        <v>2775</v>
      </c>
      <c r="AH8" s="288"/>
    </row>
    <row r="9" spans="1:36" ht="20.100000000000001" customHeight="1">
      <c r="A9" s="285" t="s">
        <v>59</v>
      </c>
      <c r="B9" s="405">
        <v>22016062</v>
      </c>
      <c r="C9" s="405">
        <v>22023439</v>
      </c>
      <c r="D9" s="405">
        <v>22030637</v>
      </c>
      <c r="E9" s="405">
        <v>22037779</v>
      </c>
      <c r="F9" s="405">
        <v>22045893</v>
      </c>
      <c r="G9" s="405">
        <v>22053536</v>
      </c>
      <c r="H9" s="405">
        <v>22060525</v>
      </c>
      <c r="I9" s="405">
        <v>22067818</v>
      </c>
      <c r="J9" s="405">
        <v>22075450</v>
      </c>
      <c r="K9" s="405">
        <v>22085253</v>
      </c>
      <c r="L9" s="405">
        <v>22094967</v>
      </c>
      <c r="M9" s="405">
        <v>22105042</v>
      </c>
      <c r="N9" s="405">
        <v>22112971</v>
      </c>
      <c r="O9" s="405">
        <v>22119870</v>
      </c>
      <c r="P9" s="405">
        <v>22125575</v>
      </c>
      <c r="Q9" s="405">
        <v>22131918</v>
      </c>
      <c r="R9" s="405">
        <v>22137953</v>
      </c>
      <c r="S9" s="405">
        <v>22143970</v>
      </c>
      <c r="T9" s="405">
        <v>22149835</v>
      </c>
      <c r="U9" s="405">
        <v>22155818</v>
      </c>
      <c r="V9" s="405">
        <v>22159546</v>
      </c>
      <c r="W9" s="405">
        <v>22167977</v>
      </c>
      <c r="X9" s="405">
        <v>22174709</v>
      </c>
      <c r="Y9" s="405">
        <v>22184044</v>
      </c>
      <c r="Z9" s="405">
        <v>22191942</v>
      </c>
      <c r="AA9" s="405">
        <v>22199678</v>
      </c>
      <c r="AB9" s="405">
        <v>22207804</v>
      </c>
      <c r="AC9" s="405">
        <v>22215497</v>
      </c>
      <c r="AD9" s="405">
        <v>22223164</v>
      </c>
      <c r="AE9" s="405">
        <v>22230667</v>
      </c>
      <c r="AF9" s="290"/>
      <c r="AG9" s="286" t="s">
        <v>2780</v>
      </c>
      <c r="AH9" s="288"/>
    </row>
    <row r="10" spans="1:36" ht="20.100000000000001" customHeight="1">
      <c r="A10" s="285" t="s">
        <v>60</v>
      </c>
      <c r="B10" s="405">
        <v>7419147</v>
      </c>
      <c r="C10" s="405">
        <v>7423130</v>
      </c>
      <c r="D10" s="405">
        <v>7427176</v>
      </c>
      <c r="E10" s="405">
        <v>7431329</v>
      </c>
      <c r="F10" s="405">
        <v>7435229</v>
      </c>
      <c r="G10" s="405">
        <v>7439314</v>
      </c>
      <c r="H10" s="405">
        <v>7443394</v>
      </c>
      <c r="I10" s="405">
        <v>7447004</v>
      </c>
      <c r="J10" s="405">
        <v>7450494</v>
      </c>
      <c r="K10" s="405">
        <v>7454203</v>
      </c>
      <c r="L10" s="405">
        <v>7458120</v>
      </c>
      <c r="M10" s="405">
        <v>7462211</v>
      </c>
      <c r="N10" s="405">
        <v>7466260</v>
      </c>
      <c r="O10" s="405">
        <v>7469889</v>
      </c>
      <c r="P10" s="405">
        <v>7472314</v>
      </c>
      <c r="Q10" s="405">
        <v>7474943</v>
      </c>
      <c r="R10" s="405">
        <v>7477299</v>
      </c>
      <c r="S10" s="405">
        <v>7479771</v>
      </c>
      <c r="T10" s="405">
        <v>7482278</v>
      </c>
      <c r="U10" s="405">
        <v>7485081</v>
      </c>
      <c r="V10" s="405">
        <v>7486811</v>
      </c>
      <c r="W10" s="405">
        <v>7490346</v>
      </c>
      <c r="X10" s="405">
        <v>7493217</v>
      </c>
      <c r="Y10" s="405">
        <v>7497175</v>
      </c>
      <c r="Z10" s="405">
        <v>7501187</v>
      </c>
      <c r="AA10" s="405">
        <v>7505260</v>
      </c>
      <c r="AB10" s="405">
        <v>7509694</v>
      </c>
      <c r="AC10" s="405">
        <v>7513600</v>
      </c>
      <c r="AD10" s="405">
        <v>7516667</v>
      </c>
      <c r="AE10" s="405">
        <v>7519566</v>
      </c>
      <c r="AF10" s="290"/>
      <c r="AG10" s="286" t="s">
        <v>2785</v>
      </c>
      <c r="AH10" s="288"/>
    </row>
    <row r="11" spans="1:36" ht="22.5" customHeight="1">
      <c r="A11" s="285" t="s">
        <v>61</v>
      </c>
      <c r="B11" s="405">
        <v>289578</v>
      </c>
      <c r="C11" s="405">
        <v>289695</v>
      </c>
      <c r="D11" s="405">
        <v>289824</v>
      </c>
      <c r="E11" s="405">
        <v>289959</v>
      </c>
      <c r="F11" s="405">
        <v>290087</v>
      </c>
      <c r="G11" s="405">
        <v>290217</v>
      </c>
      <c r="H11" s="405">
        <v>290341</v>
      </c>
      <c r="I11" s="405">
        <v>290446</v>
      </c>
      <c r="J11" s="405">
        <v>290553</v>
      </c>
      <c r="K11" s="405">
        <v>290678</v>
      </c>
      <c r="L11" s="405">
        <v>290809</v>
      </c>
      <c r="M11" s="405">
        <v>290937</v>
      </c>
      <c r="N11" s="405">
        <v>291071</v>
      </c>
      <c r="O11" s="405">
        <v>291199</v>
      </c>
      <c r="P11" s="405">
        <v>291291</v>
      </c>
      <c r="Q11" s="405">
        <v>291400</v>
      </c>
      <c r="R11" s="405">
        <v>291497</v>
      </c>
      <c r="S11" s="405">
        <v>291597</v>
      </c>
      <c r="T11" s="405">
        <v>291696</v>
      </c>
      <c r="U11" s="405">
        <v>291808</v>
      </c>
      <c r="V11" s="405">
        <v>291877</v>
      </c>
      <c r="W11" s="405">
        <v>292014</v>
      </c>
      <c r="X11" s="405">
        <v>292132</v>
      </c>
      <c r="Y11" s="405">
        <v>292274</v>
      </c>
      <c r="Z11" s="405">
        <v>292416</v>
      </c>
      <c r="AA11" s="405">
        <v>292559</v>
      </c>
      <c r="AB11" s="405">
        <v>292711</v>
      </c>
      <c r="AC11" s="405">
        <v>292847</v>
      </c>
      <c r="AD11" s="405">
        <v>292958</v>
      </c>
      <c r="AE11" s="405">
        <v>293072</v>
      </c>
      <c r="AF11" s="290"/>
      <c r="AG11" s="286" t="s">
        <v>2790</v>
      </c>
      <c r="AH11" s="288"/>
    </row>
    <row r="12" spans="1:36" s="294" customFormat="1" ht="18" customHeight="1">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c r="AE12" s="406"/>
      <c r="AF12" s="407"/>
      <c r="AG12" s="406"/>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4606</v>
      </c>
      <c r="C14" s="409">
        <v>4658</v>
      </c>
      <c r="D14" s="409">
        <v>4658</v>
      </c>
      <c r="E14" s="409">
        <v>4838</v>
      </c>
      <c r="F14" s="409">
        <v>4908</v>
      </c>
      <c r="G14" s="409">
        <v>4996</v>
      </c>
      <c r="H14" s="409">
        <v>5090</v>
      </c>
      <c r="I14" s="409">
        <v>5091</v>
      </c>
      <c r="J14" s="409">
        <v>5099</v>
      </c>
      <c r="K14" s="409">
        <v>5104.1000000000004</v>
      </c>
      <c r="L14" s="409">
        <v>5104.1000000000004</v>
      </c>
      <c r="M14" s="409">
        <v>5104.1000000000004</v>
      </c>
      <c r="N14" s="409">
        <v>5104.1000000000004</v>
      </c>
      <c r="O14" s="409">
        <v>5568</v>
      </c>
      <c r="P14" s="409">
        <v>5568</v>
      </c>
      <c r="Q14" s="409">
        <v>5568</v>
      </c>
      <c r="R14" s="409">
        <v>5568</v>
      </c>
      <c r="S14" s="409">
        <v>5568</v>
      </c>
      <c r="T14" s="409">
        <v>5568</v>
      </c>
      <c r="U14" s="409">
        <v>5568</v>
      </c>
      <c r="V14" s="409">
        <v>5568</v>
      </c>
      <c r="W14" s="409">
        <v>5847</v>
      </c>
      <c r="X14" s="409">
        <v>5920</v>
      </c>
      <c r="Y14" s="409">
        <v>5986</v>
      </c>
      <c r="Z14" s="409">
        <v>6060</v>
      </c>
      <c r="AA14" s="409">
        <v>6134</v>
      </c>
      <c r="AB14" s="409">
        <v>6209</v>
      </c>
      <c r="AC14" s="409">
        <v>6288</v>
      </c>
      <c r="AD14" s="409">
        <v>6337</v>
      </c>
      <c r="AE14" s="409">
        <v>6391</v>
      </c>
      <c r="AF14" s="301">
        <f>AE14-AG14</f>
        <v>1813</v>
      </c>
      <c r="AG14" s="409">
        <v>4578</v>
      </c>
      <c r="AH14" s="299">
        <v>1813</v>
      </c>
      <c r="AI14" s="299"/>
      <c r="AJ14" s="410"/>
    </row>
    <row r="15" spans="1:36" ht="25.5">
      <c r="A15" s="282" t="s">
        <v>67</v>
      </c>
      <c r="B15" s="409">
        <v>8318</v>
      </c>
      <c r="C15" s="409">
        <v>8318</v>
      </c>
      <c r="D15" s="409">
        <v>8318</v>
      </c>
      <c r="E15" s="409">
        <v>8320</v>
      </c>
      <c r="F15" s="409">
        <v>8320</v>
      </c>
      <c r="G15" s="409">
        <v>8321</v>
      </c>
      <c r="H15" s="409">
        <v>8321</v>
      </c>
      <c r="I15" s="409">
        <v>8321</v>
      </c>
      <c r="J15" s="409">
        <v>8321</v>
      </c>
      <c r="K15" s="409">
        <v>8321</v>
      </c>
      <c r="L15" s="409">
        <v>8321</v>
      </c>
      <c r="M15" s="409">
        <v>8321</v>
      </c>
      <c r="N15" s="409">
        <v>8321</v>
      </c>
      <c r="O15" s="409">
        <v>8321</v>
      </c>
      <c r="P15" s="409">
        <v>8321</v>
      </c>
      <c r="Q15" s="409">
        <v>8321</v>
      </c>
      <c r="R15" s="409">
        <v>8321</v>
      </c>
      <c r="S15" s="409">
        <v>8321</v>
      </c>
      <c r="T15" s="409">
        <v>8321</v>
      </c>
      <c r="U15" s="409">
        <v>8321</v>
      </c>
      <c r="V15" s="409">
        <v>8321</v>
      </c>
      <c r="W15" s="409">
        <v>8321</v>
      </c>
      <c r="X15" s="409">
        <v>8321</v>
      </c>
      <c r="Y15" s="409">
        <v>8321</v>
      </c>
      <c r="Z15" s="409">
        <v>8321</v>
      </c>
      <c r="AA15" s="409">
        <v>8321</v>
      </c>
      <c r="AB15" s="409">
        <v>8321</v>
      </c>
      <c r="AC15" s="409">
        <v>8321</v>
      </c>
      <c r="AD15" s="409">
        <v>8321</v>
      </c>
      <c r="AE15" s="409">
        <v>8321</v>
      </c>
      <c r="AF15" s="301">
        <f t="shared" ref="AF15:AF29" si="0">AE15-AG15</f>
        <v>3</v>
      </c>
      <c r="AG15" s="409">
        <v>8318</v>
      </c>
      <c r="AH15" s="144">
        <v>0</v>
      </c>
      <c r="AI15" s="299"/>
      <c r="AJ15" s="411"/>
    </row>
    <row r="16" spans="1:36" ht="25.5">
      <c r="A16" s="282" t="s">
        <v>68</v>
      </c>
      <c r="B16" s="409">
        <v>12874</v>
      </c>
      <c r="C16" s="409">
        <v>12874</v>
      </c>
      <c r="D16" s="409">
        <v>12874</v>
      </c>
      <c r="E16" s="409">
        <v>12874</v>
      </c>
      <c r="F16" s="409">
        <v>12874</v>
      </c>
      <c r="G16" s="409">
        <v>12874</v>
      </c>
      <c r="H16" s="409">
        <v>12878</v>
      </c>
      <c r="I16" s="409">
        <v>12878</v>
      </c>
      <c r="J16" s="409">
        <v>12878</v>
      </c>
      <c r="K16" s="409">
        <v>12878</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301">
        <f t="shared" si="0"/>
        <v>0</v>
      </c>
      <c r="AG17" s="406"/>
      <c r="AH17" s="144">
        <v>0</v>
      </c>
      <c r="AJ17" s="411"/>
    </row>
    <row r="18" spans="1:36">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301" t="e">
        <f t="shared" si="0"/>
        <v>#VALUE!</v>
      </c>
      <c r="AG18" s="408" t="s">
        <v>64</v>
      </c>
      <c r="AJ18" s="412"/>
    </row>
    <row r="19" spans="1:36" ht="25.5">
      <c r="A19" s="282" t="s">
        <v>70</v>
      </c>
      <c r="B19" s="413">
        <v>81228</v>
      </c>
      <c r="C19" s="413">
        <v>81284</v>
      </c>
      <c r="D19" s="413">
        <v>81284</v>
      </c>
      <c r="E19" s="413">
        <v>81355</v>
      </c>
      <c r="F19" s="413">
        <v>81415</v>
      </c>
      <c r="G19" s="413">
        <v>81415</v>
      </c>
      <c r="H19" s="413">
        <v>81537</v>
      </c>
      <c r="I19" s="413">
        <v>81541</v>
      </c>
      <c r="J19" s="413">
        <v>81592</v>
      </c>
      <c r="K19" s="413">
        <v>81632</v>
      </c>
      <c r="L19" s="413">
        <v>81648</v>
      </c>
      <c r="M19" s="413">
        <v>81674</v>
      </c>
      <c r="N19" s="413">
        <v>81722</v>
      </c>
      <c r="O19" s="413">
        <v>81768</v>
      </c>
      <c r="P19" s="413">
        <v>81768</v>
      </c>
      <c r="Q19" s="413">
        <v>81768</v>
      </c>
      <c r="R19" s="413">
        <v>81768</v>
      </c>
      <c r="S19" s="413">
        <v>81768</v>
      </c>
      <c r="T19" s="413">
        <v>81768</v>
      </c>
      <c r="U19" s="413">
        <v>81768</v>
      </c>
      <c r="V19" s="413">
        <v>81768</v>
      </c>
      <c r="W19" s="413">
        <v>82060</v>
      </c>
      <c r="X19" s="413">
        <v>82060</v>
      </c>
      <c r="Y19" s="413">
        <v>82152</v>
      </c>
      <c r="Z19" s="413">
        <v>82207</v>
      </c>
      <c r="AA19" s="413">
        <v>82272</v>
      </c>
      <c r="AB19" s="413">
        <v>82319</v>
      </c>
      <c r="AC19" s="413">
        <v>82374</v>
      </c>
      <c r="AD19" s="413">
        <v>82397</v>
      </c>
      <c r="AE19" s="413">
        <v>82428</v>
      </c>
      <c r="AF19" s="301">
        <f t="shared" si="0"/>
        <v>1219</v>
      </c>
      <c r="AG19" s="413">
        <v>81209</v>
      </c>
      <c r="AH19" s="307">
        <v>1219</v>
      </c>
      <c r="AI19" s="307"/>
      <c r="AJ19" s="410"/>
    </row>
    <row r="20" spans="1:36" ht="25.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301">
        <f t="shared" si="0"/>
        <v>0</v>
      </c>
      <c r="AG20" s="413">
        <v>7788</v>
      </c>
      <c r="AH20" s="144">
        <v>0</v>
      </c>
      <c r="AI20" s="307"/>
      <c r="AJ20" s="414"/>
    </row>
    <row r="21" spans="1:36">
      <c r="A21" s="282" t="s">
        <v>72</v>
      </c>
      <c r="B21" s="409">
        <v>196773</v>
      </c>
      <c r="C21" s="409">
        <v>196773</v>
      </c>
      <c r="D21" s="409">
        <v>196773</v>
      </c>
      <c r="E21" s="409">
        <v>196773</v>
      </c>
      <c r="F21" s="409">
        <v>196773</v>
      </c>
      <c r="G21" s="409">
        <v>196773</v>
      </c>
      <c r="H21" s="409">
        <v>196773</v>
      </c>
      <c r="I21" s="409">
        <v>196773</v>
      </c>
      <c r="J21" s="409">
        <v>196773</v>
      </c>
      <c r="K21" s="409">
        <v>196773</v>
      </c>
      <c r="L21" s="409">
        <v>196773</v>
      </c>
      <c r="M21" s="409">
        <v>196773</v>
      </c>
      <c r="N21" s="409">
        <v>196773</v>
      </c>
      <c r="O21" s="409">
        <v>196773</v>
      </c>
      <c r="P21" s="409">
        <v>196773</v>
      </c>
      <c r="Q21" s="409">
        <v>196773</v>
      </c>
      <c r="R21" s="409">
        <v>196773</v>
      </c>
      <c r="S21" s="409">
        <v>196773</v>
      </c>
      <c r="T21" s="409">
        <v>196773</v>
      </c>
      <c r="U21" s="409">
        <v>196773</v>
      </c>
      <c r="V21" s="409">
        <v>196773</v>
      </c>
      <c r="W21" s="409">
        <v>197641</v>
      </c>
      <c r="X21" s="409">
        <v>197641</v>
      </c>
      <c r="Y21" s="409">
        <v>198071</v>
      </c>
      <c r="Z21" s="409">
        <v>198361</v>
      </c>
      <c r="AA21" s="409">
        <v>198613</v>
      </c>
      <c r="AB21" s="409">
        <v>198864</v>
      </c>
      <c r="AC21" s="409">
        <v>199095</v>
      </c>
      <c r="AD21" s="409">
        <v>199277</v>
      </c>
      <c r="AE21" s="409">
        <v>199522</v>
      </c>
      <c r="AF21" s="301">
        <f t="shared" si="0"/>
        <v>2749</v>
      </c>
      <c r="AG21" s="409">
        <v>196773</v>
      </c>
      <c r="AH21" s="144">
        <v>2749</v>
      </c>
      <c r="AI21" s="307"/>
      <c r="AJ21" s="415"/>
    </row>
    <row r="22" spans="1:36">
      <c r="A22" s="282" t="s">
        <v>73</v>
      </c>
      <c r="B22" s="409">
        <v>213763</v>
      </c>
      <c r="C22" s="409">
        <v>213882</v>
      </c>
      <c r="D22" s="409">
        <v>213882</v>
      </c>
      <c r="E22" s="409">
        <v>214110</v>
      </c>
      <c r="F22" s="409">
        <v>214230</v>
      </c>
      <c r="G22" s="409">
        <v>214355</v>
      </c>
      <c r="H22" s="409">
        <v>214583</v>
      </c>
      <c r="I22" s="409">
        <v>214733</v>
      </c>
      <c r="J22" s="409">
        <v>214733</v>
      </c>
      <c r="K22" s="409">
        <v>214756</v>
      </c>
      <c r="L22" s="409">
        <v>214960</v>
      </c>
      <c r="M22" s="409">
        <v>215102</v>
      </c>
      <c r="N22" s="409">
        <v>215243</v>
      </c>
      <c r="O22" s="409">
        <v>215367</v>
      </c>
      <c r="P22" s="409">
        <v>215367</v>
      </c>
      <c r="Q22" s="409">
        <v>215367</v>
      </c>
      <c r="R22" s="409">
        <v>215367</v>
      </c>
      <c r="S22" s="409">
        <v>215367</v>
      </c>
      <c r="T22" s="409">
        <v>215367</v>
      </c>
      <c r="U22" s="409">
        <v>215367</v>
      </c>
      <c r="V22" s="409">
        <v>216030</v>
      </c>
      <c r="W22" s="409">
        <v>216123</v>
      </c>
      <c r="X22" s="409">
        <v>216261</v>
      </c>
      <c r="Y22" s="409">
        <v>216379</v>
      </c>
      <c r="Z22" s="409">
        <v>216535</v>
      </c>
      <c r="AA22" s="409">
        <v>216668</v>
      </c>
      <c r="AB22" s="409">
        <v>216802</v>
      </c>
      <c r="AC22" s="409">
        <v>216933</v>
      </c>
      <c r="AD22" s="409">
        <v>217052</v>
      </c>
      <c r="AE22" s="409">
        <v>217052</v>
      </c>
      <c r="AF22" s="301">
        <f t="shared" si="0"/>
        <v>3400</v>
      </c>
      <c r="AG22" s="409">
        <v>213652</v>
      </c>
      <c r="AH22" s="144">
        <v>3400</v>
      </c>
      <c r="AI22" s="307"/>
      <c r="AJ22" s="414"/>
    </row>
    <row r="23" spans="1:36">
      <c r="A23" s="309" t="s">
        <v>136</v>
      </c>
      <c r="B23" s="409">
        <v>12212</v>
      </c>
      <c r="C23" s="409">
        <v>12215</v>
      </c>
      <c r="D23" s="409">
        <v>12228</v>
      </c>
      <c r="E23" s="409">
        <v>12241</v>
      </c>
      <c r="F23" s="409">
        <v>12253</v>
      </c>
      <c r="G23" s="409">
        <v>12266</v>
      </c>
      <c r="H23" s="409">
        <v>12278</v>
      </c>
      <c r="I23" s="409">
        <v>12279</v>
      </c>
      <c r="J23" s="409">
        <v>12281</v>
      </c>
      <c r="K23" s="409">
        <v>12281</v>
      </c>
      <c r="L23" s="409">
        <v>12304</v>
      </c>
      <c r="M23" s="409">
        <v>12315</v>
      </c>
      <c r="N23" s="409">
        <v>12327</v>
      </c>
      <c r="O23" s="409">
        <v>12337</v>
      </c>
      <c r="P23" s="409">
        <v>12337</v>
      </c>
      <c r="Q23" s="409">
        <v>12337</v>
      </c>
      <c r="R23" s="409">
        <v>12337</v>
      </c>
      <c r="S23" s="409">
        <v>12337</v>
      </c>
      <c r="T23" s="409">
        <v>12337</v>
      </c>
      <c r="U23" s="409">
        <v>12337</v>
      </c>
      <c r="V23" s="409">
        <v>12341</v>
      </c>
      <c r="W23" s="409">
        <v>12341</v>
      </c>
      <c r="X23" s="409">
        <v>12343</v>
      </c>
      <c r="Y23" s="409">
        <v>12358</v>
      </c>
      <c r="Z23" s="409">
        <v>12370</v>
      </c>
      <c r="AA23" s="409">
        <v>12382</v>
      </c>
      <c r="AB23" s="409">
        <v>12395</v>
      </c>
      <c r="AC23" s="409">
        <v>12409</v>
      </c>
      <c r="AD23" s="409">
        <v>12412</v>
      </c>
      <c r="AE23" s="409">
        <v>12418</v>
      </c>
      <c r="AF23" s="301">
        <f t="shared" si="0"/>
        <v>206</v>
      </c>
      <c r="AG23" s="409">
        <v>12212</v>
      </c>
      <c r="AH23" s="144">
        <v>206</v>
      </c>
      <c r="AI23" s="307"/>
      <c r="AJ23" s="414"/>
    </row>
    <row r="24" spans="1:36">
      <c r="A24" s="309" t="s">
        <v>139</v>
      </c>
      <c r="B24" s="409">
        <v>8430</v>
      </c>
      <c r="C24" s="409">
        <v>8432</v>
      </c>
      <c r="D24" s="409">
        <v>8438</v>
      </c>
      <c r="E24" s="409">
        <v>8445</v>
      </c>
      <c r="F24" s="409">
        <v>8451</v>
      </c>
      <c r="G24" s="409">
        <v>8459</v>
      </c>
      <c r="H24" s="409">
        <v>8466</v>
      </c>
      <c r="I24" s="409">
        <v>8469</v>
      </c>
      <c r="J24" s="409">
        <v>8469</v>
      </c>
      <c r="K24" s="409">
        <v>8469</v>
      </c>
      <c r="L24" s="409">
        <v>8478</v>
      </c>
      <c r="M24" s="409">
        <v>8484</v>
      </c>
      <c r="N24" s="409">
        <v>8490</v>
      </c>
      <c r="O24" s="409">
        <v>8494</v>
      </c>
      <c r="P24" s="409">
        <v>8494</v>
      </c>
      <c r="Q24" s="409">
        <v>8494</v>
      </c>
      <c r="R24" s="409">
        <v>8494</v>
      </c>
      <c r="S24" s="409">
        <v>8494</v>
      </c>
      <c r="T24" s="409">
        <v>8494</v>
      </c>
      <c r="U24" s="409">
        <v>8494</v>
      </c>
      <c r="V24" s="409">
        <v>8494</v>
      </c>
      <c r="W24" s="409">
        <v>8494</v>
      </c>
      <c r="X24" s="409">
        <v>8494</v>
      </c>
      <c r="Y24" s="409">
        <v>8499</v>
      </c>
      <c r="Z24" s="409">
        <v>8505</v>
      </c>
      <c r="AA24" s="409">
        <v>8512</v>
      </c>
      <c r="AB24" s="409">
        <v>8517</v>
      </c>
      <c r="AC24" s="409">
        <v>8525</v>
      </c>
      <c r="AD24" s="409">
        <v>8525</v>
      </c>
      <c r="AE24" s="409">
        <v>8525</v>
      </c>
      <c r="AF24" s="301">
        <f t="shared" si="0"/>
        <v>95</v>
      </c>
      <c r="AG24" s="409">
        <v>8430</v>
      </c>
      <c r="AH24" s="144">
        <v>95</v>
      </c>
      <c r="AI24" s="307"/>
      <c r="AJ24" s="414"/>
    </row>
    <row r="25" spans="1:36">
      <c r="A25" s="309" t="s">
        <v>142</v>
      </c>
      <c r="B25" s="409">
        <v>3390</v>
      </c>
      <c r="C25" s="409">
        <v>3390</v>
      </c>
      <c r="D25" s="409">
        <v>3396</v>
      </c>
      <c r="E25" s="409">
        <v>3399</v>
      </c>
      <c r="F25" s="409">
        <v>3402</v>
      </c>
      <c r="G25" s="409">
        <v>3406</v>
      </c>
      <c r="H25" s="409">
        <v>3409</v>
      </c>
      <c r="I25" s="409">
        <v>3410</v>
      </c>
      <c r="J25" s="409">
        <v>3411</v>
      </c>
      <c r="K25" s="409">
        <v>3411</v>
      </c>
      <c r="L25" s="409">
        <v>3420</v>
      </c>
      <c r="M25" s="409">
        <v>3425</v>
      </c>
      <c r="N25" s="409">
        <v>3428</v>
      </c>
      <c r="O25" s="409">
        <v>3431</v>
      </c>
      <c r="P25" s="409">
        <v>3431</v>
      </c>
      <c r="Q25" s="409">
        <v>3431</v>
      </c>
      <c r="R25" s="409">
        <v>3431</v>
      </c>
      <c r="S25" s="409">
        <v>3431</v>
      </c>
      <c r="T25" s="409">
        <v>3431</v>
      </c>
      <c r="U25" s="409">
        <v>3431</v>
      </c>
      <c r="V25" s="409">
        <v>3431</v>
      </c>
      <c r="W25" s="409">
        <v>3431</v>
      </c>
      <c r="X25" s="409">
        <v>3431</v>
      </c>
      <c r="Y25" s="409">
        <v>3434</v>
      </c>
      <c r="Z25" s="409">
        <v>3437</v>
      </c>
      <c r="AA25" s="409">
        <v>3441</v>
      </c>
      <c r="AB25" s="409">
        <v>3444</v>
      </c>
      <c r="AC25" s="409">
        <v>3447</v>
      </c>
      <c r="AD25" s="409">
        <v>3447</v>
      </c>
      <c r="AE25" s="409">
        <v>3448</v>
      </c>
      <c r="AF25" s="301">
        <f t="shared" si="0"/>
        <v>58</v>
      </c>
      <c r="AG25" s="409">
        <v>3390</v>
      </c>
      <c r="AH25" s="144">
        <v>58</v>
      </c>
      <c r="AI25" s="307"/>
      <c r="AJ25" s="414"/>
    </row>
    <row r="26" spans="1:36">
      <c r="A26" s="309" t="s">
        <v>145</v>
      </c>
      <c r="B26" s="409">
        <v>1915</v>
      </c>
      <c r="C26" s="409">
        <v>1917</v>
      </c>
      <c r="D26" s="409">
        <v>1919</v>
      </c>
      <c r="E26" s="409">
        <v>1920</v>
      </c>
      <c r="F26" s="409">
        <v>1923</v>
      </c>
      <c r="G26" s="409">
        <v>1924</v>
      </c>
      <c r="H26" s="409">
        <v>1926</v>
      </c>
      <c r="I26" s="409">
        <v>1927</v>
      </c>
      <c r="J26" s="409">
        <v>1927</v>
      </c>
      <c r="K26" s="409">
        <v>1927</v>
      </c>
      <c r="L26" s="409">
        <v>1931</v>
      </c>
      <c r="M26" s="409">
        <v>1933</v>
      </c>
      <c r="N26" s="409">
        <v>1936</v>
      </c>
      <c r="O26" s="409">
        <v>1938</v>
      </c>
      <c r="P26" s="409">
        <v>1938</v>
      </c>
      <c r="Q26" s="409">
        <v>1938</v>
      </c>
      <c r="R26" s="409">
        <v>1938</v>
      </c>
      <c r="S26" s="409">
        <v>1938</v>
      </c>
      <c r="T26" s="409">
        <v>1938</v>
      </c>
      <c r="U26" s="409">
        <v>1938</v>
      </c>
      <c r="V26" s="409">
        <v>1938</v>
      </c>
      <c r="W26" s="409">
        <v>1938</v>
      </c>
      <c r="X26" s="409">
        <v>1939</v>
      </c>
      <c r="Y26" s="409">
        <v>1941</v>
      </c>
      <c r="Z26" s="409">
        <v>1943</v>
      </c>
      <c r="AA26" s="409">
        <v>1945</v>
      </c>
      <c r="AB26" s="409">
        <v>1947</v>
      </c>
      <c r="AC26" s="409">
        <v>1949</v>
      </c>
      <c r="AD26" s="409">
        <v>1949</v>
      </c>
      <c r="AE26" s="409">
        <v>1949</v>
      </c>
      <c r="AF26" s="301">
        <f t="shared" si="0"/>
        <v>34</v>
      </c>
      <c r="AG26" s="409">
        <v>1915</v>
      </c>
      <c r="AH26" s="144">
        <v>34</v>
      </c>
      <c r="AI26" s="307"/>
      <c r="AJ26" s="414"/>
    </row>
    <row r="27" spans="1:36">
      <c r="A27" s="309" t="s">
        <v>148</v>
      </c>
      <c r="B27" s="409">
        <v>13707</v>
      </c>
      <c r="C27" s="409">
        <v>13710</v>
      </c>
      <c r="D27" s="409">
        <v>13725</v>
      </c>
      <c r="E27" s="409">
        <v>13739</v>
      </c>
      <c r="F27" s="409">
        <v>13754</v>
      </c>
      <c r="G27" s="409">
        <v>13768</v>
      </c>
      <c r="H27" s="409">
        <v>13781</v>
      </c>
      <c r="I27" s="409">
        <v>13781</v>
      </c>
      <c r="J27" s="409">
        <v>13807</v>
      </c>
      <c r="K27" s="409">
        <v>13810</v>
      </c>
      <c r="L27" s="409">
        <v>13810</v>
      </c>
      <c r="M27" s="409">
        <v>13818</v>
      </c>
      <c r="N27" s="409">
        <v>13829</v>
      </c>
      <c r="O27" s="409">
        <v>13839</v>
      </c>
      <c r="P27" s="409">
        <v>13839</v>
      </c>
      <c r="Q27" s="409">
        <v>13839</v>
      </c>
      <c r="R27" s="409">
        <v>13839</v>
      </c>
      <c r="S27" s="409">
        <v>13839</v>
      </c>
      <c r="T27" s="409">
        <v>13839</v>
      </c>
      <c r="U27" s="409">
        <v>13839</v>
      </c>
      <c r="V27" s="409">
        <v>13842</v>
      </c>
      <c r="W27" s="409">
        <v>13842</v>
      </c>
      <c r="X27" s="409">
        <v>13845</v>
      </c>
      <c r="Y27" s="409">
        <v>13855</v>
      </c>
      <c r="Z27" s="409">
        <v>13865</v>
      </c>
      <c r="AA27" s="409">
        <v>13877</v>
      </c>
      <c r="AB27" s="409">
        <v>13889</v>
      </c>
      <c r="AC27" s="409">
        <v>13899</v>
      </c>
      <c r="AD27" s="409">
        <v>13899</v>
      </c>
      <c r="AE27" s="409">
        <v>13901</v>
      </c>
      <c r="AF27" s="301">
        <f t="shared" si="0"/>
        <v>194</v>
      </c>
      <c r="AG27" s="409">
        <v>13707</v>
      </c>
      <c r="AH27" s="144">
        <v>194</v>
      </c>
      <c r="AI27" s="307"/>
      <c r="AJ27" s="414"/>
    </row>
    <row r="28" spans="1:36">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301">
        <f t="shared" si="0"/>
        <v>0</v>
      </c>
      <c r="AG28" s="409">
        <v>1339</v>
      </c>
      <c r="AH28" s="144">
        <v>0</v>
      </c>
      <c r="AI28" s="307"/>
      <c r="AJ28" s="414"/>
    </row>
    <row r="29" spans="1:36">
      <c r="A29" s="309" t="s">
        <v>154</v>
      </c>
      <c r="B29" s="409">
        <v>895</v>
      </c>
      <c r="C29" s="409">
        <v>895</v>
      </c>
      <c r="D29" s="409">
        <v>895</v>
      </c>
      <c r="E29" s="409">
        <v>895</v>
      </c>
      <c r="F29" s="409">
        <v>895</v>
      </c>
      <c r="G29" s="409">
        <v>895</v>
      </c>
      <c r="H29" s="409">
        <v>895</v>
      </c>
      <c r="I29" s="409">
        <v>895</v>
      </c>
      <c r="J29" s="409">
        <v>895</v>
      </c>
      <c r="K29" s="409">
        <v>895</v>
      </c>
      <c r="L29" s="409">
        <v>895</v>
      </c>
      <c r="M29" s="409">
        <v>895</v>
      </c>
      <c r="N29" s="409">
        <v>895</v>
      </c>
      <c r="O29" s="409">
        <v>895</v>
      </c>
      <c r="P29" s="409">
        <v>895</v>
      </c>
      <c r="Q29" s="409">
        <v>895</v>
      </c>
      <c r="R29" s="409">
        <v>895</v>
      </c>
      <c r="S29" s="409">
        <v>895</v>
      </c>
      <c r="T29" s="409">
        <v>895</v>
      </c>
      <c r="U29" s="409">
        <v>895</v>
      </c>
      <c r="V29" s="409">
        <v>895</v>
      </c>
      <c r="W29" s="409">
        <v>895</v>
      </c>
      <c r="X29" s="409">
        <v>895</v>
      </c>
      <c r="Y29" s="409">
        <v>895</v>
      </c>
      <c r="Z29" s="409">
        <v>895</v>
      </c>
      <c r="AA29" s="409">
        <v>895</v>
      </c>
      <c r="AB29" s="409">
        <v>895</v>
      </c>
      <c r="AC29" s="409">
        <v>895</v>
      </c>
      <c r="AD29" s="409">
        <v>895</v>
      </c>
      <c r="AE29" s="409">
        <v>895</v>
      </c>
      <c r="AF29" s="301">
        <f t="shared" si="0"/>
        <v>0</v>
      </c>
      <c r="AG29" s="409">
        <v>895</v>
      </c>
      <c r="AH29" s="144">
        <v>0</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301"/>
      <c r="AG32" s="416" t="s">
        <v>78</v>
      </c>
    </row>
    <row r="33" spans="1:33" ht="25.5">
      <c r="A33" s="282" t="s">
        <v>80</v>
      </c>
      <c r="B33" s="416" t="s">
        <v>2791</v>
      </c>
      <c r="C33" s="416" t="s">
        <v>2791</v>
      </c>
      <c r="D33" s="416" t="s">
        <v>2791</v>
      </c>
      <c r="E33" s="416" t="s">
        <v>2791</v>
      </c>
      <c r="F33" s="416" t="s">
        <v>2791</v>
      </c>
      <c r="G33" s="416" t="s">
        <v>2791</v>
      </c>
      <c r="H33" s="416" t="s">
        <v>2791</v>
      </c>
      <c r="I33" s="416" t="s">
        <v>2791</v>
      </c>
      <c r="J33" s="416" t="s">
        <v>2791</v>
      </c>
      <c r="K33" s="416" t="s">
        <v>2791</v>
      </c>
      <c r="L33" s="416" t="s">
        <v>2791</v>
      </c>
      <c r="M33" s="416" t="s">
        <v>2791</v>
      </c>
      <c r="N33" s="416" t="s">
        <v>2791</v>
      </c>
      <c r="O33" s="416" t="s">
        <v>2791</v>
      </c>
      <c r="P33" s="416" t="s">
        <v>2791</v>
      </c>
      <c r="Q33" s="416" t="s">
        <v>2791</v>
      </c>
      <c r="R33" s="416" t="s">
        <v>2791</v>
      </c>
      <c r="S33" s="416" t="s">
        <v>2791</v>
      </c>
      <c r="T33" s="416" t="s">
        <v>2791</v>
      </c>
      <c r="U33" s="416" t="s">
        <v>2791</v>
      </c>
      <c r="V33" s="416" t="s">
        <v>2791</v>
      </c>
      <c r="W33" s="416" t="s">
        <v>2791</v>
      </c>
      <c r="X33" s="416" t="s">
        <v>2791</v>
      </c>
      <c r="Y33" s="416" t="s">
        <v>2791</v>
      </c>
      <c r="Z33" s="416" t="s">
        <v>2791</v>
      </c>
      <c r="AA33" s="416" t="s">
        <v>2791</v>
      </c>
      <c r="AB33" s="416" t="s">
        <v>2791</v>
      </c>
      <c r="AC33" s="416" t="s">
        <v>2791</v>
      </c>
      <c r="AD33" s="416" t="s">
        <v>2791</v>
      </c>
      <c r="AE33" s="416" t="s">
        <v>2791</v>
      </c>
      <c r="AF33" s="301"/>
      <c r="AG33" s="416" t="s">
        <v>2791</v>
      </c>
    </row>
    <row r="34" spans="1:33" ht="15.75" thickBot="1">
      <c r="A34" s="310" t="s">
        <v>81</v>
      </c>
      <c r="B34" s="417" t="s">
        <v>2735</v>
      </c>
      <c r="C34" s="417" t="s">
        <v>2735</v>
      </c>
      <c r="D34" s="417" t="s">
        <v>2735</v>
      </c>
      <c r="E34" s="417" t="s">
        <v>2735</v>
      </c>
      <c r="F34" s="417" t="s">
        <v>2792</v>
      </c>
      <c r="G34" s="417" t="s">
        <v>2792</v>
      </c>
      <c r="H34" s="417" t="s">
        <v>2792</v>
      </c>
      <c r="I34" s="417" t="s">
        <v>2792</v>
      </c>
      <c r="J34" s="417" t="s">
        <v>2792</v>
      </c>
      <c r="K34" s="417" t="s">
        <v>2792</v>
      </c>
      <c r="L34" s="417" t="s">
        <v>2792</v>
      </c>
      <c r="M34" s="417" t="s">
        <v>2792</v>
      </c>
      <c r="N34" s="417" t="s">
        <v>2792</v>
      </c>
      <c r="O34" s="417" t="s">
        <v>2792</v>
      </c>
      <c r="P34" s="417" t="s">
        <v>2792</v>
      </c>
      <c r="Q34" s="417" t="s">
        <v>2792</v>
      </c>
      <c r="R34" s="417" t="s">
        <v>2792</v>
      </c>
      <c r="S34" s="417" t="s">
        <v>2792</v>
      </c>
      <c r="T34" s="417" t="s">
        <v>2792</v>
      </c>
      <c r="U34" s="417" t="s">
        <v>2792</v>
      </c>
      <c r="V34" s="417" t="s">
        <v>2792</v>
      </c>
      <c r="W34" s="417" t="s">
        <v>2792</v>
      </c>
      <c r="X34" s="417" t="s">
        <v>2792</v>
      </c>
      <c r="Y34" s="417" t="s">
        <v>2792</v>
      </c>
      <c r="Z34" s="417" t="s">
        <v>2792</v>
      </c>
      <c r="AA34" s="417" t="s">
        <v>2792</v>
      </c>
      <c r="AB34" s="417" t="s">
        <v>2792</v>
      </c>
      <c r="AC34" s="417" t="s">
        <v>2792</v>
      </c>
      <c r="AD34" s="417" t="s">
        <v>2792</v>
      </c>
      <c r="AE34" s="417" t="s">
        <v>2792</v>
      </c>
      <c r="AF34" s="301"/>
      <c r="AG34" s="417" t="s">
        <v>2735</v>
      </c>
    </row>
    <row r="35" spans="1:33">
      <c r="AF35" s="211"/>
    </row>
    <row r="36" spans="1:33">
      <c r="AF36" s="211"/>
    </row>
  </sheetData>
  <mergeCells count="1">
    <mergeCell ref="A1:AG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62FDB-257F-412D-9658-5E3878D53537}">
  <dimension ref="A1:AK36"/>
  <sheetViews>
    <sheetView topLeftCell="I16" workbookViewId="0">
      <selection activeCell="A22" sqref="A22:XFD22"/>
    </sheetView>
  </sheetViews>
  <sheetFormatPr defaultRowHeight="15"/>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45474</v>
      </c>
      <c r="C2" s="281">
        <v>45475</v>
      </c>
      <c r="D2" s="281">
        <v>45476</v>
      </c>
      <c r="E2" s="281">
        <v>45477</v>
      </c>
      <c r="F2" s="281">
        <v>45478</v>
      </c>
      <c r="G2" s="281">
        <v>45479</v>
      </c>
      <c r="H2" s="281">
        <v>45480</v>
      </c>
      <c r="I2" s="281">
        <v>45481</v>
      </c>
      <c r="J2" s="281">
        <v>45482</v>
      </c>
      <c r="K2" s="281">
        <v>45483</v>
      </c>
      <c r="L2" s="281">
        <v>45484</v>
      </c>
      <c r="M2" s="281">
        <v>45485</v>
      </c>
      <c r="N2" s="281">
        <v>45486</v>
      </c>
      <c r="O2" s="281">
        <v>45487</v>
      </c>
      <c r="P2" s="281">
        <v>45488</v>
      </c>
      <c r="Q2" s="281">
        <v>45489</v>
      </c>
      <c r="R2" s="281">
        <v>45490</v>
      </c>
      <c r="S2" s="281">
        <v>45491</v>
      </c>
      <c r="T2" s="281">
        <v>45492</v>
      </c>
      <c r="U2" s="281">
        <v>45493</v>
      </c>
      <c r="V2" s="281">
        <v>45494</v>
      </c>
      <c r="W2" s="281">
        <v>45495</v>
      </c>
      <c r="X2" s="281">
        <v>45496</v>
      </c>
      <c r="Y2" s="281">
        <v>45497</v>
      </c>
      <c r="Z2" s="281">
        <v>45498</v>
      </c>
      <c r="AA2" s="281">
        <v>45499</v>
      </c>
      <c r="AB2" s="281">
        <v>45500</v>
      </c>
      <c r="AC2" s="281">
        <v>45501</v>
      </c>
      <c r="AD2" s="281">
        <v>45502</v>
      </c>
      <c r="AE2" s="281">
        <v>45503</v>
      </c>
      <c r="AF2" s="281">
        <v>45504</v>
      </c>
      <c r="AG2" s="281"/>
      <c r="AH2" s="281">
        <v>45473</v>
      </c>
    </row>
    <row r="3" spans="1:37" ht="5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c r="A4" s="285" t="s">
        <v>54</v>
      </c>
      <c r="B4" s="405">
        <v>403530</v>
      </c>
      <c r="C4" s="405">
        <v>403799</v>
      </c>
      <c r="D4" s="405">
        <v>404065</v>
      </c>
      <c r="E4" s="405">
        <v>404330</v>
      </c>
      <c r="F4" s="405">
        <v>404660</v>
      </c>
      <c r="G4" s="405">
        <v>404841</v>
      </c>
      <c r="H4" s="405">
        <v>405102</v>
      </c>
      <c r="I4" s="405">
        <v>405362</v>
      </c>
      <c r="J4" s="405">
        <v>405623</v>
      </c>
      <c r="K4" s="405">
        <v>405896</v>
      </c>
      <c r="L4" s="405">
        <v>406158</v>
      </c>
      <c r="M4" s="405">
        <v>406521</v>
      </c>
      <c r="N4" s="405">
        <v>406682</v>
      </c>
      <c r="O4" s="405">
        <v>406934</v>
      </c>
      <c r="P4" s="405">
        <v>407204</v>
      </c>
      <c r="Q4" s="405">
        <v>407468</v>
      </c>
      <c r="R4" s="405">
        <v>407738</v>
      </c>
      <c r="S4" s="405">
        <v>407999</v>
      </c>
      <c r="T4" s="420">
        <v>408249</v>
      </c>
      <c r="U4" s="405">
        <v>408500</v>
      </c>
      <c r="V4" s="405">
        <v>408758</v>
      </c>
      <c r="W4" s="405">
        <v>409026</v>
      </c>
      <c r="X4" s="405">
        <v>409285</v>
      </c>
      <c r="Y4" s="405">
        <v>409551</v>
      </c>
      <c r="Z4" s="405">
        <v>409814</v>
      </c>
      <c r="AA4" s="405">
        <v>410155</v>
      </c>
      <c r="AB4" s="405">
        <v>410342</v>
      </c>
      <c r="AC4" s="405">
        <v>410587</v>
      </c>
      <c r="AD4" s="405">
        <v>410850</v>
      </c>
      <c r="AE4" s="405">
        <v>411109</v>
      </c>
      <c r="AF4" s="405">
        <v>411374</v>
      </c>
      <c r="AG4" s="290"/>
      <c r="AH4" s="405">
        <v>403279</v>
      </c>
      <c r="AI4" s="288"/>
    </row>
    <row r="5" spans="1:37">
      <c r="A5" s="285" t="s">
        <v>55</v>
      </c>
      <c r="B5" s="405">
        <v>11304451</v>
      </c>
      <c r="C5" s="405">
        <v>11311624</v>
      </c>
      <c r="D5" s="405">
        <v>11318671</v>
      </c>
      <c r="E5" s="405">
        <v>11325599</v>
      </c>
      <c r="F5" s="405">
        <v>11324077</v>
      </c>
      <c r="G5" s="405">
        <v>11338366</v>
      </c>
      <c r="H5" s="405">
        <v>11345054</v>
      </c>
      <c r="I5" s="405">
        <v>11352329</v>
      </c>
      <c r="J5" s="405">
        <v>11359800</v>
      </c>
      <c r="K5" s="405">
        <v>11367629</v>
      </c>
      <c r="L5" s="405">
        <v>11374832</v>
      </c>
      <c r="M5" s="405">
        <v>11385526</v>
      </c>
      <c r="N5" s="405">
        <v>11390269</v>
      </c>
      <c r="O5" s="405">
        <v>11397473</v>
      </c>
      <c r="P5" s="405">
        <v>11405284</v>
      </c>
      <c r="Q5" s="405">
        <v>11412910</v>
      </c>
      <c r="R5" s="405">
        <v>11420697</v>
      </c>
      <c r="S5" s="405">
        <v>11428466</v>
      </c>
      <c r="T5" s="420">
        <v>11435530</v>
      </c>
      <c r="U5" s="405">
        <v>11442593</v>
      </c>
      <c r="V5" s="405">
        <v>11449669</v>
      </c>
      <c r="W5" s="405">
        <v>11457428</v>
      </c>
      <c r="X5" s="405">
        <v>11464726</v>
      </c>
      <c r="Y5" s="405">
        <v>11471884</v>
      </c>
      <c r="Z5" s="405">
        <v>11478977</v>
      </c>
      <c r="AA5" s="405">
        <v>11487966</v>
      </c>
      <c r="AB5" s="405">
        <v>11492630</v>
      </c>
      <c r="AC5" s="405">
        <v>11498677</v>
      </c>
      <c r="AD5" s="405">
        <v>11505525</v>
      </c>
      <c r="AE5" s="405">
        <v>11512265</v>
      </c>
      <c r="AF5" s="405">
        <v>11519419</v>
      </c>
      <c r="AG5" s="290"/>
      <c r="AH5" s="405">
        <v>11297653</v>
      </c>
      <c r="AI5" s="288"/>
    </row>
    <row r="6" spans="1:37">
      <c r="A6" s="285" t="s">
        <v>56</v>
      </c>
      <c r="B6" s="405">
        <v>5320354</v>
      </c>
      <c r="C6" s="405">
        <v>5323564</v>
      </c>
      <c r="D6" s="405">
        <v>5326810</v>
      </c>
      <c r="E6" s="405">
        <v>5329913</v>
      </c>
      <c r="F6" s="405">
        <v>5333566</v>
      </c>
      <c r="G6" s="405">
        <v>5335358</v>
      </c>
      <c r="H6" s="405">
        <v>5338082</v>
      </c>
      <c r="I6" s="405">
        <v>5340933</v>
      </c>
      <c r="J6" s="405">
        <v>5343828</v>
      </c>
      <c r="K6" s="405">
        <v>5346855</v>
      </c>
      <c r="L6" s="405">
        <v>5349681</v>
      </c>
      <c r="M6" s="405">
        <v>5353569</v>
      </c>
      <c r="N6" s="405">
        <v>5355063</v>
      </c>
      <c r="O6" s="405">
        <v>5357525</v>
      </c>
      <c r="P6" s="405">
        <v>5360594</v>
      </c>
      <c r="Q6" s="405">
        <v>5363491</v>
      </c>
      <c r="R6" s="405">
        <v>5366418</v>
      </c>
      <c r="S6" s="405">
        <v>5369318</v>
      </c>
      <c r="T6" s="420">
        <v>5371981</v>
      </c>
      <c r="U6" s="405">
        <v>5374644</v>
      </c>
      <c r="V6" s="405">
        <v>5377493</v>
      </c>
      <c r="W6" s="405">
        <v>5380513</v>
      </c>
      <c r="X6" s="405">
        <v>5383433</v>
      </c>
      <c r="Y6" s="405">
        <v>5386567</v>
      </c>
      <c r="Z6" s="405">
        <v>5389550</v>
      </c>
      <c r="AA6" s="405">
        <v>5393384</v>
      </c>
      <c r="AB6" s="405">
        <v>5395244</v>
      </c>
      <c r="AC6" s="405">
        <v>5397859</v>
      </c>
      <c r="AD6" s="405">
        <v>5400851</v>
      </c>
      <c r="AE6" s="405">
        <v>5404088</v>
      </c>
      <c r="AF6" s="405">
        <v>5407400</v>
      </c>
      <c r="AG6" s="290"/>
      <c r="AH6" s="405">
        <v>5317452</v>
      </c>
      <c r="AI6" s="288"/>
    </row>
    <row r="7" spans="1:37">
      <c r="A7" s="285" t="s">
        <v>57</v>
      </c>
      <c r="B7" s="405">
        <v>11187738</v>
      </c>
      <c r="C7" s="405">
        <v>11198668</v>
      </c>
      <c r="D7" s="405">
        <v>11209781</v>
      </c>
      <c r="E7" s="405">
        <v>11221018</v>
      </c>
      <c r="F7" s="405">
        <v>11233223</v>
      </c>
      <c r="G7" s="405">
        <v>11239810</v>
      </c>
      <c r="H7" s="405">
        <v>11251171</v>
      </c>
      <c r="I7" s="405">
        <v>11260365</v>
      </c>
      <c r="J7" s="405">
        <v>11270372</v>
      </c>
      <c r="K7" s="405">
        <v>11280112</v>
      </c>
      <c r="L7" s="405">
        <v>11288835</v>
      </c>
      <c r="M7" s="405">
        <v>11302433</v>
      </c>
      <c r="N7" s="405">
        <v>11308666</v>
      </c>
      <c r="O7" s="405">
        <v>11308824</v>
      </c>
      <c r="P7" s="405">
        <v>11310149</v>
      </c>
      <c r="Q7" s="405">
        <v>11310298</v>
      </c>
      <c r="R7" s="405">
        <v>11310404</v>
      </c>
      <c r="S7" s="405">
        <v>11310482</v>
      </c>
      <c r="T7" s="420">
        <v>11310562</v>
      </c>
      <c r="U7" s="405">
        <v>11310641</v>
      </c>
      <c r="V7" s="405">
        <v>11314144</v>
      </c>
      <c r="W7" s="405">
        <v>11316392</v>
      </c>
      <c r="X7" s="405">
        <v>11317966</v>
      </c>
      <c r="Y7" s="405">
        <v>11318509</v>
      </c>
      <c r="Z7" s="405">
        <v>11319377</v>
      </c>
      <c r="AA7" s="405">
        <v>11322130</v>
      </c>
      <c r="AB7" s="405">
        <v>11323046</v>
      </c>
      <c r="AC7" s="405">
        <v>11332575</v>
      </c>
      <c r="AD7" s="405">
        <v>11342425</v>
      </c>
      <c r="AE7" s="405">
        <v>11352147</v>
      </c>
      <c r="AF7" s="405">
        <v>11366365</v>
      </c>
      <c r="AG7" s="290"/>
      <c r="AH7" s="405">
        <v>11175849</v>
      </c>
      <c r="AI7" s="288"/>
    </row>
    <row r="8" spans="1:37">
      <c r="A8" s="285" t="s">
        <v>58</v>
      </c>
      <c r="B8" s="405">
        <v>3702898</v>
      </c>
      <c r="C8" s="405">
        <v>3702914</v>
      </c>
      <c r="D8" s="405">
        <v>3702914</v>
      </c>
      <c r="E8" s="405">
        <v>3702953</v>
      </c>
      <c r="F8" s="405">
        <v>3703425</v>
      </c>
      <c r="G8" s="405">
        <v>3703425</v>
      </c>
      <c r="H8" s="405">
        <v>3703425</v>
      </c>
      <c r="I8" s="405">
        <v>3705449</v>
      </c>
      <c r="J8" s="405">
        <v>3706606</v>
      </c>
      <c r="K8" s="405">
        <v>3707860</v>
      </c>
      <c r="L8" s="405">
        <v>3709959</v>
      </c>
      <c r="M8" s="405">
        <v>3712211</v>
      </c>
      <c r="N8" s="405">
        <v>3712384</v>
      </c>
      <c r="O8" s="405">
        <v>3715621</v>
      </c>
      <c r="P8" s="405">
        <v>3719310</v>
      </c>
      <c r="Q8" s="405">
        <v>3723004</v>
      </c>
      <c r="R8" s="405">
        <v>3727870</v>
      </c>
      <c r="S8" s="405">
        <v>3731910</v>
      </c>
      <c r="T8" s="420">
        <v>3735469</v>
      </c>
      <c r="U8" s="405">
        <v>3739027</v>
      </c>
      <c r="V8" s="405">
        <v>3742429</v>
      </c>
      <c r="W8" s="405">
        <v>3745528</v>
      </c>
      <c r="X8" s="405">
        <v>3748551</v>
      </c>
      <c r="Y8" s="405">
        <v>3751847</v>
      </c>
      <c r="Z8" s="405">
        <v>3755332</v>
      </c>
      <c r="AA8" s="405">
        <v>3759384</v>
      </c>
      <c r="AB8" s="405">
        <v>3761703</v>
      </c>
      <c r="AC8" s="405">
        <v>3761788</v>
      </c>
      <c r="AD8" s="405">
        <v>3762154</v>
      </c>
      <c r="AE8" s="405">
        <v>3762609</v>
      </c>
      <c r="AF8" s="405">
        <v>3763622</v>
      </c>
      <c r="AG8" s="290"/>
      <c r="AH8" s="405">
        <v>3702898</v>
      </c>
      <c r="AI8" s="288"/>
    </row>
    <row r="9" spans="1:37">
      <c r="A9" s="285" t="s">
        <v>59</v>
      </c>
      <c r="B9" s="405">
        <v>22238517</v>
      </c>
      <c r="C9" s="405">
        <v>22245845</v>
      </c>
      <c r="D9" s="405">
        <v>22253304</v>
      </c>
      <c r="E9" s="405">
        <v>22260857</v>
      </c>
      <c r="F9" s="405">
        <v>22269415</v>
      </c>
      <c r="G9" s="405">
        <v>22273585</v>
      </c>
      <c r="H9" s="405">
        <v>22280263</v>
      </c>
      <c r="I9" s="405">
        <v>22289432</v>
      </c>
      <c r="J9" s="405">
        <v>22297410</v>
      </c>
      <c r="K9" s="405">
        <v>22305913</v>
      </c>
      <c r="L9" s="405">
        <v>22315169</v>
      </c>
      <c r="M9" s="405">
        <v>22326756</v>
      </c>
      <c r="N9" s="405">
        <v>22330588</v>
      </c>
      <c r="O9" s="405">
        <v>22336194</v>
      </c>
      <c r="P9" s="405">
        <v>22343747</v>
      </c>
      <c r="Q9" s="405">
        <v>22350747</v>
      </c>
      <c r="R9" s="405">
        <v>22359596</v>
      </c>
      <c r="S9" s="405">
        <v>22367472</v>
      </c>
      <c r="T9" s="420">
        <v>22374033</v>
      </c>
      <c r="U9" s="405">
        <v>22380594</v>
      </c>
      <c r="V9" s="405">
        <v>22388750</v>
      </c>
      <c r="W9" s="405">
        <v>22396302</v>
      </c>
      <c r="X9" s="405">
        <v>22403080</v>
      </c>
      <c r="Y9" s="405">
        <v>22409496</v>
      </c>
      <c r="Z9" s="405">
        <v>22415879</v>
      </c>
      <c r="AA9" s="405">
        <v>22423934</v>
      </c>
      <c r="AB9" s="405">
        <v>22428408</v>
      </c>
      <c r="AC9" s="405">
        <v>22433895</v>
      </c>
      <c r="AD9" s="405">
        <v>22440136</v>
      </c>
      <c r="AE9" s="405">
        <v>22446522</v>
      </c>
      <c r="AF9" s="405">
        <v>22456571</v>
      </c>
      <c r="AG9" s="290"/>
      <c r="AH9" s="405">
        <v>22230667</v>
      </c>
      <c r="AI9" s="288"/>
    </row>
    <row r="10" spans="1:37">
      <c r="A10" s="285" t="s">
        <v>60</v>
      </c>
      <c r="B10" s="405">
        <v>7523371</v>
      </c>
      <c r="C10" s="405">
        <v>7527543</v>
      </c>
      <c r="D10" s="405">
        <v>7531586</v>
      </c>
      <c r="E10" s="405">
        <v>7535531</v>
      </c>
      <c r="F10" s="405">
        <v>7540332</v>
      </c>
      <c r="G10" s="405">
        <v>7542364</v>
      </c>
      <c r="H10" s="405">
        <v>7545731</v>
      </c>
      <c r="I10" s="405">
        <v>7549652</v>
      </c>
      <c r="J10" s="405">
        <v>7553507</v>
      </c>
      <c r="K10" s="405">
        <v>7557597</v>
      </c>
      <c r="L10" s="405">
        <v>7561461</v>
      </c>
      <c r="M10" s="405">
        <v>7566842</v>
      </c>
      <c r="N10" s="405">
        <v>7568857</v>
      </c>
      <c r="O10" s="405">
        <v>7572366</v>
      </c>
      <c r="P10" s="405">
        <v>7576653</v>
      </c>
      <c r="Q10" s="405">
        <v>7580969</v>
      </c>
      <c r="R10" s="405">
        <v>7585314</v>
      </c>
      <c r="S10" s="405">
        <v>7589629</v>
      </c>
      <c r="T10" s="420">
        <v>7593570</v>
      </c>
      <c r="U10" s="405">
        <v>7597284</v>
      </c>
      <c r="V10" s="405">
        <v>7601064</v>
      </c>
      <c r="W10" s="405">
        <v>7605524</v>
      </c>
      <c r="X10" s="405">
        <v>7609914</v>
      </c>
      <c r="Y10" s="405">
        <v>7614426</v>
      </c>
      <c r="Z10" s="405">
        <v>7618819</v>
      </c>
      <c r="AA10" s="405">
        <v>7624408</v>
      </c>
      <c r="AB10" s="405">
        <v>7627003</v>
      </c>
      <c r="AC10" s="405">
        <v>7630531</v>
      </c>
      <c r="AD10" s="405">
        <v>7634793</v>
      </c>
      <c r="AE10" s="405">
        <v>7639115</v>
      </c>
      <c r="AF10" s="405">
        <v>7643350</v>
      </c>
      <c r="AG10" s="290"/>
      <c r="AH10" s="405">
        <v>7519566</v>
      </c>
      <c r="AI10" s="288"/>
    </row>
    <row r="11" spans="1:37">
      <c r="A11" s="285" t="s">
        <v>61</v>
      </c>
      <c r="B11" s="405">
        <v>293205</v>
      </c>
      <c r="C11" s="405">
        <v>293347</v>
      </c>
      <c r="D11" s="405">
        <v>293489</v>
      </c>
      <c r="E11" s="405">
        <v>293629</v>
      </c>
      <c r="F11" s="405">
        <v>293798</v>
      </c>
      <c r="G11" s="405">
        <v>293869</v>
      </c>
      <c r="H11" s="405">
        <v>293995</v>
      </c>
      <c r="I11" s="405">
        <v>294132</v>
      </c>
      <c r="J11" s="405">
        <v>294268</v>
      </c>
      <c r="K11" s="405">
        <v>294407</v>
      </c>
      <c r="L11" s="405">
        <v>294532</v>
      </c>
      <c r="M11" s="405">
        <v>294703</v>
      </c>
      <c r="N11" s="405">
        <v>294768</v>
      </c>
      <c r="O11" s="405">
        <v>294881</v>
      </c>
      <c r="P11" s="405">
        <v>295018</v>
      </c>
      <c r="Q11" s="405">
        <v>295157</v>
      </c>
      <c r="R11" s="405">
        <v>295293</v>
      </c>
      <c r="S11" s="405">
        <v>295426</v>
      </c>
      <c r="T11" s="420">
        <v>295540</v>
      </c>
      <c r="U11" s="405">
        <v>295655</v>
      </c>
      <c r="V11" s="405">
        <v>295775</v>
      </c>
      <c r="W11" s="405">
        <v>295914</v>
      </c>
      <c r="X11" s="405">
        <v>296042</v>
      </c>
      <c r="Y11" s="405">
        <v>296174</v>
      </c>
      <c r="Z11" s="405">
        <v>296309</v>
      </c>
      <c r="AA11" s="405">
        <v>296482</v>
      </c>
      <c r="AB11" s="405">
        <v>296561</v>
      </c>
      <c r="AC11" s="405">
        <v>296675</v>
      </c>
      <c r="AD11" s="405">
        <v>296805</v>
      </c>
      <c r="AE11" s="405">
        <v>296937</v>
      </c>
      <c r="AF11" s="405">
        <v>297073</v>
      </c>
      <c r="AG11" s="290"/>
      <c r="AH11" s="405">
        <v>293072</v>
      </c>
      <c r="AI11" s="288"/>
    </row>
    <row r="12" spans="1:37">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c r="AE12" s="406"/>
      <c r="AF12" s="406"/>
      <c r="AG12" s="407"/>
      <c r="AH12" s="406"/>
      <c r="AI12" s="294"/>
      <c r="AJ12" s="294"/>
      <c r="AK12" s="294"/>
    </row>
    <row r="13" spans="1:37" ht="51">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ht="51">
      <c r="A14" s="282" t="s">
        <v>995</v>
      </c>
      <c r="B14" s="409">
        <v>6470</v>
      </c>
      <c r="C14" s="409">
        <v>6542</v>
      </c>
      <c r="D14" s="409">
        <v>6622</v>
      </c>
      <c r="E14" s="409">
        <v>6687</v>
      </c>
      <c r="F14" s="409">
        <v>6687</v>
      </c>
      <c r="G14" s="409">
        <v>6763</v>
      </c>
      <c r="H14" s="409">
        <v>6858</v>
      </c>
      <c r="I14" s="409">
        <v>6938</v>
      </c>
      <c r="J14" s="409">
        <v>7018</v>
      </c>
      <c r="K14" s="409">
        <v>7091</v>
      </c>
      <c r="L14" s="409">
        <v>7156</v>
      </c>
      <c r="M14" s="409">
        <v>7156</v>
      </c>
      <c r="N14" s="409">
        <v>7262</v>
      </c>
      <c r="O14" s="409">
        <v>7315</v>
      </c>
      <c r="P14" s="409">
        <v>7389</v>
      </c>
      <c r="Q14" s="409">
        <v>7451</v>
      </c>
      <c r="R14" s="409">
        <v>7521</v>
      </c>
      <c r="S14" s="409">
        <v>7594</v>
      </c>
      <c r="T14" s="409">
        <v>7594</v>
      </c>
      <c r="U14" s="409">
        <v>7707</v>
      </c>
      <c r="V14" s="409">
        <v>7779</v>
      </c>
      <c r="W14" s="409">
        <v>7844</v>
      </c>
      <c r="X14" s="409">
        <v>7918</v>
      </c>
      <c r="Y14" s="409">
        <v>7992</v>
      </c>
      <c r="Z14" s="409">
        <v>8054</v>
      </c>
      <c r="AA14" s="409">
        <v>8107</v>
      </c>
      <c r="AB14" s="409">
        <v>8161</v>
      </c>
      <c r="AC14" s="409">
        <v>8228</v>
      </c>
      <c r="AD14" s="409">
        <v>8301</v>
      </c>
      <c r="AE14" s="409">
        <v>8375</v>
      </c>
      <c r="AF14" s="409">
        <v>8439</v>
      </c>
      <c r="AG14" s="301">
        <v>2048</v>
      </c>
      <c r="AH14" s="409">
        <v>6391</v>
      </c>
      <c r="AI14" s="299">
        <v>2048</v>
      </c>
      <c r="AJ14" s="299"/>
      <c r="AK14" s="410"/>
    </row>
    <row r="15" spans="1:37" ht="89.25">
      <c r="A15" s="282" t="s">
        <v>67</v>
      </c>
      <c r="B15" s="409">
        <v>8321</v>
      </c>
      <c r="C15" s="409">
        <v>8321</v>
      </c>
      <c r="D15" s="409">
        <v>8321</v>
      </c>
      <c r="E15" s="409">
        <v>8321</v>
      </c>
      <c r="F15" s="409">
        <v>8321</v>
      </c>
      <c r="G15" s="409">
        <v>8321</v>
      </c>
      <c r="H15" s="409">
        <v>8321</v>
      </c>
      <c r="I15" s="409">
        <v>8321</v>
      </c>
      <c r="J15" s="409">
        <v>8321</v>
      </c>
      <c r="K15" s="409">
        <v>8321</v>
      </c>
      <c r="L15" s="409">
        <v>8321</v>
      </c>
      <c r="M15" s="409">
        <v>8321</v>
      </c>
      <c r="N15" s="409">
        <v>8321</v>
      </c>
      <c r="O15" s="409">
        <v>8321</v>
      </c>
      <c r="P15" s="409">
        <v>8321</v>
      </c>
      <c r="Q15" s="409">
        <v>8321</v>
      </c>
      <c r="R15" s="409">
        <v>8321</v>
      </c>
      <c r="S15" s="409">
        <v>8321</v>
      </c>
      <c r="T15" s="409">
        <v>8321</v>
      </c>
      <c r="U15" s="409">
        <v>8321</v>
      </c>
      <c r="V15" s="409">
        <v>8321</v>
      </c>
      <c r="W15" s="409">
        <v>8321</v>
      </c>
      <c r="X15" s="409">
        <v>8321</v>
      </c>
      <c r="Y15" s="409">
        <v>8321</v>
      </c>
      <c r="Z15" s="409">
        <v>8321</v>
      </c>
      <c r="AA15" s="409">
        <v>8321</v>
      </c>
      <c r="AB15" s="409">
        <v>8321</v>
      </c>
      <c r="AC15" s="409">
        <v>8321</v>
      </c>
      <c r="AD15" s="409">
        <v>8321</v>
      </c>
      <c r="AE15" s="409">
        <v>8321</v>
      </c>
      <c r="AF15" s="409">
        <v>8321</v>
      </c>
      <c r="AG15" s="301">
        <v>0</v>
      </c>
      <c r="AH15" s="409">
        <v>8321</v>
      </c>
      <c r="AI15" s="144">
        <v>0</v>
      </c>
      <c r="AJ15" s="299"/>
      <c r="AK15" s="411"/>
    </row>
    <row r="16" spans="1:37" ht="89.2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v>0</v>
      </c>
      <c r="AH16" s="409">
        <v>12874</v>
      </c>
      <c r="AI16" s="144">
        <v>0</v>
      </c>
      <c r="AJ16" s="299"/>
      <c r="AK16" s="411"/>
    </row>
    <row r="17" spans="1:37">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406"/>
      <c r="AG17" s="301">
        <v>0</v>
      </c>
      <c r="AH17" s="406"/>
      <c r="AI17" s="144">
        <v>0</v>
      </c>
      <c r="AK17" s="411"/>
    </row>
    <row r="18" spans="1:37" ht="38.25">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408" t="s">
        <v>64</v>
      </c>
      <c r="AG18" s="301" t="e">
        <v>#VALUE!</v>
      </c>
      <c r="AH18" s="408" t="s">
        <v>64</v>
      </c>
      <c r="AK18" s="412"/>
    </row>
    <row r="19" spans="1:37" ht="89.25">
      <c r="A19" s="282" t="s">
        <v>70</v>
      </c>
      <c r="B19" s="413">
        <v>82479</v>
      </c>
      <c r="C19" s="413">
        <v>82538</v>
      </c>
      <c r="D19" s="413">
        <v>82592</v>
      </c>
      <c r="E19" s="413">
        <v>82659</v>
      </c>
      <c r="F19" s="413">
        <v>82659</v>
      </c>
      <c r="G19" s="413">
        <v>82688</v>
      </c>
      <c r="H19" s="413">
        <v>82779</v>
      </c>
      <c r="I19" s="413">
        <v>82807</v>
      </c>
      <c r="J19" s="413">
        <v>82867</v>
      </c>
      <c r="K19" s="413">
        <v>82922</v>
      </c>
      <c r="L19" s="413">
        <v>82967</v>
      </c>
      <c r="M19" s="413">
        <v>82967</v>
      </c>
      <c r="N19" s="413">
        <v>83027</v>
      </c>
      <c r="O19" s="413">
        <v>83075</v>
      </c>
      <c r="P19" s="413">
        <v>83140</v>
      </c>
      <c r="Q19" s="413">
        <v>83196</v>
      </c>
      <c r="R19" s="413">
        <v>83236</v>
      </c>
      <c r="S19" s="413">
        <v>83294</v>
      </c>
      <c r="T19" s="413">
        <v>83294</v>
      </c>
      <c r="U19" s="413">
        <v>83363</v>
      </c>
      <c r="V19" s="413">
        <v>83408</v>
      </c>
      <c r="W19" s="413">
        <v>83417</v>
      </c>
      <c r="X19" s="413">
        <v>83497</v>
      </c>
      <c r="Y19" s="413">
        <v>83578</v>
      </c>
      <c r="Z19" s="413">
        <v>83622</v>
      </c>
      <c r="AA19" s="413">
        <v>83659</v>
      </c>
      <c r="AB19" s="413">
        <v>83697</v>
      </c>
      <c r="AC19" s="413">
        <v>83741</v>
      </c>
      <c r="AD19" s="413">
        <v>83791</v>
      </c>
      <c r="AE19" s="413">
        <v>83845</v>
      </c>
      <c r="AF19" s="413">
        <v>83896</v>
      </c>
      <c r="AG19" s="301">
        <v>1468</v>
      </c>
      <c r="AH19" s="413">
        <v>82428</v>
      </c>
      <c r="AI19" s="307">
        <v>1468</v>
      </c>
      <c r="AJ19" s="307"/>
      <c r="AK19" s="410"/>
    </row>
    <row r="20" spans="1:37" ht="89.2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413">
        <v>7788</v>
      </c>
      <c r="AG20" s="301">
        <v>0</v>
      </c>
      <c r="AH20" s="413">
        <v>7788</v>
      </c>
      <c r="AI20" s="144">
        <v>0</v>
      </c>
      <c r="AJ20" s="307"/>
      <c r="AK20" s="414"/>
    </row>
    <row r="21" spans="1:37" ht="63.75">
      <c r="A21" s="282" t="s">
        <v>72</v>
      </c>
      <c r="B21" s="409">
        <v>199772</v>
      </c>
      <c r="C21" s="409">
        <v>199981</v>
      </c>
      <c r="D21" s="409">
        <v>200233</v>
      </c>
      <c r="E21" s="409">
        <v>200490</v>
      </c>
      <c r="F21" s="409">
        <v>200490</v>
      </c>
      <c r="G21" s="409">
        <v>200727</v>
      </c>
      <c r="H21" s="409">
        <v>201132</v>
      </c>
      <c r="I21" s="409">
        <v>201366</v>
      </c>
      <c r="J21" s="409">
        <v>201634</v>
      </c>
      <c r="K21" s="409">
        <v>201855</v>
      </c>
      <c r="L21" s="409">
        <v>202062</v>
      </c>
      <c r="M21" s="409">
        <v>202062</v>
      </c>
      <c r="N21" s="409">
        <v>202499</v>
      </c>
      <c r="O21" s="409">
        <v>202708</v>
      </c>
      <c r="P21" s="409">
        <v>202960</v>
      </c>
      <c r="Q21" s="409">
        <v>203214</v>
      </c>
      <c r="R21" s="409">
        <v>203415</v>
      </c>
      <c r="S21" s="409">
        <v>203664</v>
      </c>
      <c r="T21" s="409">
        <v>203664</v>
      </c>
      <c r="U21" s="409">
        <v>204064</v>
      </c>
      <c r="V21" s="409">
        <v>204292</v>
      </c>
      <c r="W21" s="409">
        <v>204539</v>
      </c>
      <c r="X21" s="409">
        <v>204788</v>
      </c>
      <c r="Y21" s="409">
        <v>205037</v>
      </c>
      <c r="Z21" s="409">
        <v>205237</v>
      </c>
      <c r="AA21" s="409">
        <v>205403</v>
      </c>
      <c r="AB21" s="409">
        <v>205596</v>
      </c>
      <c r="AC21" s="409">
        <v>205812</v>
      </c>
      <c r="AD21" s="409">
        <v>206003</v>
      </c>
      <c r="AE21" s="409">
        <v>206245</v>
      </c>
      <c r="AF21" s="409">
        <v>206453</v>
      </c>
      <c r="AG21" s="301">
        <v>6931</v>
      </c>
      <c r="AH21" s="409">
        <v>199522</v>
      </c>
      <c r="AI21" s="144">
        <v>6931</v>
      </c>
      <c r="AJ21" s="307"/>
      <c r="AK21" s="415"/>
    </row>
    <row r="22" spans="1:37" ht="51">
      <c r="A22" s="282" t="s">
        <v>73</v>
      </c>
      <c r="B22" s="409">
        <v>217052</v>
      </c>
      <c r="C22" s="409">
        <v>217052</v>
      </c>
      <c r="D22" s="409">
        <v>217052</v>
      </c>
      <c r="E22" s="409">
        <v>217052</v>
      </c>
      <c r="F22" s="409">
        <v>217052</v>
      </c>
      <c r="G22" s="409">
        <v>217052</v>
      </c>
      <c r="H22" s="409">
        <v>217052</v>
      </c>
      <c r="I22" s="409">
        <v>217052</v>
      </c>
      <c r="J22" s="409">
        <v>217052</v>
      </c>
      <c r="K22" s="409">
        <v>217052</v>
      </c>
      <c r="L22" s="409">
        <v>217052</v>
      </c>
      <c r="M22" s="409">
        <v>217052</v>
      </c>
      <c r="N22" s="409">
        <v>217052</v>
      </c>
      <c r="O22" s="409">
        <v>217052</v>
      </c>
      <c r="P22" s="409">
        <v>217052</v>
      </c>
      <c r="Q22" s="409">
        <v>217052</v>
      </c>
      <c r="R22" s="409">
        <v>217052</v>
      </c>
      <c r="S22" s="409">
        <v>217052</v>
      </c>
      <c r="T22" s="409">
        <v>217052</v>
      </c>
      <c r="U22" s="409">
        <v>217052</v>
      </c>
      <c r="V22" s="409">
        <v>217052</v>
      </c>
      <c r="W22" s="409">
        <v>217052</v>
      </c>
      <c r="X22" s="409">
        <v>217052</v>
      </c>
      <c r="Y22" s="409">
        <v>217052</v>
      </c>
      <c r="Z22" s="409">
        <v>217052</v>
      </c>
      <c r="AA22" s="409">
        <v>217052</v>
      </c>
      <c r="AB22" s="409">
        <v>217052</v>
      </c>
      <c r="AC22" s="409">
        <v>217052</v>
      </c>
      <c r="AD22" s="409">
        <v>217052</v>
      </c>
      <c r="AE22" s="409">
        <v>217052</v>
      </c>
      <c r="AF22" s="409">
        <v>217052</v>
      </c>
      <c r="AG22" s="301">
        <v>0</v>
      </c>
      <c r="AH22" s="409">
        <v>217052</v>
      </c>
      <c r="AI22" s="144">
        <v>0</v>
      </c>
      <c r="AJ22" s="307"/>
      <c r="AK22" s="414"/>
    </row>
    <row r="23" spans="1:37" ht="51">
      <c r="A23" s="309" t="s">
        <v>136</v>
      </c>
      <c r="B23" s="409">
        <v>12430</v>
      </c>
      <c r="C23" s="409">
        <v>12430</v>
      </c>
      <c r="D23" s="409">
        <v>12453</v>
      </c>
      <c r="E23" s="409">
        <v>12464</v>
      </c>
      <c r="F23" s="409">
        <v>12464</v>
      </c>
      <c r="G23" s="409">
        <v>12475</v>
      </c>
      <c r="H23" s="409">
        <v>12478</v>
      </c>
      <c r="I23" s="409">
        <v>12490</v>
      </c>
      <c r="J23" s="409">
        <v>12502</v>
      </c>
      <c r="K23" s="409">
        <v>12512</v>
      </c>
      <c r="L23" s="409">
        <v>12512</v>
      </c>
      <c r="M23" s="409">
        <v>12512</v>
      </c>
      <c r="N23" s="409">
        <v>12534</v>
      </c>
      <c r="O23" s="409">
        <v>12536</v>
      </c>
      <c r="P23" s="409">
        <v>12547</v>
      </c>
      <c r="Q23" s="409">
        <v>12559</v>
      </c>
      <c r="R23" s="409">
        <v>12569</v>
      </c>
      <c r="S23" s="409">
        <v>12580</v>
      </c>
      <c r="T23" s="409">
        <v>12580</v>
      </c>
      <c r="U23" s="409">
        <v>12590</v>
      </c>
      <c r="V23" s="409">
        <v>12592</v>
      </c>
      <c r="W23" s="409">
        <v>12603</v>
      </c>
      <c r="X23" s="409">
        <v>12615</v>
      </c>
      <c r="Y23" s="409">
        <v>12626</v>
      </c>
      <c r="Z23" s="409">
        <v>12635</v>
      </c>
      <c r="AA23" s="409">
        <v>12640</v>
      </c>
      <c r="AB23" s="409">
        <v>12645</v>
      </c>
      <c r="AC23" s="409">
        <v>12646</v>
      </c>
      <c r="AD23" s="409">
        <v>12658</v>
      </c>
      <c r="AE23" s="409">
        <v>12668</v>
      </c>
      <c r="AF23" s="409">
        <v>12678</v>
      </c>
      <c r="AG23" s="301">
        <v>260</v>
      </c>
      <c r="AH23" s="409">
        <v>12418</v>
      </c>
      <c r="AI23" s="144">
        <v>260</v>
      </c>
      <c r="AJ23" s="307"/>
      <c r="AK23" s="414"/>
    </row>
    <row r="24" spans="1:37" ht="51">
      <c r="A24" s="309" t="s">
        <v>139</v>
      </c>
      <c r="B24" s="409">
        <v>8531</v>
      </c>
      <c r="C24" s="409">
        <v>8536</v>
      </c>
      <c r="D24" s="409">
        <v>8546</v>
      </c>
      <c r="E24" s="409">
        <v>8551</v>
      </c>
      <c r="F24" s="409">
        <v>8551</v>
      </c>
      <c r="G24" s="409">
        <v>8557</v>
      </c>
      <c r="H24" s="409">
        <v>8562</v>
      </c>
      <c r="I24" s="409">
        <v>8570</v>
      </c>
      <c r="J24" s="409">
        <v>8576</v>
      </c>
      <c r="K24" s="409">
        <v>8582</v>
      </c>
      <c r="L24" s="409">
        <v>8588</v>
      </c>
      <c r="M24" s="409">
        <v>8588</v>
      </c>
      <c r="N24" s="409">
        <v>8595</v>
      </c>
      <c r="O24" s="409">
        <v>8595</v>
      </c>
      <c r="P24" s="409">
        <v>8602</v>
      </c>
      <c r="Q24" s="409">
        <v>8607</v>
      </c>
      <c r="R24" s="409">
        <v>8612</v>
      </c>
      <c r="S24" s="409">
        <v>8625</v>
      </c>
      <c r="T24" s="409">
        <v>8625</v>
      </c>
      <c r="U24" s="409">
        <v>8655</v>
      </c>
      <c r="V24" s="409">
        <v>8661</v>
      </c>
      <c r="W24" s="409">
        <v>8666</v>
      </c>
      <c r="X24" s="409">
        <v>8672</v>
      </c>
      <c r="Y24" s="409">
        <v>8679</v>
      </c>
      <c r="Z24" s="409">
        <v>8683</v>
      </c>
      <c r="AA24" s="409">
        <v>8690</v>
      </c>
      <c r="AB24" s="409">
        <v>8694</v>
      </c>
      <c r="AC24" s="409">
        <v>8696</v>
      </c>
      <c r="AD24" s="409">
        <v>8701</v>
      </c>
      <c r="AE24" s="409">
        <v>8707</v>
      </c>
      <c r="AF24" s="409">
        <v>8707</v>
      </c>
      <c r="AG24" s="301">
        <v>182</v>
      </c>
      <c r="AH24" s="409">
        <v>8525</v>
      </c>
      <c r="AI24" s="144">
        <v>182</v>
      </c>
      <c r="AJ24" s="307"/>
      <c r="AK24" s="414"/>
    </row>
    <row r="25" spans="1:37" ht="51">
      <c r="A25" s="309" t="s">
        <v>142</v>
      </c>
      <c r="B25" s="409">
        <v>3451</v>
      </c>
      <c r="C25" s="409">
        <v>3455</v>
      </c>
      <c r="D25" s="409">
        <v>3455</v>
      </c>
      <c r="E25" s="409">
        <v>3460</v>
      </c>
      <c r="F25" s="409">
        <v>3460</v>
      </c>
      <c r="G25" s="409">
        <v>3460</v>
      </c>
      <c r="H25" s="409">
        <v>3462</v>
      </c>
      <c r="I25" s="409">
        <v>3465</v>
      </c>
      <c r="J25" s="409">
        <v>3468</v>
      </c>
      <c r="K25" s="409">
        <v>3471</v>
      </c>
      <c r="L25" s="409">
        <v>3473</v>
      </c>
      <c r="M25" s="409">
        <v>3473</v>
      </c>
      <c r="N25" s="409">
        <v>3477</v>
      </c>
      <c r="O25" s="409">
        <v>3477</v>
      </c>
      <c r="P25" s="409">
        <v>3479</v>
      </c>
      <c r="Q25" s="409">
        <v>3481</v>
      </c>
      <c r="R25" s="409">
        <v>3483</v>
      </c>
      <c r="S25" s="409">
        <v>3486</v>
      </c>
      <c r="T25" s="409">
        <v>3486</v>
      </c>
      <c r="U25" s="409">
        <v>3489</v>
      </c>
      <c r="V25" s="409">
        <v>3489</v>
      </c>
      <c r="W25" s="409">
        <v>3489</v>
      </c>
      <c r="X25" s="409">
        <v>3493</v>
      </c>
      <c r="Y25" s="409">
        <v>3497</v>
      </c>
      <c r="Z25" s="409">
        <v>3499</v>
      </c>
      <c r="AA25" s="409">
        <v>3501</v>
      </c>
      <c r="AB25" s="409">
        <v>3502</v>
      </c>
      <c r="AC25" s="409">
        <v>3502</v>
      </c>
      <c r="AD25" s="409">
        <v>3507</v>
      </c>
      <c r="AE25" s="409">
        <v>3510</v>
      </c>
      <c r="AF25" s="409">
        <v>3512</v>
      </c>
      <c r="AG25" s="301">
        <v>64</v>
      </c>
      <c r="AH25" s="409">
        <v>3448</v>
      </c>
      <c r="AI25" s="144">
        <v>64</v>
      </c>
      <c r="AJ25" s="307"/>
      <c r="AK25" s="414"/>
    </row>
    <row r="26" spans="1:37" ht="51">
      <c r="A26" s="309" t="s">
        <v>145</v>
      </c>
      <c r="B26" s="409">
        <v>1952</v>
      </c>
      <c r="C26" s="409">
        <v>1954</v>
      </c>
      <c r="D26" s="409">
        <v>1956</v>
      </c>
      <c r="E26" s="409">
        <v>1958</v>
      </c>
      <c r="F26" s="409">
        <v>1958</v>
      </c>
      <c r="G26" s="409">
        <v>1960</v>
      </c>
      <c r="H26" s="409">
        <v>1961</v>
      </c>
      <c r="I26" s="409">
        <v>1963</v>
      </c>
      <c r="J26" s="409">
        <v>1965</v>
      </c>
      <c r="K26" s="409">
        <v>1967</v>
      </c>
      <c r="L26" s="409">
        <v>1969</v>
      </c>
      <c r="M26" s="409">
        <v>1969</v>
      </c>
      <c r="N26" s="409">
        <v>1971</v>
      </c>
      <c r="O26" s="409">
        <v>1972</v>
      </c>
      <c r="P26" s="409">
        <v>1974</v>
      </c>
      <c r="Q26" s="409">
        <v>1976</v>
      </c>
      <c r="R26" s="409">
        <v>1977</v>
      </c>
      <c r="S26" s="409">
        <v>1979</v>
      </c>
      <c r="T26" s="409">
        <v>1979</v>
      </c>
      <c r="U26" s="409">
        <v>1981</v>
      </c>
      <c r="V26" s="409">
        <v>1982</v>
      </c>
      <c r="W26" s="409">
        <v>1984</v>
      </c>
      <c r="X26" s="409">
        <v>1986</v>
      </c>
      <c r="Y26" s="409">
        <v>1988</v>
      </c>
      <c r="Z26" s="409">
        <v>1990</v>
      </c>
      <c r="AA26" s="409">
        <v>1991</v>
      </c>
      <c r="AB26" s="409">
        <v>1992</v>
      </c>
      <c r="AC26" s="409">
        <v>1994</v>
      </c>
      <c r="AD26" s="409">
        <v>1995</v>
      </c>
      <c r="AE26" s="409">
        <v>1997</v>
      </c>
      <c r="AF26" s="409">
        <v>1999</v>
      </c>
      <c r="AG26" s="301">
        <v>50</v>
      </c>
      <c r="AH26" s="409">
        <v>1949</v>
      </c>
      <c r="AI26" s="144">
        <v>50</v>
      </c>
      <c r="AJ26" s="307"/>
      <c r="AK26" s="414"/>
    </row>
    <row r="27" spans="1:37" ht="51">
      <c r="A27" s="309" t="s">
        <v>148</v>
      </c>
      <c r="B27" s="409">
        <v>13911</v>
      </c>
      <c r="C27" s="409">
        <v>13924</v>
      </c>
      <c r="D27" s="409">
        <v>13938</v>
      </c>
      <c r="E27" s="409">
        <v>13948</v>
      </c>
      <c r="F27" s="409">
        <v>13948</v>
      </c>
      <c r="G27" s="409">
        <v>13960</v>
      </c>
      <c r="H27" s="409">
        <v>13963</v>
      </c>
      <c r="I27" s="409">
        <v>13974</v>
      </c>
      <c r="J27" s="409">
        <v>13984</v>
      </c>
      <c r="K27" s="409">
        <v>13994</v>
      </c>
      <c r="L27" s="409">
        <v>14005</v>
      </c>
      <c r="M27" s="409">
        <v>14005</v>
      </c>
      <c r="N27" s="409">
        <v>14018</v>
      </c>
      <c r="O27" s="409">
        <v>14021</v>
      </c>
      <c r="P27" s="409">
        <v>14030</v>
      </c>
      <c r="Q27" s="409">
        <v>14038</v>
      </c>
      <c r="R27" s="409">
        <v>14048</v>
      </c>
      <c r="S27" s="409">
        <v>14056</v>
      </c>
      <c r="T27" s="409">
        <v>14056</v>
      </c>
      <c r="U27" s="409">
        <v>14065</v>
      </c>
      <c r="V27" s="409">
        <v>14068</v>
      </c>
      <c r="W27" s="409">
        <v>14075</v>
      </c>
      <c r="X27" s="409">
        <v>14084</v>
      </c>
      <c r="Y27" s="409">
        <v>14092</v>
      </c>
      <c r="Z27" s="409">
        <v>14100</v>
      </c>
      <c r="AA27" s="409">
        <v>14104</v>
      </c>
      <c r="AB27" s="409">
        <v>14108</v>
      </c>
      <c r="AC27" s="409">
        <v>14121</v>
      </c>
      <c r="AD27" s="409">
        <v>14131</v>
      </c>
      <c r="AE27" s="409">
        <v>14137</v>
      </c>
      <c r="AF27" s="409">
        <v>14145</v>
      </c>
      <c r="AG27" s="301">
        <v>244</v>
      </c>
      <c r="AH27" s="409">
        <v>13901</v>
      </c>
      <c r="AI27" s="144">
        <v>244</v>
      </c>
      <c r="AJ27" s="307"/>
      <c r="AK27" s="414"/>
    </row>
    <row r="28" spans="1:37" ht="51">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409">
        <v>1339</v>
      </c>
      <c r="AG28" s="301">
        <v>0</v>
      </c>
      <c r="AH28" s="409">
        <v>1339</v>
      </c>
      <c r="AI28" s="144">
        <v>0</v>
      </c>
      <c r="AJ28" s="307"/>
      <c r="AK28" s="414"/>
    </row>
    <row r="29" spans="1:37" ht="51">
      <c r="A29" s="309" t="s">
        <v>154</v>
      </c>
      <c r="B29" s="409">
        <v>895</v>
      </c>
      <c r="C29" s="409">
        <v>895</v>
      </c>
      <c r="D29" s="409">
        <v>895</v>
      </c>
      <c r="E29" s="409">
        <v>895</v>
      </c>
      <c r="F29" s="409">
        <v>895</v>
      </c>
      <c r="G29" s="409">
        <v>895</v>
      </c>
      <c r="H29" s="409">
        <v>895</v>
      </c>
      <c r="I29" s="409">
        <v>895</v>
      </c>
      <c r="J29" s="409">
        <v>895</v>
      </c>
      <c r="K29" s="409">
        <v>895</v>
      </c>
      <c r="L29" s="409">
        <v>895</v>
      </c>
      <c r="M29" s="409">
        <v>895</v>
      </c>
      <c r="N29" s="409">
        <v>895</v>
      </c>
      <c r="O29" s="409">
        <v>895</v>
      </c>
      <c r="P29" s="409">
        <v>895</v>
      </c>
      <c r="Q29" s="409">
        <v>895</v>
      </c>
      <c r="R29" s="409">
        <v>895</v>
      </c>
      <c r="S29" s="409">
        <v>895</v>
      </c>
      <c r="T29" s="409">
        <v>895</v>
      </c>
      <c r="U29" s="409">
        <v>895</v>
      </c>
      <c r="V29" s="409">
        <v>895</v>
      </c>
      <c r="W29" s="409">
        <v>895</v>
      </c>
      <c r="X29" s="409">
        <v>895</v>
      </c>
      <c r="Y29" s="409">
        <v>895</v>
      </c>
      <c r="Z29" s="409">
        <v>895</v>
      </c>
      <c r="AA29" s="409">
        <v>895</v>
      </c>
      <c r="AB29" s="409">
        <v>895</v>
      </c>
      <c r="AC29" s="409">
        <v>895</v>
      </c>
      <c r="AD29" s="409">
        <v>895</v>
      </c>
      <c r="AE29" s="409">
        <v>895</v>
      </c>
      <c r="AF29" s="409">
        <v>895</v>
      </c>
      <c r="AG29" s="301">
        <v>0</v>
      </c>
      <c r="AH29" s="409">
        <v>895</v>
      </c>
      <c r="AI29" s="144">
        <v>0</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ht="38.25">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76.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416" t="s">
        <v>78</v>
      </c>
      <c r="AG32" s="301"/>
      <c r="AH32" s="416" t="s">
        <v>78</v>
      </c>
    </row>
    <row r="33" spans="1:34" ht="76.5">
      <c r="A33" s="282" t="s">
        <v>80</v>
      </c>
      <c r="B33" s="416" t="s">
        <v>2791</v>
      </c>
      <c r="C33" s="416" t="s">
        <v>2791</v>
      </c>
      <c r="D33" s="416" t="s">
        <v>2791</v>
      </c>
      <c r="E33" s="416" t="s">
        <v>2791</v>
      </c>
      <c r="F33" s="416" t="s">
        <v>2791</v>
      </c>
      <c r="G33" s="416" t="s">
        <v>2791</v>
      </c>
      <c r="H33" s="416" t="s">
        <v>2791</v>
      </c>
      <c r="I33" s="416" t="s">
        <v>2791</v>
      </c>
      <c r="J33" s="416" t="s">
        <v>2791</v>
      </c>
      <c r="K33" s="416" t="s">
        <v>2791</v>
      </c>
      <c r="L33" s="416" t="s">
        <v>2791</v>
      </c>
      <c r="M33" s="416" t="s">
        <v>2791</v>
      </c>
      <c r="N33" s="416" t="s">
        <v>2791</v>
      </c>
      <c r="O33" s="416" t="s">
        <v>2791</v>
      </c>
      <c r="P33" s="416" t="s">
        <v>2791</v>
      </c>
      <c r="Q33" s="416" t="s">
        <v>2791</v>
      </c>
      <c r="R33" s="416" t="s">
        <v>2791</v>
      </c>
      <c r="S33" s="416" t="s">
        <v>2791</v>
      </c>
      <c r="T33" s="416" t="s">
        <v>2791</v>
      </c>
      <c r="U33" s="416" t="s">
        <v>2791</v>
      </c>
      <c r="V33" s="416" t="s">
        <v>2791</v>
      </c>
      <c r="W33" s="416" t="s">
        <v>2791</v>
      </c>
      <c r="X33" s="416" t="s">
        <v>2791</v>
      </c>
      <c r="Y33" s="416" t="s">
        <v>2791</v>
      </c>
      <c r="Z33" s="416" t="s">
        <v>2791</v>
      </c>
      <c r="AA33" s="416" t="s">
        <v>2791</v>
      </c>
      <c r="AB33" s="416" t="s">
        <v>2791</v>
      </c>
      <c r="AC33" s="416" t="s">
        <v>2791</v>
      </c>
      <c r="AD33" s="416" t="s">
        <v>2791</v>
      </c>
      <c r="AE33" s="416" t="s">
        <v>2791</v>
      </c>
      <c r="AF33" s="416" t="s">
        <v>2791</v>
      </c>
      <c r="AG33" s="301"/>
      <c r="AH33" s="416" t="s">
        <v>2791</v>
      </c>
    </row>
    <row r="34" spans="1:34" ht="51.75" thickBot="1">
      <c r="A34" s="310" t="s">
        <v>81</v>
      </c>
      <c r="B34" s="417" t="s">
        <v>2792</v>
      </c>
      <c r="C34" s="417" t="s">
        <v>2792</v>
      </c>
      <c r="D34" s="417" t="s">
        <v>2792</v>
      </c>
      <c r="E34" s="417" t="s">
        <v>2792</v>
      </c>
      <c r="F34" s="417" t="s">
        <v>2792</v>
      </c>
      <c r="G34" s="417" t="s">
        <v>2792</v>
      </c>
      <c r="H34" s="417" t="s">
        <v>2792</v>
      </c>
      <c r="I34" s="417" t="s">
        <v>2792</v>
      </c>
      <c r="J34" s="417" t="s">
        <v>2792</v>
      </c>
      <c r="K34" s="417" t="s">
        <v>2792</v>
      </c>
      <c r="L34" s="417" t="s">
        <v>2792</v>
      </c>
      <c r="M34" s="417" t="s">
        <v>2792</v>
      </c>
      <c r="N34" s="417" t="s">
        <v>2792</v>
      </c>
      <c r="O34" s="417" t="s">
        <v>2792</v>
      </c>
      <c r="P34" s="417" t="s">
        <v>2792</v>
      </c>
      <c r="Q34" s="417" t="s">
        <v>2792</v>
      </c>
      <c r="R34" s="417" t="s">
        <v>2792</v>
      </c>
      <c r="S34" s="417" t="s">
        <v>2792</v>
      </c>
      <c r="T34" s="417" t="s">
        <v>2792</v>
      </c>
      <c r="U34" s="417" t="s">
        <v>2792</v>
      </c>
      <c r="V34" s="417" t="s">
        <v>2792</v>
      </c>
      <c r="W34" s="417" t="s">
        <v>2792</v>
      </c>
      <c r="X34" s="417" t="s">
        <v>2792</v>
      </c>
      <c r="Y34" s="417" t="s">
        <v>2792</v>
      </c>
      <c r="Z34" s="417" t="s">
        <v>2792</v>
      </c>
      <c r="AA34" s="417" t="s">
        <v>2792</v>
      </c>
      <c r="AB34" s="417" t="s">
        <v>2792</v>
      </c>
      <c r="AC34" s="417" t="s">
        <v>2792</v>
      </c>
      <c r="AD34" s="417" t="s">
        <v>2792</v>
      </c>
      <c r="AE34" s="417" t="s">
        <v>2792</v>
      </c>
      <c r="AF34" s="417" t="s">
        <v>2792</v>
      </c>
      <c r="AG34" s="301"/>
      <c r="AH34" s="417" t="s">
        <v>2792</v>
      </c>
    </row>
    <row r="35" spans="1:34">
      <c r="AG35" s="211"/>
    </row>
    <row r="36" spans="1:34">
      <c r="AG36" s="211"/>
    </row>
  </sheetData>
  <mergeCells count="1">
    <mergeCell ref="A1:AH1"/>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3513-7CEB-4930-AADF-FC3C92EEF1F5}">
  <dimension ref="A1:AK36"/>
  <sheetViews>
    <sheetView topLeftCell="I19" workbookViewId="0">
      <selection activeCell="AI22" sqref="AI22"/>
    </sheetView>
  </sheetViews>
  <sheetFormatPr defaultRowHeight="15"/>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45505</v>
      </c>
      <c r="C2" s="281">
        <v>45506</v>
      </c>
      <c r="D2" s="281">
        <v>45507</v>
      </c>
      <c r="E2" s="281">
        <v>45508</v>
      </c>
      <c r="F2" s="281">
        <v>45509</v>
      </c>
      <c r="G2" s="281">
        <v>45510</v>
      </c>
      <c r="H2" s="281">
        <v>45511</v>
      </c>
      <c r="I2" s="281">
        <v>45512</v>
      </c>
      <c r="J2" s="281">
        <v>45513</v>
      </c>
      <c r="K2" s="281">
        <v>45514</v>
      </c>
      <c r="L2" s="281">
        <v>45515</v>
      </c>
      <c r="M2" s="281">
        <v>45516</v>
      </c>
      <c r="N2" s="281">
        <v>45517</v>
      </c>
      <c r="O2" s="281">
        <v>45518</v>
      </c>
      <c r="P2" s="281">
        <v>45519</v>
      </c>
      <c r="Q2" s="281">
        <v>45520</v>
      </c>
      <c r="R2" s="281">
        <v>45521</v>
      </c>
      <c r="S2" s="281">
        <v>45522</v>
      </c>
      <c r="T2" s="281">
        <v>45523</v>
      </c>
      <c r="U2" s="281">
        <v>45524</v>
      </c>
      <c r="V2" s="281">
        <v>45525</v>
      </c>
      <c r="W2" s="281">
        <v>45526</v>
      </c>
      <c r="X2" s="281">
        <v>45527</v>
      </c>
      <c r="Y2" s="281">
        <v>45528</v>
      </c>
      <c r="Z2" s="281">
        <v>45529</v>
      </c>
      <c r="AA2" s="281">
        <v>45530</v>
      </c>
      <c r="AB2" s="281">
        <v>45531</v>
      </c>
      <c r="AC2" s="281">
        <v>45532</v>
      </c>
      <c r="AD2" s="281">
        <v>45533</v>
      </c>
      <c r="AE2" s="281">
        <v>45534</v>
      </c>
      <c r="AF2" s="281">
        <v>45535</v>
      </c>
      <c r="AG2" s="281"/>
      <c r="AH2" s="281">
        <v>45504</v>
      </c>
    </row>
    <row r="3" spans="1:37" ht="5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c r="A4" s="285" t="s">
        <v>54</v>
      </c>
      <c r="B4" s="405">
        <v>411635</v>
      </c>
      <c r="C4" s="420">
        <v>411757</v>
      </c>
      <c r="D4" s="405">
        <v>412141</v>
      </c>
      <c r="E4" s="405">
        <v>412397</v>
      </c>
      <c r="F4" s="405">
        <v>412657</v>
      </c>
      <c r="G4" s="405">
        <v>412918</v>
      </c>
      <c r="H4" s="405">
        <v>413184</v>
      </c>
      <c r="I4" s="405">
        <v>413446</v>
      </c>
      <c r="J4" s="423">
        <v>413697</v>
      </c>
      <c r="K4" s="405">
        <v>413948</v>
      </c>
      <c r="L4" s="405">
        <v>414193</v>
      </c>
      <c r="M4" s="405">
        <v>414455</v>
      </c>
      <c r="N4" s="405">
        <v>414725</v>
      </c>
      <c r="O4" s="405">
        <v>414991</v>
      </c>
      <c r="P4" s="405">
        <v>415254</v>
      </c>
      <c r="Q4" s="420">
        <v>415509</v>
      </c>
      <c r="R4" s="405">
        <v>415765</v>
      </c>
      <c r="S4" s="420">
        <v>416028</v>
      </c>
      <c r="T4" s="420">
        <v>416298</v>
      </c>
      <c r="U4" s="420">
        <v>416567</v>
      </c>
      <c r="V4" s="420">
        <v>416836</v>
      </c>
      <c r="W4" s="420">
        <v>417098</v>
      </c>
      <c r="X4" s="420">
        <v>417355</v>
      </c>
      <c r="Y4" s="420">
        <v>417613</v>
      </c>
      <c r="Z4" s="420">
        <v>417873</v>
      </c>
      <c r="AA4" s="420">
        <v>418150</v>
      </c>
      <c r="AB4" s="420">
        <v>418407</v>
      </c>
      <c r="AC4" s="420">
        <v>418669</v>
      </c>
      <c r="AD4" s="420">
        <v>418943</v>
      </c>
      <c r="AE4" s="420">
        <v>419201</v>
      </c>
      <c r="AF4" s="420">
        <v>419460</v>
      </c>
      <c r="AG4" s="290"/>
      <c r="AH4" s="405">
        <v>411374</v>
      </c>
      <c r="AI4" s="288"/>
    </row>
    <row r="5" spans="1:37">
      <c r="A5" s="285" t="s">
        <v>55</v>
      </c>
      <c r="B5" s="405">
        <v>11526752</v>
      </c>
      <c r="C5" s="420">
        <v>11529704</v>
      </c>
      <c r="D5" s="405">
        <v>11539989</v>
      </c>
      <c r="E5" s="405">
        <v>11546419</v>
      </c>
      <c r="F5" s="405">
        <v>11553501</v>
      </c>
      <c r="G5" s="405">
        <v>11560612</v>
      </c>
      <c r="H5" s="405">
        <v>11568185</v>
      </c>
      <c r="I5" s="405">
        <v>11575537</v>
      </c>
      <c r="J5" s="423">
        <v>11582624</v>
      </c>
      <c r="K5" s="405">
        <v>11589711</v>
      </c>
      <c r="L5" s="405">
        <v>11596663</v>
      </c>
      <c r="M5" s="405">
        <v>11604312</v>
      </c>
      <c r="N5" s="405">
        <v>11611726</v>
      </c>
      <c r="O5" s="405">
        <v>11619069</v>
      </c>
      <c r="P5" s="405">
        <v>11626193</v>
      </c>
      <c r="Q5" s="420">
        <v>11633125</v>
      </c>
      <c r="R5" s="405">
        <v>11640057</v>
      </c>
      <c r="S5" s="420">
        <v>11647008</v>
      </c>
      <c r="T5" s="420">
        <v>11654152</v>
      </c>
      <c r="U5" s="420">
        <v>11661206</v>
      </c>
      <c r="V5" s="420">
        <v>11668634</v>
      </c>
      <c r="W5" s="420">
        <v>11675451</v>
      </c>
      <c r="X5" s="420">
        <v>11682820</v>
      </c>
      <c r="Y5" s="420">
        <v>11690189</v>
      </c>
      <c r="Z5" s="420">
        <v>11697256</v>
      </c>
      <c r="AA5" s="420">
        <v>11704947</v>
      </c>
      <c r="AB5" s="420">
        <v>11711799</v>
      </c>
      <c r="AC5" s="420">
        <v>11718784</v>
      </c>
      <c r="AD5" s="420">
        <v>11725991</v>
      </c>
      <c r="AE5" s="420">
        <v>11732586</v>
      </c>
      <c r="AF5" s="420">
        <v>11739180</v>
      </c>
      <c r="AG5" s="290"/>
      <c r="AH5" s="405">
        <v>11519419</v>
      </c>
      <c r="AI5" s="288"/>
    </row>
    <row r="6" spans="1:37">
      <c r="A6" s="285" t="s">
        <v>56</v>
      </c>
      <c r="B6" s="405">
        <v>5410711</v>
      </c>
      <c r="C6" s="420">
        <v>5412088</v>
      </c>
      <c r="D6" s="405">
        <v>5416775</v>
      </c>
      <c r="E6" s="405">
        <v>5419904</v>
      </c>
      <c r="F6" s="405">
        <v>5423199</v>
      </c>
      <c r="G6" s="405">
        <v>5426509</v>
      </c>
      <c r="H6" s="405">
        <v>5429638</v>
      </c>
      <c r="I6" s="405">
        <v>5432667</v>
      </c>
      <c r="J6" s="423">
        <v>5435281</v>
      </c>
      <c r="K6" s="405">
        <v>5437894</v>
      </c>
      <c r="L6" s="405">
        <v>5440580</v>
      </c>
      <c r="M6" s="405">
        <v>5443744</v>
      </c>
      <c r="N6" s="405">
        <v>5447036</v>
      </c>
      <c r="O6" s="405">
        <v>5450219</v>
      </c>
      <c r="P6" s="405">
        <v>5453417</v>
      </c>
      <c r="Q6" s="420">
        <v>5456399</v>
      </c>
      <c r="R6" s="405">
        <v>5459381</v>
      </c>
      <c r="S6" s="420">
        <v>5462519</v>
      </c>
      <c r="T6" s="420">
        <v>5465632</v>
      </c>
      <c r="U6" s="420">
        <v>5468690</v>
      </c>
      <c r="V6" s="420">
        <v>5471803</v>
      </c>
      <c r="W6" s="420">
        <v>5475045</v>
      </c>
      <c r="X6" s="420">
        <v>5478150</v>
      </c>
      <c r="Y6" s="420">
        <v>5481254</v>
      </c>
      <c r="Z6" s="420">
        <v>5484397</v>
      </c>
      <c r="AA6" s="420">
        <v>5487832</v>
      </c>
      <c r="AB6" s="420">
        <v>5490967</v>
      </c>
      <c r="AC6" s="420">
        <v>5494393</v>
      </c>
      <c r="AD6" s="420">
        <v>5497851</v>
      </c>
      <c r="AE6" s="420">
        <v>5500697</v>
      </c>
      <c r="AF6" s="420">
        <v>5503542</v>
      </c>
      <c r="AG6" s="290"/>
      <c r="AH6" s="405">
        <v>5407400</v>
      </c>
      <c r="AI6" s="288"/>
    </row>
    <row r="7" spans="1:37">
      <c r="A7" s="285" t="s">
        <v>57</v>
      </c>
      <c r="B7" s="405">
        <v>11383958</v>
      </c>
      <c r="C7" s="420">
        <v>11387032</v>
      </c>
      <c r="D7" s="405">
        <v>11407698</v>
      </c>
      <c r="E7" s="405">
        <v>11417927</v>
      </c>
      <c r="F7" s="405">
        <v>11427721</v>
      </c>
      <c r="G7" s="405">
        <v>11438945</v>
      </c>
      <c r="H7" s="405">
        <v>11440673</v>
      </c>
      <c r="I7" s="405">
        <v>11441187</v>
      </c>
      <c r="J7" s="423">
        <v>11447394</v>
      </c>
      <c r="K7" s="405">
        <v>11453601</v>
      </c>
      <c r="L7" s="405">
        <v>11461578</v>
      </c>
      <c r="M7" s="405">
        <v>11469378</v>
      </c>
      <c r="N7" s="405">
        <v>11477712</v>
      </c>
      <c r="O7" s="405">
        <v>11485923</v>
      </c>
      <c r="P7" s="405">
        <v>11493928</v>
      </c>
      <c r="Q7" s="420">
        <v>11499609</v>
      </c>
      <c r="R7" s="405">
        <v>11505290</v>
      </c>
      <c r="S7" s="420">
        <v>11512383</v>
      </c>
      <c r="T7" s="420">
        <v>11520891</v>
      </c>
      <c r="U7" s="420">
        <v>11529406</v>
      </c>
      <c r="V7" s="420">
        <v>11537900</v>
      </c>
      <c r="W7" s="420">
        <v>11541667</v>
      </c>
      <c r="X7" s="420">
        <v>11547656</v>
      </c>
      <c r="Y7" s="420">
        <v>11553645</v>
      </c>
      <c r="Z7" s="420">
        <v>11559598</v>
      </c>
      <c r="AA7" s="420">
        <v>11567854</v>
      </c>
      <c r="AB7" s="420">
        <v>11575630</v>
      </c>
      <c r="AC7" s="420">
        <v>11583416</v>
      </c>
      <c r="AD7" s="420">
        <v>11591888</v>
      </c>
      <c r="AE7" s="420">
        <v>11594415</v>
      </c>
      <c r="AF7" s="420">
        <v>11596941</v>
      </c>
      <c r="AG7" s="290"/>
      <c r="AH7" s="405">
        <v>11366365</v>
      </c>
      <c r="AI7" s="288"/>
    </row>
    <row r="8" spans="1:37">
      <c r="A8" s="285" t="s">
        <v>58</v>
      </c>
      <c r="B8" s="405">
        <v>3763758</v>
      </c>
      <c r="C8" s="420">
        <v>3763850</v>
      </c>
      <c r="D8" s="405">
        <v>3763878</v>
      </c>
      <c r="E8" s="405">
        <v>3763963</v>
      </c>
      <c r="F8" s="405">
        <v>3764161</v>
      </c>
      <c r="G8" s="405">
        <v>3764428</v>
      </c>
      <c r="H8" s="405">
        <v>3767630</v>
      </c>
      <c r="I8" s="405">
        <v>3771137</v>
      </c>
      <c r="J8" s="423">
        <v>3774263</v>
      </c>
      <c r="K8" s="405">
        <v>3777388</v>
      </c>
      <c r="L8" s="405">
        <v>3780217</v>
      </c>
      <c r="M8" s="405">
        <v>3783013</v>
      </c>
      <c r="N8" s="405">
        <v>3785909</v>
      </c>
      <c r="O8" s="405">
        <v>3788847</v>
      </c>
      <c r="P8" s="405">
        <v>3791714</v>
      </c>
      <c r="Q8" s="420">
        <v>3794865</v>
      </c>
      <c r="R8" s="405">
        <v>3798015</v>
      </c>
      <c r="S8" s="420">
        <v>3801078</v>
      </c>
      <c r="T8" s="420">
        <v>3804139</v>
      </c>
      <c r="U8" s="420">
        <v>3807210</v>
      </c>
      <c r="V8" s="420">
        <v>3810265</v>
      </c>
      <c r="W8" s="420">
        <v>3813930</v>
      </c>
      <c r="X8" s="420">
        <v>3817225</v>
      </c>
      <c r="Y8" s="420">
        <v>3820520</v>
      </c>
      <c r="Z8" s="420">
        <v>3823738</v>
      </c>
      <c r="AA8" s="420">
        <v>3826761</v>
      </c>
      <c r="AB8" s="420">
        <v>3829618</v>
      </c>
      <c r="AC8" s="420">
        <v>3832488</v>
      </c>
      <c r="AD8" s="420">
        <v>3835624</v>
      </c>
      <c r="AE8" s="420">
        <v>3839085</v>
      </c>
      <c r="AF8" s="420">
        <v>3842545</v>
      </c>
      <c r="AG8" s="290"/>
      <c r="AH8" s="405">
        <v>3763622</v>
      </c>
      <c r="AI8" s="288"/>
    </row>
    <row r="9" spans="1:37">
      <c r="A9" s="285" t="s">
        <v>59</v>
      </c>
      <c r="B9" s="405">
        <v>22467179</v>
      </c>
      <c r="C9" s="420">
        <v>22469367</v>
      </c>
      <c r="D9" s="405">
        <v>22482163</v>
      </c>
      <c r="E9" s="405">
        <v>22488363</v>
      </c>
      <c r="F9" s="405">
        <v>22494640</v>
      </c>
      <c r="G9" s="405">
        <v>22501516</v>
      </c>
      <c r="H9" s="405">
        <v>22508460</v>
      </c>
      <c r="I9" s="405">
        <v>22515217</v>
      </c>
      <c r="J9" s="423">
        <v>22525085</v>
      </c>
      <c r="K9" s="405">
        <v>22534953</v>
      </c>
      <c r="L9" s="405">
        <v>22545796</v>
      </c>
      <c r="M9" s="405">
        <v>22556683</v>
      </c>
      <c r="N9" s="405">
        <v>22567725</v>
      </c>
      <c r="O9" s="405">
        <v>22578836</v>
      </c>
      <c r="P9" s="405">
        <v>22589648</v>
      </c>
      <c r="Q9" s="420">
        <v>22598966</v>
      </c>
      <c r="R9" s="405">
        <v>22608283</v>
      </c>
      <c r="S9" s="420">
        <v>22618680</v>
      </c>
      <c r="T9" s="420">
        <v>22629753</v>
      </c>
      <c r="U9" s="420">
        <v>22640708</v>
      </c>
      <c r="V9" s="420">
        <v>22651801</v>
      </c>
      <c r="W9" s="420">
        <v>22660002</v>
      </c>
      <c r="X9" s="420">
        <v>22669588</v>
      </c>
      <c r="Y9" s="420">
        <v>22679174</v>
      </c>
      <c r="Z9" s="420">
        <v>22688808</v>
      </c>
      <c r="AA9" s="420">
        <v>22699853</v>
      </c>
      <c r="AB9" s="420">
        <v>22710308</v>
      </c>
      <c r="AC9" s="420">
        <v>22720660</v>
      </c>
      <c r="AD9" s="420">
        <v>22732044</v>
      </c>
      <c r="AE9" s="420">
        <v>22739900</v>
      </c>
      <c r="AF9" s="420">
        <v>22747756</v>
      </c>
      <c r="AG9" s="290"/>
      <c r="AH9" s="405">
        <v>22456571</v>
      </c>
      <c r="AI9" s="288"/>
    </row>
    <row r="10" spans="1:37">
      <c r="A10" s="285" t="s">
        <v>60</v>
      </c>
      <c r="B10" s="405">
        <v>7647530</v>
      </c>
      <c r="C10" s="420">
        <v>7649255</v>
      </c>
      <c r="D10" s="405">
        <v>7655160</v>
      </c>
      <c r="E10" s="405">
        <v>7658897</v>
      </c>
      <c r="F10" s="405">
        <v>7663202</v>
      </c>
      <c r="G10" s="405">
        <v>7667339</v>
      </c>
      <c r="H10" s="405">
        <v>7671555</v>
      </c>
      <c r="I10" s="405">
        <v>7675738</v>
      </c>
      <c r="J10" s="423">
        <v>7679106</v>
      </c>
      <c r="K10" s="405">
        <v>7682474</v>
      </c>
      <c r="L10" s="405">
        <v>7685721</v>
      </c>
      <c r="M10" s="405">
        <v>7689835</v>
      </c>
      <c r="N10" s="405">
        <v>7694182</v>
      </c>
      <c r="O10" s="405">
        <v>7698518</v>
      </c>
      <c r="P10" s="405">
        <v>7702771</v>
      </c>
      <c r="Q10" s="420">
        <v>7706536</v>
      </c>
      <c r="R10" s="405">
        <v>7710300</v>
      </c>
      <c r="S10" s="420">
        <v>7714371</v>
      </c>
      <c r="T10" s="420">
        <v>7718925</v>
      </c>
      <c r="U10" s="420">
        <v>7723481</v>
      </c>
      <c r="V10" s="420">
        <v>7728106</v>
      </c>
      <c r="W10" s="420">
        <v>7732243</v>
      </c>
      <c r="X10" s="420">
        <v>7735752</v>
      </c>
      <c r="Y10" s="420">
        <v>7739260</v>
      </c>
      <c r="Z10" s="420">
        <v>7742839</v>
      </c>
      <c r="AA10" s="420">
        <v>7747615</v>
      </c>
      <c r="AB10" s="420">
        <v>7752077</v>
      </c>
      <c r="AC10" s="420">
        <v>7756557</v>
      </c>
      <c r="AD10" s="420">
        <v>7761280</v>
      </c>
      <c r="AE10" s="420">
        <v>7765418</v>
      </c>
      <c r="AF10" s="420">
        <v>7769555</v>
      </c>
      <c r="AG10" s="290"/>
      <c r="AH10" s="405">
        <v>7643350</v>
      </c>
      <c r="AI10" s="288"/>
    </row>
    <row r="11" spans="1:37">
      <c r="A11" s="285" t="s">
        <v>61</v>
      </c>
      <c r="B11" s="405">
        <v>297206</v>
      </c>
      <c r="C11" s="420">
        <v>297254</v>
      </c>
      <c r="D11" s="405">
        <v>297435</v>
      </c>
      <c r="E11" s="405">
        <v>297550</v>
      </c>
      <c r="F11" s="405">
        <v>297677</v>
      </c>
      <c r="G11" s="405">
        <v>297813</v>
      </c>
      <c r="H11" s="405">
        <v>297949</v>
      </c>
      <c r="I11" s="405">
        <v>298083</v>
      </c>
      <c r="J11" s="423">
        <v>298196</v>
      </c>
      <c r="K11" s="405">
        <v>298310</v>
      </c>
      <c r="L11" s="405">
        <v>298424</v>
      </c>
      <c r="M11" s="405">
        <v>298555</v>
      </c>
      <c r="N11" s="405">
        <v>298688</v>
      </c>
      <c r="O11" s="405">
        <v>298828</v>
      </c>
      <c r="P11" s="405">
        <v>298961</v>
      </c>
      <c r="Q11" s="420">
        <v>299085</v>
      </c>
      <c r="R11" s="405">
        <v>299209</v>
      </c>
      <c r="S11" s="420">
        <v>299339</v>
      </c>
      <c r="T11" s="420">
        <v>299482</v>
      </c>
      <c r="U11" s="420">
        <v>299626</v>
      </c>
      <c r="V11" s="420">
        <v>299768</v>
      </c>
      <c r="W11" s="420">
        <v>299911</v>
      </c>
      <c r="X11" s="420">
        <v>300032</v>
      </c>
      <c r="Y11" s="420">
        <v>300154</v>
      </c>
      <c r="Z11" s="420">
        <v>300281</v>
      </c>
      <c r="AA11" s="420">
        <v>300426</v>
      </c>
      <c r="AB11" s="420">
        <v>300554</v>
      </c>
      <c r="AC11" s="420">
        <v>300683</v>
      </c>
      <c r="AD11" s="420">
        <v>300815</v>
      </c>
      <c r="AE11" s="420">
        <v>300929</v>
      </c>
      <c r="AF11" s="420">
        <v>301044</v>
      </c>
      <c r="AG11" s="290"/>
      <c r="AH11" s="405">
        <v>297073</v>
      </c>
      <c r="AI11" s="288"/>
    </row>
    <row r="12" spans="1:37">
      <c r="A12" s="291" t="s">
        <v>62</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6"/>
      <c r="AC12" s="406"/>
      <c r="AD12" s="406" t="s">
        <v>2793</v>
      </c>
      <c r="AE12" s="406" t="s">
        <v>2793</v>
      </c>
      <c r="AF12" s="406" t="s">
        <v>2793</v>
      </c>
      <c r="AG12" s="407"/>
      <c r="AH12" s="406"/>
      <c r="AI12" s="294"/>
      <c r="AJ12" s="294"/>
      <c r="AK12" s="294"/>
    </row>
    <row r="13" spans="1:37" ht="51">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ht="51">
      <c r="A14" s="282" t="s">
        <v>995</v>
      </c>
      <c r="B14" s="409">
        <v>8514</v>
      </c>
      <c r="C14" s="423">
        <v>8597</v>
      </c>
      <c r="D14" s="409">
        <v>8597</v>
      </c>
      <c r="E14" s="409">
        <v>8670</v>
      </c>
      <c r="F14" s="409">
        <v>8733</v>
      </c>
      <c r="G14" s="409">
        <v>8803</v>
      </c>
      <c r="H14" s="409">
        <v>8867</v>
      </c>
      <c r="I14" s="409">
        <v>9032</v>
      </c>
      <c r="J14" s="409">
        <v>9112</v>
      </c>
      <c r="K14" s="409">
        <v>9193</v>
      </c>
      <c r="L14" s="409">
        <v>9257</v>
      </c>
      <c r="M14" s="409">
        <v>9325</v>
      </c>
      <c r="N14" s="409">
        <v>9393</v>
      </c>
      <c r="O14" s="409">
        <v>9466</v>
      </c>
      <c r="P14" s="409">
        <v>9551</v>
      </c>
      <c r="Q14" s="409">
        <v>9600</v>
      </c>
      <c r="R14" s="409">
        <v>9649</v>
      </c>
      <c r="S14" s="409">
        <v>9713</v>
      </c>
      <c r="T14" s="409">
        <v>9787</v>
      </c>
      <c r="U14" s="409">
        <v>9888</v>
      </c>
      <c r="V14" s="409">
        <v>9959</v>
      </c>
      <c r="W14" s="409">
        <v>10145</v>
      </c>
      <c r="X14" s="409">
        <v>10145</v>
      </c>
      <c r="Y14" s="409">
        <v>10418</v>
      </c>
      <c r="Z14" s="409">
        <v>10503</v>
      </c>
      <c r="AA14" s="409">
        <v>10595</v>
      </c>
      <c r="AB14" s="409">
        <v>10687</v>
      </c>
      <c r="AC14" s="409">
        <v>10841</v>
      </c>
      <c r="AD14" s="409">
        <v>10927</v>
      </c>
      <c r="AE14" s="409">
        <v>11001</v>
      </c>
      <c r="AF14" s="409">
        <v>11076</v>
      </c>
      <c r="AG14" s="301">
        <v>2637</v>
      </c>
      <c r="AH14" s="409">
        <v>8439</v>
      </c>
      <c r="AI14" s="299">
        <v>2637</v>
      </c>
      <c r="AJ14" s="299"/>
      <c r="AK14" s="410"/>
    </row>
    <row r="15" spans="1:37" ht="89.25">
      <c r="A15" s="282" t="s">
        <v>67</v>
      </c>
      <c r="B15" s="409">
        <v>8321</v>
      </c>
      <c r="C15" s="423">
        <v>8321</v>
      </c>
      <c r="D15" s="409">
        <v>8321</v>
      </c>
      <c r="E15" s="409">
        <v>8321</v>
      </c>
      <c r="F15" s="409">
        <v>8321</v>
      </c>
      <c r="G15" s="409">
        <v>8321</v>
      </c>
      <c r="H15" s="409">
        <v>8321</v>
      </c>
      <c r="I15" s="409">
        <v>8321</v>
      </c>
      <c r="J15" s="409">
        <v>8321</v>
      </c>
      <c r="K15" s="409">
        <v>8321</v>
      </c>
      <c r="L15" s="409">
        <v>8321</v>
      </c>
      <c r="M15" s="409">
        <v>8321</v>
      </c>
      <c r="N15" s="409">
        <v>8321</v>
      </c>
      <c r="O15" s="409">
        <v>8321</v>
      </c>
      <c r="P15" s="409">
        <v>8321</v>
      </c>
      <c r="Q15" s="409">
        <v>8321</v>
      </c>
      <c r="R15" s="409">
        <v>8321</v>
      </c>
      <c r="S15" s="409">
        <v>8321</v>
      </c>
      <c r="T15" s="409">
        <v>8321</v>
      </c>
      <c r="U15" s="409">
        <v>8321</v>
      </c>
      <c r="V15" s="409">
        <v>8321</v>
      </c>
      <c r="W15" s="409">
        <v>8321</v>
      </c>
      <c r="X15" s="409">
        <v>8321</v>
      </c>
      <c r="Y15" s="409">
        <v>8321</v>
      </c>
      <c r="Z15" s="409">
        <v>8321</v>
      </c>
      <c r="AA15" s="409">
        <v>8321</v>
      </c>
      <c r="AB15" s="409">
        <v>8321</v>
      </c>
      <c r="AC15" s="409">
        <v>8321</v>
      </c>
      <c r="AD15" s="409">
        <v>8321</v>
      </c>
      <c r="AE15" s="409">
        <v>8321</v>
      </c>
      <c r="AF15" s="409">
        <v>8321</v>
      </c>
      <c r="AG15" s="301">
        <v>0</v>
      </c>
      <c r="AH15" s="409">
        <v>8321</v>
      </c>
      <c r="AI15" s="144">
        <v>0</v>
      </c>
      <c r="AJ15" s="299"/>
      <c r="AK15" s="411"/>
    </row>
    <row r="16" spans="1:37" ht="89.25">
      <c r="A16" s="282" t="s">
        <v>68</v>
      </c>
      <c r="B16" s="409">
        <v>12874</v>
      </c>
      <c r="C16" s="423">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v>0</v>
      </c>
      <c r="AH16" s="409">
        <v>12874</v>
      </c>
      <c r="AI16" s="144">
        <v>0</v>
      </c>
      <c r="AJ16" s="299"/>
      <c r="AK16" s="411"/>
    </row>
    <row r="17" spans="1:37">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406"/>
      <c r="AG17" s="301">
        <v>0</v>
      </c>
      <c r="AH17" s="406"/>
      <c r="AI17" s="144">
        <v>0</v>
      </c>
      <c r="AK17" s="411"/>
    </row>
    <row r="18" spans="1:37" ht="38.25">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408" t="s">
        <v>64</v>
      </c>
      <c r="AG18" s="301" t="e">
        <v>#VALUE!</v>
      </c>
      <c r="AH18" s="408" t="s">
        <v>64</v>
      </c>
      <c r="AK18" s="412"/>
    </row>
    <row r="19" spans="1:37" ht="89.25">
      <c r="A19" s="282" t="s">
        <v>70</v>
      </c>
      <c r="B19" s="413">
        <v>83896</v>
      </c>
      <c r="C19" s="423">
        <v>83954</v>
      </c>
      <c r="D19" s="413">
        <v>84012</v>
      </c>
      <c r="E19" s="413">
        <v>84036</v>
      </c>
      <c r="F19" s="413">
        <v>84074</v>
      </c>
      <c r="G19" s="413">
        <v>84124</v>
      </c>
      <c r="H19" s="413">
        <v>84175</v>
      </c>
      <c r="I19" s="413">
        <v>84209</v>
      </c>
      <c r="J19" s="413">
        <v>84234</v>
      </c>
      <c r="K19" s="413">
        <v>84259</v>
      </c>
      <c r="L19" s="413">
        <v>84285</v>
      </c>
      <c r="M19" s="413">
        <v>84315</v>
      </c>
      <c r="N19" s="413">
        <v>84368</v>
      </c>
      <c r="O19" s="413">
        <v>84397</v>
      </c>
      <c r="P19" s="413">
        <v>84315</v>
      </c>
      <c r="Q19" s="413">
        <v>84405</v>
      </c>
      <c r="R19" s="413">
        <v>84496</v>
      </c>
      <c r="S19" s="413">
        <v>84526</v>
      </c>
      <c r="T19" s="413">
        <v>84578</v>
      </c>
      <c r="U19" s="413">
        <v>84634</v>
      </c>
      <c r="V19" s="413">
        <v>84663</v>
      </c>
      <c r="W19" s="413">
        <v>84696</v>
      </c>
      <c r="X19" s="413">
        <v>84696</v>
      </c>
      <c r="Y19" s="413">
        <v>84749</v>
      </c>
      <c r="Z19" s="413">
        <v>84778</v>
      </c>
      <c r="AA19" s="413">
        <v>84810</v>
      </c>
      <c r="AB19" s="413">
        <v>84842</v>
      </c>
      <c r="AC19" s="413">
        <v>84871</v>
      </c>
      <c r="AD19" s="413">
        <v>84898</v>
      </c>
      <c r="AE19" s="413">
        <v>84925</v>
      </c>
      <c r="AF19" s="413">
        <v>84952</v>
      </c>
      <c r="AG19" s="301">
        <v>1056</v>
      </c>
      <c r="AH19" s="413">
        <v>83896</v>
      </c>
      <c r="AI19" s="307">
        <v>1056</v>
      </c>
      <c r="AJ19" s="307"/>
      <c r="AK19" s="410"/>
    </row>
    <row r="20" spans="1:37" ht="89.25">
      <c r="A20" s="282" t="s">
        <v>2715</v>
      </c>
      <c r="B20" s="413">
        <v>7788</v>
      </c>
      <c r="C20" s="42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413">
        <v>7788</v>
      </c>
      <c r="AG20" s="301">
        <v>0</v>
      </c>
      <c r="AH20" s="413">
        <v>7788</v>
      </c>
      <c r="AI20" s="144">
        <v>0</v>
      </c>
      <c r="AJ20" s="307"/>
      <c r="AK20" s="414"/>
    </row>
    <row r="21" spans="1:37" ht="63.75">
      <c r="A21" s="282" t="s">
        <v>72</v>
      </c>
      <c r="B21" s="409">
        <v>206245</v>
      </c>
      <c r="C21" s="423">
        <v>206392</v>
      </c>
      <c r="D21" s="409">
        <v>206540</v>
      </c>
      <c r="E21" s="409">
        <v>206540</v>
      </c>
      <c r="F21" s="409">
        <v>206744</v>
      </c>
      <c r="G21" s="409">
        <v>207005</v>
      </c>
      <c r="H21" s="409">
        <v>207234</v>
      </c>
      <c r="I21" s="409">
        <v>207446</v>
      </c>
      <c r="J21" s="409">
        <v>207675</v>
      </c>
      <c r="K21" s="409">
        <v>207903</v>
      </c>
      <c r="L21" s="409">
        <v>208157</v>
      </c>
      <c r="M21" s="409">
        <v>208423</v>
      </c>
      <c r="N21" s="409">
        <v>208708</v>
      </c>
      <c r="O21" s="409">
        <v>208972</v>
      </c>
      <c r="P21" s="409">
        <v>208972</v>
      </c>
      <c r="Q21" s="409">
        <v>209347</v>
      </c>
      <c r="R21" s="409">
        <v>209722</v>
      </c>
      <c r="S21" s="409">
        <v>209984</v>
      </c>
      <c r="T21" s="409">
        <v>210245</v>
      </c>
      <c r="U21" s="409">
        <v>210520</v>
      </c>
      <c r="V21" s="409">
        <v>210788</v>
      </c>
      <c r="W21" s="409">
        <v>211055</v>
      </c>
      <c r="X21" s="409">
        <v>211055</v>
      </c>
      <c r="Y21" s="409">
        <v>211544</v>
      </c>
      <c r="Z21" s="409">
        <v>211804</v>
      </c>
      <c r="AA21" s="409">
        <v>212076</v>
      </c>
      <c r="AB21" s="409">
        <v>212340</v>
      </c>
      <c r="AC21" s="409">
        <v>212629</v>
      </c>
      <c r="AD21" s="409">
        <v>212884</v>
      </c>
      <c r="AE21" s="409">
        <v>213131</v>
      </c>
      <c r="AF21" s="409">
        <v>213379</v>
      </c>
      <c r="AG21" s="301">
        <v>6926</v>
      </c>
      <c r="AH21" s="409">
        <v>206453</v>
      </c>
      <c r="AI21" s="144">
        <v>6926</v>
      </c>
      <c r="AJ21" s="307"/>
      <c r="AK21" s="415"/>
    </row>
    <row r="22" spans="1:37" ht="51">
      <c r="A22" s="282" t="s">
        <v>73</v>
      </c>
      <c r="B22" s="409">
        <v>217052</v>
      </c>
      <c r="C22" s="423">
        <v>217052</v>
      </c>
      <c r="D22" s="409">
        <v>217052</v>
      </c>
      <c r="E22" s="409">
        <v>217052</v>
      </c>
      <c r="F22" s="409">
        <v>217052</v>
      </c>
      <c r="G22" s="409">
        <v>217052</v>
      </c>
      <c r="H22" s="409">
        <v>217052</v>
      </c>
      <c r="I22" s="409">
        <v>217052</v>
      </c>
      <c r="J22" s="409">
        <v>217052</v>
      </c>
      <c r="K22" s="409">
        <v>217052</v>
      </c>
      <c r="L22" s="409">
        <v>217052</v>
      </c>
      <c r="M22" s="409">
        <v>217052</v>
      </c>
      <c r="N22" s="409">
        <v>217052</v>
      </c>
      <c r="O22" s="409">
        <v>217052</v>
      </c>
      <c r="P22" s="409">
        <v>217052</v>
      </c>
      <c r="Q22" s="409">
        <v>217052</v>
      </c>
      <c r="R22" s="409">
        <v>217052</v>
      </c>
      <c r="S22" s="409">
        <v>217052</v>
      </c>
      <c r="T22" s="409">
        <v>217052</v>
      </c>
      <c r="U22" s="409">
        <v>217052</v>
      </c>
      <c r="V22" s="409">
        <v>217052</v>
      </c>
      <c r="W22" s="409">
        <v>217052</v>
      </c>
      <c r="X22" s="409">
        <v>217052</v>
      </c>
      <c r="Y22" s="409">
        <v>217052</v>
      </c>
      <c r="Z22" s="409">
        <v>217052</v>
      </c>
      <c r="AA22" s="409">
        <v>217052</v>
      </c>
      <c r="AB22" s="409">
        <v>217052</v>
      </c>
      <c r="AC22" s="409">
        <v>217052</v>
      </c>
      <c r="AD22" s="409">
        <v>217052</v>
      </c>
      <c r="AE22" s="409">
        <v>217052</v>
      </c>
      <c r="AF22" s="409">
        <v>217052</v>
      </c>
      <c r="AG22" s="301">
        <v>0</v>
      </c>
      <c r="AH22" s="409">
        <v>217052</v>
      </c>
      <c r="AI22" s="144">
        <v>0</v>
      </c>
      <c r="AJ22" s="307"/>
      <c r="AK22" s="414"/>
    </row>
    <row r="23" spans="1:37" ht="51">
      <c r="A23" s="309" t="s">
        <v>136</v>
      </c>
      <c r="B23" s="409">
        <v>12688</v>
      </c>
      <c r="C23" s="423">
        <v>12693</v>
      </c>
      <c r="D23" s="409">
        <v>12697</v>
      </c>
      <c r="E23" s="409">
        <v>12699</v>
      </c>
      <c r="F23" s="409">
        <v>12709</v>
      </c>
      <c r="G23" s="409">
        <v>12719</v>
      </c>
      <c r="H23" s="409">
        <v>12729</v>
      </c>
      <c r="I23" s="409">
        <v>12739</v>
      </c>
      <c r="J23" s="409">
        <v>12743</v>
      </c>
      <c r="K23" s="409">
        <v>12748</v>
      </c>
      <c r="L23" s="409">
        <v>12750</v>
      </c>
      <c r="M23" s="409">
        <v>12762</v>
      </c>
      <c r="N23" s="409">
        <v>12773</v>
      </c>
      <c r="O23" s="409">
        <v>12783</v>
      </c>
      <c r="P23" s="409">
        <v>12794</v>
      </c>
      <c r="Q23" s="409">
        <v>12800</v>
      </c>
      <c r="R23" s="409">
        <v>12806</v>
      </c>
      <c r="S23" s="409">
        <v>12807</v>
      </c>
      <c r="T23" s="409">
        <v>12819</v>
      </c>
      <c r="U23" s="409">
        <v>12830</v>
      </c>
      <c r="V23" s="409">
        <v>12841</v>
      </c>
      <c r="W23" s="409">
        <v>12852</v>
      </c>
      <c r="X23" s="409">
        <v>12852</v>
      </c>
      <c r="Y23" s="409">
        <v>12863</v>
      </c>
      <c r="Z23" s="409">
        <v>12866</v>
      </c>
      <c r="AA23" s="409">
        <v>12877</v>
      </c>
      <c r="AB23" s="409">
        <v>12885</v>
      </c>
      <c r="AC23" s="409">
        <v>12900</v>
      </c>
      <c r="AD23" s="409">
        <v>12912</v>
      </c>
      <c r="AE23" s="409">
        <v>12918</v>
      </c>
      <c r="AF23" s="409">
        <v>12924</v>
      </c>
      <c r="AG23" s="301">
        <v>246</v>
      </c>
      <c r="AH23" s="409">
        <v>12678</v>
      </c>
      <c r="AI23" s="144">
        <v>246</v>
      </c>
      <c r="AJ23" s="307"/>
      <c r="AK23" s="414"/>
    </row>
    <row r="24" spans="1:37" ht="51">
      <c r="A24" s="309" t="s">
        <v>139</v>
      </c>
      <c r="B24" s="409">
        <v>8717</v>
      </c>
      <c r="C24" s="423">
        <v>8719</v>
      </c>
      <c r="D24" s="409">
        <v>8722</v>
      </c>
      <c r="E24" s="409">
        <v>8723</v>
      </c>
      <c r="F24" s="409">
        <v>8730</v>
      </c>
      <c r="G24" s="409">
        <v>8736</v>
      </c>
      <c r="H24" s="409">
        <v>8742</v>
      </c>
      <c r="I24" s="409">
        <v>8747</v>
      </c>
      <c r="J24" s="409">
        <v>8750</v>
      </c>
      <c r="K24" s="409">
        <v>8752</v>
      </c>
      <c r="L24" s="409">
        <v>8755</v>
      </c>
      <c r="M24" s="409">
        <v>8763</v>
      </c>
      <c r="N24" s="409">
        <v>8768</v>
      </c>
      <c r="O24" s="409">
        <v>8779</v>
      </c>
      <c r="P24" s="409">
        <v>8790</v>
      </c>
      <c r="Q24" s="409">
        <v>8795</v>
      </c>
      <c r="R24" s="409">
        <v>8801</v>
      </c>
      <c r="S24" s="409">
        <v>8807</v>
      </c>
      <c r="T24" s="409">
        <v>8818</v>
      </c>
      <c r="U24" s="409">
        <v>8833</v>
      </c>
      <c r="V24" s="409">
        <v>8842</v>
      </c>
      <c r="W24" s="409">
        <v>8854</v>
      </c>
      <c r="X24" s="409">
        <v>8854</v>
      </c>
      <c r="Y24" s="409">
        <v>8872</v>
      </c>
      <c r="Z24" s="409">
        <v>8880</v>
      </c>
      <c r="AA24" s="409">
        <v>8892</v>
      </c>
      <c r="AB24" s="409">
        <v>8903</v>
      </c>
      <c r="AC24" s="409">
        <v>8922</v>
      </c>
      <c r="AD24" s="409">
        <v>8931</v>
      </c>
      <c r="AE24" s="409">
        <v>8934</v>
      </c>
      <c r="AF24" s="409">
        <v>8937</v>
      </c>
      <c r="AG24" s="301">
        <v>230</v>
      </c>
      <c r="AH24" s="409">
        <v>8707</v>
      </c>
      <c r="AI24" s="144">
        <v>230</v>
      </c>
      <c r="AJ24" s="307"/>
      <c r="AK24" s="414"/>
    </row>
    <row r="25" spans="1:37" ht="51">
      <c r="A25" s="309" t="s">
        <v>142</v>
      </c>
      <c r="B25" s="409">
        <v>3515</v>
      </c>
      <c r="C25" s="423">
        <v>3516</v>
      </c>
      <c r="D25" s="409">
        <v>3517</v>
      </c>
      <c r="E25" s="409">
        <v>3518</v>
      </c>
      <c r="F25" s="409">
        <v>3520</v>
      </c>
      <c r="G25" s="409">
        <v>3525</v>
      </c>
      <c r="H25" s="409">
        <v>3528</v>
      </c>
      <c r="I25" s="409">
        <v>3531</v>
      </c>
      <c r="J25" s="409">
        <v>3533</v>
      </c>
      <c r="K25" s="409">
        <v>3535</v>
      </c>
      <c r="L25" s="409">
        <v>3535</v>
      </c>
      <c r="M25" s="409">
        <v>3537</v>
      </c>
      <c r="N25" s="409">
        <v>3540</v>
      </c>
      <c r="O25" s="409">
        <v>3542</v>
      </c>
      <c r="P25" s="409">
        <v>3545</v>
      </c>
      <c r="Q25" s="409">
        <v>3546</v>
      </c>
      <c r="R25" s="409">
        <v>3547</v>
      </c>
      <c r="S25" s="409">
        <v>3547</v>
      </c>
      <c r="T25" s="409">
        <v>3550</v>
      </c>
      <c r="U25" s="409">
        <v>3553</v>
      </c>
      <c r="V25" s="409">
        <v>3556</v>
      </c>
      <c r="W25" s="409">
        <v>3559</v>
      </c>
      <c r="X25" s="409">
        <v>3559</v>
      </c>
      <c r="Y25" s="409">
        <v>3562</v>
      </c>
      <c r="Z25" s="409">
        <v>3562</v>
      </c>
      <c r="AA25" s="409">
        <v>3563</v>
      </c>
      <c r="AB25" s="409">
        <v>3563</v>
      </c>
      <c r="AC25" s="409">
        <v>3575</v>
      </c>
      <c r="AD25" s="409">
        <v>3581</v>
      </c>
      <c r="AE25" s="409">
        <v>3585</v>
      </c>
      <c r="AF25" s="409">
        <v>3588</v>
      </c>
      <c r="AG25" s="301">
        <v>76</v>
      </c>
      <c r="AH25" s="409">
        <v>3512</v>
      </c>
      <c r="AI25" s="144">
        <v>76</v>
      </c>
      <c r="AJ25" s="307"/>
      <c r="AK25" s="414"/>
    </row>
    <row r="26" spans="1:37" ht="51">
      <c r="A26" s="309" t="s">
        <v>145</v>
      </c>
      <c r="B26" s="409">
        <v>2001</v>
      </c>
      <c r="C26" s="423">
        <v>2002</v>
      </c>
      <c r="D26" s="409">
        <v>2003</v>
      </c>
      <c r="E26" s="409">
        <v>2004</v>
      </c>
      <c r="F26" s="409">
        <v>2006</v>
      </c>
      <c r="G26" s="409">
        <v>2008</v>
      </c>
      <c r="H26" s="409">
        <v>2010</v>
      </c>
      <c r="I26" s="409">
        <v>2012</v>
      </c>
      <c r="J26" s="409">
        <v>2012</v>
      </c>
      <c r="K26" s="409">
        <v>2014</v>
      </c>
      <c r="L26" s="409">
        <v>2016</v>
      </c>
      <c r="M26" s="409">
        <v>2018</v>
      </c>
      <c r="N26" s="409">
        <v>2020</v>
      </c>
      <c r="O26" s="409">
        <v>2022</v>
      </c>
      <c r="P26" s="409">
        <v>2024</v>
      </c>
      <c r="Q26" s="409">
        <v>2025</v>
      </c>
      <c r="R26" s="409">
        <v>2026</v>
      </c>
      <c r="S26" s="409">
        <v>2027</v>
      </c>
      <c r="T26" s="409">
        <v>2030</v>
      </c>
      <c r="U26" s="409">
        <v>2032</v>
      </c>
      <c r="V26" s="409">
        <v>2034</v>
      </c>
      <c r="W26" s="409">
        <v>2036</v>
      </c>
      <c r="X26" s="409">
        <v>2036</v>
      </c>
      <c r="Y26" s="409">
        <v>2036</v>
      </c>
      <c r="Z26" s="409">
        <v>2039</v>
      </c>
      <c r="AA26" s="409">
        <v>2041</v>
      </c>
      <c r="AB26" s="409">
        <v>2043</v>
      </c>
      <c r="AC26" s="409">
        <v>2047</v>
      </c>
      <c r="AD26" s="409">
        <v>2050</v>
      </c>
      <c r="AE26" s="409">
        <v>2051</v>
      </c>
      <c r="AF26" s="409">
        <v>2052</v>
      </c>
      <c r="AG26" s="301">
        <v>53</v>
      </c>
      <c r="AH26" s="409">
        <v>1999</v>
      </c>
      <c r="AI26" s="144">
        <v>53</v>
      </c>
      <c r="AJ26" s="307"/>
      <c r="AK26" s="414"/>
    </row>
    <row r="27" spans="1:37" ht="51">
      <c r="A27" s="309" t="s">
        <v>148</v>
      </c>
      <c r="B27" s="409">
        <v>14152</v>
      </c>
      <c r="C27" s="423">
        <v>14155</v>
      </c>
      <c r="D27" s="409">
        <v>14159</v>
      </c>
      <c r="E27" s="409">
        <v>14163</v>
      </c>
      <c r="F27" s="409">
        <v>14171</v>
      </c>
      <c r="G27" s="409">
        <v>14178</v>
      </c>
      <c r="H27" s="409">
        <v>14185</v>
      </c>
      <c r="I27" s="409">
        <v>14192</v>
      </c>
      <c r="J27" s="409">
        <v>14197</v>
      </c>
      <c r="K27" s="409">
        <v>14201</v>
      </c>
      <c r="L27" s="409">
        <v>14204</v>
      </c>
      <c r="M27" s="409">
        <v>14204</v>
      </c>
      <c r="N27" s="409">
        <v>14224</v>
      </c>
      <c r="O27" s="409">
        <v>14234</v>
      </c>
      <c r="P27" s="409">
        <v>14244</v>
      </c>
      <c r="Q27" s="409">
        <v>14249</v>
      </c>
      <c r="R27" s="409">
        <v>14254</v>
      </c>
      <c r="S27" s="409">
        <v>14258</v>
      </c>
      <c r="T27" s="409">
        <v>14268</v>
      </c>
      <c r="U27" s="409">
        <v>14280</v>
      </c>
      <c r="V27" s="409">
        <v>14291</v>
      </c>
      <c r="W27" s="409">
        <v>14301</v>
      </c>
      <c r="X27" s="409">
        <v>14301</v>
      </c>
      <c r="Y27" s="409">
        <v>14312</v>
      </c>
      <c r="Z27" s="409">
        <v>14314</v>
      </c>
      <c r="AA27" s="409">
        <v>14327</v>
      </c>
      <c r="AB27" s="409">
        <v>14331</v>
      </c>
      <c r="AC27" s="409">
        <v>14352</v>
      </c>
      <c r="AD27" s="409">
        <v>14362</v>
      </c>
      <c r="AE27" s="409">
        <v>14376</v>
      </c>
      <c r="AF27" s="409">
        <v>14390</v>
      </c>
      <c r="AG27" s="301">
        <v>245</v>
      </c>
      <c r="AH27" s="409">
        <v>14145</v>
      </c>
      <c r="AI27" s="144">
        <v>245</v>
      </c>
      <c r="AJ27" s="307"/>
      <c r="AK27" s="414"/>
    </row>
    <row r="28" spans="1:37" ht="51">
      <c r="A28" s="309" t="s">
        <v>151</v>
      </c>
      <c r="B28" s="409">
        <v>1339</v>
      </c>
      <c r="C28" s="423">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409">
        <v>1339</v>
      </c>
      <c r="AG28" s="301">
        <v>0</v>
      </c>
      <c r="AH28" s="409">
        <v>1339</v>
      </c>
      <c r="AI28" s="144">
        <v>0</v>
      </c>
      <c r="AJ28" s="307"/>
      <c r="AK28" s="414"/>
    </row>
    <row r="29" spans="1:37" ht="51">
      <c r="A29" s="309" t="s">
        <v>154</v>
      </c>
      <c r="B29" s="409">
        <v>895</v>
      </c>
      <c r="C29" s="423">
        <v>895</v>
      </c>
      <c r="D29" s="409">
        <v>895</v>
      </c>
      <c r="E29" s="409">
        <v>895</v>
      </c>
      <c r="F29" s="409">
        <v>895</v>
      </c>
      <c r="G29" s="409">
        <v>895</v>
      </c>
      <c r="H29" s="409">
        <v>895</v>
      </c>
      <c r="I29" s="409">
        <v>895</v>
      </c>
      <c r="J29" s="409">
        <v>895</v>
      </c>
      <c r="K29" s="409">
        <v>895</v>
      </c>
      <c r="L29" s="409">
        <v>895</v>
      </c>
      <c r="M29" s="409">
        <v>895</v>
      </c>
      <c r="N29" s="409">
        <v>895</v>
      </c>
      <c r="O29" s="409">
        <v>895</v>
      </c>
      <c r="P29" s="409">
        <v>895</v>
      </c>
      <c r="Q29" s="409">
        <v>895</v>
      </c>
      <c r="R29" s="409">
        <v>895</v>
      </c>
      <c r="S29" s="409">
        <v>895</v>
      </c>
      <c r="T29" s="409">
        <v>895</v>
      </c>
      <c r="U29" s="409">
        <v>895</v>
      </c>
      <c r="V29" s="409">
        <v>895</v>
      </c>
      <c r="W29" s="409">
        <v>895</v>
      </c>
      <c r="X29" s="409">
        <v>895</v>
      </c>
      <c r="Y29" s="409">
        <v>895</v>
      </c>
      <c r="Z29" s="409">
        <v>895</v>
      </c>
      <c r="AA29" s="409">
        <v>895</v>
      </c>
      <c r="AB29" s="409">
        <v>895</v>
      </c>
      <c r="AC29" s="409">
        <v>895</v>
      </c>
      <c r="AD29" s="409">
        <v>895</v>
      </c>
      <c r="AE29" s="409">
        <v>895</v>
      </c>
      <c r="AF29" s="409">
        <v>895</v>
      </c>
      <c r="AG29" s="301">
        <v>0</v>
      </c>
      <c r="AH29" s="409">
        <v>895</v>
      </c>
      <c r="AI29" s="144">
        <v>0</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ht="38.25">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76.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416" t="s">
        <v>78</v>
      </c>
      <c r="AG32" s="301"/>
      <c r="AH32" s="416" t="s">
        <v>78</v>
      </c>
    </row>
    <row r="33" spans="1:34" ht="76.5">
      <c r="A33" s="282" t="s">
        <v>80</v>
      </c>
      <c r="B33" s="416" t="s">
        <v>2791</v>
      </c>
      <c r="C33" s="416" t="s">
        <v>2791</v>
      </c>
      <c r="D33" s="416" t="s">
        <v>2791</v>
      </c>
      <c r="E33" s="416" t="s">
        <v>2791</v>
      </c>
      <c r="F33" s="416" t="s">
        <v>2791</v>
      </c>
      <c r="G33" s="416" t="s">
        <v>2791</v>
      </c>
      <c r="H33" s="416" t="s">
        <v>2791</v>
      </c>
      <c r="I33" s="416" t="s">
        <v>2791</v>
      </c>
      <c r="J33" s="416" t="s">
        <v>2791</v>
      </c>
      <c r="K33" s="416" t="s">
        <v>2791</v>
      </c>
      <c r="L33" s="416" t="s">
        <v>2791</v>
      </c>
      <c r="M33" s="416" t="s">
        <v>2791</v>
      </c>
      <c r="N33" s="416" t="s">
        <v>2791</v>
      </c>
      <c r="O33" s="416" t="s">
        <v>2791</v>
      </c>
      <c r="P33" s="416" t="s">
        <v>2791</v>
      </c>
      <c r="Q33" s="416" t="s">
        <v>2791</v>
      </c>
      <c r="R33" s="416" t="s">
        <v>2791</v>
      </c>
      <c r="S33" s="416" t="s">
        <v>2791</v>
      </c>
      <c r="T33" s="416" t="s">
        <v>2791</v>
      </c>
      <c r="U33" s="416" t="s">
        <v>2791</v>
      </c>
      <c r="V33" s="416" t="s">
        <v>2791</v>
      </c>
      <c r="W33" s="416" t="s">
        <v>2791</v>
      </c>
      <c r="X33" s="416" t="s">
        <v>2791</v>
      </c>
      <c r="Y33" s="416" t="s">
        <v>2791</v>
      </c>
      <c r="Z33" s="416" t="s">
        <v>2791</v>
      </c>
      <c r="AA33" s="416" t="s">
        <v>2791</v>
      </c>
      <c r="AB33" s="416" t="s">
        <v>2791</v>
      </c>
      <c r="AC33" s="416" t="s">
        <v>2791</v>
      </c>
      <c r="AD33" s="416" t="s">
        <v>2791</v>
      </c>
      <c r="AE33" s="416" t="s">
        <v>2791</v>
      </c>
      <c r="AF33" s="416" t="s">
        <v>2791</v>
      </c>
      <c r="AG33" s="301"/>
      <c r="AH33" s="416" t="s">
        <v>2791</v>
      </c>
    </row>
    <row r="34" spans="1:34" ht="51.75" thickBot="1">
      <c r="A34" s="310" t="s">
        <v>81</v>
      </c>
      <c r="B34" s="417" t="s">
        <v>2792</v>
      </c>
      <c r="C34" s="417" t="s">
        <v>2792</v>
      </c>
      <c r="D34" s="417" t="s">
        <v>2792</v>
      </c>
      <c r="E34" s="417" t="s">
        <v>2792</v>
      </c>
      <c r="F34" s="417" t="s">
        <v>2792</v>
      </c>
      <c r="G34" s="417" t="s">
        <v>2792</v>
      </c>
      <c r="H34" s="417" t="s">
        <v>2792</v>
      </c>
      <c r="I34" s="417" t="s">
        <v>2792</v>
      </c>
      <c r="J34" s="417" t="s">
        <v>2792</v>
      </c>
      <c r="K34" s="417" t="s">
        <v>2792</v>
      </c>
      <c r="L34" s="417" t="s">
        <v>2792</v>
      </c>
      <c r="M34" s="417" t="s">
        <v>2792</v>
      </c>
      <c r="N34" s="417" t="s">
        <v>2792</v>
      </c>
      <c r="O34" s="417" t="s">
        <v>2792</v>
      </c>
      <c r="P34" s="417" t="s">
        <v>2792</v>
      </c>
      <c r="Q34" s="417" t="s">
        <v>2792</v>
      </c>
      <c r="R34" s="417" t="s">
        <v>2792</v>
      </c>
      <c r="S34" s="417" t="s">
        <v>2792</v>
      </c>
      <c r="T34" s="417" t="s">
        <v>2792</v>
      </c>
      <c r="U34" s="417" t="s">
        <v>2792</v>
      </c>
      <c r="V34" s="417" t="s">
        <v>2792</v>
      </c>
      <c r="W34" s="417" t="s">
        <v>2792</v>
      </c>
      <c r="X34" s="417" t="s">
        <v>2792</v>
      </c>
      <c r="Y34" s="417" t="s">
        <v>2792</v>
      </c>
      <c r="Z34" s="417" t="s">
        <v>2792</v>
      </c>
      <c r="AA34" s="417" t="s">
        <v>2792</v>
      </c>
      <c r="AB34" s="417" t="s">
        <v>2792</v>
      </c>
      <c r="AC34" s="417" t="s">
        <v>2792</v>
      </c>
      <c r="AD34" s="417" t="s">
        <v>2792</v>
      </c>
      <c r="AE34" s="417" t="s">
        <v>2792</v>
      </c>
      <c r="AF34" s="417" t="s">
        <v>2792</v>
      </c>
      <c r="AG34" s="301"/>
      <c r="AH34" s="417" t="s">
        <v>2792</v>
      </c>
    </row>
    <row r="35" spans="1:34">
      <c r="AG35" s="211"/>
    </row>
    <row r="36" spans="1:34">
      <c r="AG36" s="211"/>
    </row>
  </sheetData>
  <mergeCells count="1">
    <mergeCell ref="A1:AH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CB10-2BE9-4D0B-92B8-1999E6FF8FD1}">
  <dimension ref="A1:AJ36"/>
  <sheetViews>
    <sheetView topLeftCell="P1"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15.710937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45536</v>
      </c>
      <c r="C2" s="281">
        <v>45537</v>
      </c>
      <c r="D2" s="281">
        <v>45538</v>
      </c>
      <c r="E2" s="281">
        <v>45539</v>
      </c>
      <c r="F2" s="281">
        <v>45540</v>
      </c>
      <c r="G2" s="281">
        <v>45541</v>
      </c>
      <c r="H2" s="281">
        <v>45542</v>
      </c>
      <c r="I2" s="281">
        <v>45543</v>
      </c>
      <c r="J2" s="281">
        <v>45544</v>
      </c>
      <c r="K2" s="281">
        <v>45545</v>
      </c>
      <c r="L2" s="281">
        <v>45546</v>
      </c>
      <c r="M2" s="281">
        <v>45547</v>
      </c>
      <c r="N2" s="281">
        <v>45548</v>
      </c>
      <c r="O2" s="281">
        <v>45549</v>
      </c>
      <c r="P2" s="281">
        <v>45550</v>
      </c>
      <c r="Q2" s="281">
        <v>45551</v>
      </c>
      <c r="R2" s="281">
        <v>45552</v>
      </c>
      <c r="S2" s="281">
        <v>45553</v>
      </c>
      <c r="T2" s="281">
        <v>45554</v>
      </c>
      <c r="U2" s="281">
        <v>45555</v>
      </c>
      <c r="V2" s="281">
        <v>45556</v>
      </c>
      <c r="W2" s="281">
        <v>45557</v>
      </c>
      <c r="X2" s="281">
        <v>45558</v>
      </c>
      <c r="Y2" s="281">
        <v>45559</v>
      </c>
      <c r="Z2" s="281">
        <v>45560</v>
      </c>
      <c r="AA2" s="281">
        <v>45561</v>
      </c>
      <c r="AB2" s="281">
        <v>45562</v>
      </c>
      <c r="AC2" s="281">
        <v>45563</v>
      </c>
      <c r="AD2" s="281">
        <v>45564</v>
      </c>
      <c r="AE2" s="281">
        <v>45565</v>
      </c>
      <c r="AF2" s="281"/>
      <c r="AG2" s="281">
        <v>45535</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20">
        <v>419717</v>
      </c>
      <c r="C4" s="420">
        <v>419980</v>
      </c>
      <c r="D4" s="420">
        <v>420245</v>
      </c>
      <c r="E4" s="420">
        <v>420500</v>
      </c>
      <c r="F4" s="420">
        <v>420771</v>
      </c>
      <c r="G4" s="420">
        <v>421022</v>
      </c>
      <c r="H4" s="420">
        <v>421274</v>
      </c>
      <c r="I4" s="420">
        <v>421525</v>
      </c>
      <c r="J4" s="420">
        <v>421787</v>
      </c>
      <c r="K4" s="420">
        <v>422054</v>
      </c>
      <c r="L4" s="420">
        <v>422325</v>
      </c>
      <c r="M4" s="420">
        <v>422589</v>
      </c>
      <c r="N4" s="420">
        <v>422847</v>
      </c>
      <c r="O4" s="420">
        <v>423094</v>
      </c>
      <c r="P4" s="420">
        <v>423352</v>
      </c>
      <c r="Q4" s="420">
        <v>423617</v>
      </c>
      <c r="R4" s="405">
        <v>423888</v>
      </c>
      <c r="S4" s="420">
        <v>424137</v>
      </c>
      <c r="T4" s="420">
        <v>424398</v>
      </c>
      <c r="U4" s="21">
        <v>424698</v>
      </c>
      <c r="V4" s="420">
        <v>424912</v>
      </c>
      <c r="W4" s="420">
        <v>425163</v>
      </c>
      <c r="X4" s="420">
        <v>425406</v>
      </c>
      <c r="Y4" s="420">
        <v>425679</v>
      </c>
      <c r="Z4" s="420">
        <v>425935</v>
      </c>
      <c r="AA4" s="420">
        <v>426200</v>
      </c>
      <c r="AB4" s="420">
        <v>426688</v>
      </c>
      <c r="AC4" s="420">
        <v>426688</v>
      </c>
      <c r="AD4" s="420">
        <v>426941</v>
      </c>
      <c r="AE4" s="420">
        <v>427194</v>
      </c>
      <c r="AF4" s="290"/>
      <c r="AG4" s="420">
        <v>419460</v>
      </c>
      <c r="AH4" s="288"/>
    </row>
    <row r="5" spans="1:36" ht="20.100000000000001" customHeight="1">
      <c r="A5" s="285" t="s">
        <v>55</v>
      </c>
      <c r="B5" s="420">
        <v>11745641</v>
      </c>
      <c r="C5" s="420">
        <v>11752825</v>
      </c>
      <c r="D5" s="420">
        <v>11760028</v>
      </c>
      <c r="E5" s="420">
        <v>11766894</v>
      </c>
      <c r="F5" s="420">
        <v>11774175</v>
      </c>
      <c r="G5" s="420">
        <v>11780693</v>
      </c>
      <c r="H5" s="420">
        <v>11787210</v>
      </c>
      <c r="I5" s="420">
        <v>11793622</v>
      </c>
      <c r="J5" s="420">
        <v>11800566</v>
      </c>
      <c r="K5" s="420">
        <v>11807883</v>
      </c>
      <c r="L5" s="420">
        <v>11814948</v>
      </c>
      <c r="M5" s="420">
        <v>11821676</v>
      </c>
      <c r="N5" s="420">
        <v>11828641</v>
      </c>
      <c r="O5" s="420">
        <v>11834641</v>
      </c>
      <c r="P5" s="420">
        <v>11840957</v>
      </c>
      <c r="Q5" s="420">
        <v>11847996</v>
      </c>
      <c r="R5" s="405">
        <v>11855061</v>
      </c>
      <c r="S5" s="420">
        <v>11862295</v>
      </c>
      <c r="T5" s="420">
        <v>11869764</v>
      </c>
      <c r="U5" s="21">
        <v>11877014</v>
      </c>
      <c r="V5" s="420">
        <v>11883194</v>
      </c>
      <c r="W5" s="420">
        <v>11889744</v>
      </c>
      <c r="X5" s="420">
        <v>11896598</v>
      </c>
      <c r="Y5" s="420">
        <v>11904142</v>
      </c>
      <c r="Z5" s="420">
        <v>11911151</v>
      </c>
      <c r="AA5" s="420">
        <v>11918557</v>
      </c>
      <c r="AB5" s="420">
        <v>11925222</v>
      </c>
      <c r="AC5" s="420">
        <v>11932372</v>
      </c>
      <c r="AD5" s="420">
        <v>11939519</v>
      </c>
      <c r="AE5" s="420">
        <v>11946678</v>
      </c>
      <c r="AF5" s="290"/>
      <c r="AG5" s="420">
        <v>11739180</v>
      </c>
      <c r="AH5" s="288"/>
    </row>
    <row r="6" spans="1:36" ht="20.100000000000001" customHeight="1">
      <c r="A6" s="285" t="s">
        <v>56</v>
      </c>
      <c r="B6" s="420">
        <v>5506506</v>
      </c>
      <c r="C6" s="420">
        <v>5509970</v>
      </c>
      <c r="D6" s="420">
        <v>5513208</v>
      </c>
      <c r="E6" s="420">
        <v>5516273</v>
      </c>
      <c r="F6" s="420">
        <v>5519557</v>
      </c>
      <c r="G6" s="420">
        <v>5522658</v>
      </c>
      <c r="H6" s="420">
        <v>5525758</v>
      </c>
      <c r="I6" s="420">
        <v>5528977</v>
      </c>
      <c r="J6" s="420">
        <v>5532359</v>
      </c>
      <c r="K6" s="420">
        <v>5535790</v>
      </c>
      <c r="L6" s="420">
        <v>5539273</v>
      </c>
      <c r="M6" s="420">
        <v>5542499</v>
      </c>
      <c r="N6" s="420">
        <v>5545370</v>
      </c>
      <c r="O6" s="420">
        <v>5548370</v>
      </c>
      <c r="P6" s="420">
        <v>5551489</v>
      </c>
      <c r="Q6" s="420">
        <v>5554868</v>
      </c>
      <c r="R6" s="405">
        <v>5558351</v>
      </c>
      <c r="S6" s="420">
        <v>5561742</v>
      </c>
      <c r="T6" s="420">
        <v>5565367</v>
      </c>
      <c r="U6" s="21">
        <v>5568567</v>
      </c>
      <c r="V6" s="420">
        <v>5571352</v>
      </c>
      <c r="W6" s="420">
        <v>5574448</v>
      </c>
      <c r="X6" s="420">
        <v>5577474</v>
      </c>
      <c r="Y6" s="420">
        <v>5581021</v>
      </c>
      <c r="Z6" s="420">
        <v>5584011</v>
      </c>
      <c r="AA6" s="420">
        <v>5587530</v>
      </c>
      <c r="AB6" s="420">
        <v>5590611</v>
      </c>
      <c r="AC6" s="420">
        <v>5593481</v>
      </c>
      <c r="AD6" s="420">
        <v>5596541</v>
      </c>
      <c r="AE6" s="420">
        <v>5599572</v>
      </c>
      <c r="AF6" s="290"/>
      <c r="AG6" s="420">
        <v>5503542</v>
      </c>
      <c r="AH6" s="288"/>
    </row>
    <row r="7" spans="1:36" ht="20.100000000000001" customHeight="1">
      <c r="A7" s="285" t="s">
        <v>57</v>
      </c>
      <c r="B7" s="420">
        <v>11599930</v>
      </c>
      <c r="C7" s="420">
        <v>11607877</v>
      </c>
      <c r="D7" s="420">
        <v>11612391</v>
      </c>
      <c r="E7" s="420">
        <v>11616647</v>
      </c>
      <c r="F7" s="420">
        <v>11623706</v>
      </c>
      <c r="G7" s="420">
        <v>11626258</v>
      </c>
      <c r="H7" s="420">
        <v>11628809</v>
      </c>
      <c r="I7" s="420">
        <v>11629344</v>
      </c>
      <c r="J7" s="420">
        <v>11632652</v>
      </c>
      <c r="K7" s="420">
        <v>11634992</v>
      </c>
      <c r="L7" s="420">
        <v>11635072</v>
      </c>
      <c r="M7" s="420">
        <v>11642954</v>
      </c>
      <c r="N7" s="420">
        <v>11652237</v>
      </c>
      <c r="O7" s="420">
        <v>11662237</v>
      </c>
      <c r="P7" s="420">
        <v>11662442</v>
      </c>
      <c r="Q7" s="420">
        <v>11662521</v>
      </c>
      <c r="R7" s="405">
        <v>11662601</v>
      </c>
      <c r="S7" s="420">
        <v>11663179</v>
      </c>
      <c r="T7" s="420">
        <v>11663263</v>
      </c>
      <c r="U7" s="421">
        <v>11664063</v>
      </c>
      <c r="V7" s="420">
        <v>11664621</v>
      </c>
      <c r="W7" s="420">
        <v>11674769</v>
      </c>
      <c r="X7" s="420">
        <v>11684327</v>
      </c>
      <c r="Y7" s="420">
        <v>11697284</v>
      </c>
      <c r="Z7" s="420">
        <v>11707731</v>
      </c>
      <c r="AA7" s="420">
        <v>11719208</v>
      </c>
      <c r="AB7" s="420">
        <v>11729905</v>
      </c>
      <c r="AC7" s="420">
        <v>11739255</v>
      </c>
      <c r="AD7" s="420">
        <v>11748369</v>
      </c>
      <c r="AE7" s="420">
        <v>11758143</v>
      </c>
      <c r="AF7" s="290"/>
      <c r="AG7" s="420">
        <v>11596941</v>
      </c>
      <c r="AH7" s="288"/>
    </row>
    <row r="8" spans="1:36" ht="20.100000000000001" customHeight="1">
      <c r="A8" s="285" t="s">
        <v>58</v>
      </c>
      <c r="B8" s="420">
        <v>3845963</v>
      </c>
      <c r="C8" s="420">
        <v>3848907</v>
      </c>
      <c r="D8" s="420">
        <v>3852201</v>
      </c>
      <c r="E8" s="420">
        <v>3855408</v>
      </c>
      <c r="F8" s="420">
        <v>3858515</v>
      </c>
      <c r="G8" s="420">
        <v>3861983</v>
      </c>
      <c r="H8" s="420">
        <v>3865451</v>
      </c>
      <c r="I8" s="420">
        <v>3869276</v>
      </c>
      <c r="J8" s="420">
        <v>3872667</v>
      </c>
      <c r="K8" s="420">
        <v>3876098</v>
      </c>
      <c r="L8" s="420">
        <v>3879743</v>
      </c>
      <c r="M8" s="420">
        <v>3881996</v>
      </c>
      <c r="N8" s="420">
        <v>3882846</v>
      </c>
      <c r="O8" s="420">
        <v>3883846</v>
      </c>
      <c r="P8" s="420">
        <v>3887758</v>
      </c>
      <c r="Q8" s="420">
        <v>3891387</v>
      </c>
      <c r="R8" s="405">
        <v>3895032</v>
      </c>
      <c r="S8" s="420">
        <v>3898360</v>
      </c>
      <c r="T8" s="420">
        <v>3902165</v>
      </c>
      <c r="U8" s="422">
        <v>3905665</v>
      </c>
      <c r="V8" s="420">
        <v>3908671</v>
      </c>
      <c r="W8" s="420">
        <v>3908671</v>
      </c>
      <c r="X8" s="420">
        <v>3908671</v>
      </c>
      <c r="Y8" s="420">
        <v>3908678</v>
      </c>
      <c r="Z8" s="420">
        <v>3908678</v>
      </c>
      <c r="AA8" s="420">
        <v>3908678</v>
      </c>
      <c r="AB8" s="420">
        <v>3908686</v>
      </c>
      <c r="AC8" s="420">
        <v>3908693</v>
      </c>
      <c r="AD8" s="420">
        <v>3908693</v>
      </c>
      <c r="AE8" s="420">
        <v>3908693</v>
      </c>
      <c r="AF8" s="290"/>
      <c r="AG8" s="420">
        <v>3842545</v>
      </c>
      <c r="AH8" s="288"/>
    </row>
    <row r="9" spans="1:36" ht="20.100000000000001" customHeight="1">
      <c r="A9" s="285" t="s">
        <v>59</v>
      </c>
      <c r="B9" s="420">
        <v>22755898</v>
      </c>
      <c r="C9" s="420">
        <v>22766615</v>
      </c>
      <c r="D9" s="420">
        <v>22775564</v>
      </c>
      <c r="E9" s="420">
        <v>22784267</v>
      </c>
      <c r="F9" s="420">
        <v>22794828</v>
      </c>
      <c r="G9" s="420">
        <v>22802718</v>
      </c>
      <c r="H9" s="420">
        <v>22810607</v>
      </c>
      <c r="I9" s="420">
        <v>22817278</v>
      </c>
      <c r="J9" s="420">
        <v>22825775</v>
      </c>
      <c r="K9" s="420">
        <v>22833659</v>
      </c>
      <c r="L9" s="420">
        <v>22840242</v>
      </c>
      <c r="M9" s="420">
        <v>22849357</v>
      </c>
      <c r="N9" s="420">
        <v>22857767</v>
      </c>
      <c r="O9" s="420">
        <v>22864767</v>
      </c>
      <c r="P9" s="420">
        <v>22872665</v>
      </c>
      <c r="Q9" s="420">
        <v>22879379</v>
      </c>
      <c r="R9" s="405">
        <v>22885962</v>
      </c>
      <c r="S9" s="420">
        <v>22892764</v>
      </c>
      <c r="T9" s="420">
        <v>22899382</v>
      </c>
      <c r="U9" s="420">
        <v>22906482</v>
      </c>
      <c r="V9" s="420">
        <v>22912497</v>
      </c>
      <c r="W9" s="420">
        <v>22918910</v>
      </c>
      <c r="X9" s="420">
        <v>22925517</v>
      </c>
      <c r="Y9" s="420">
        <v>22933985</v>
      </c>
      <c r="Z9" s="420">
        <v>22941151</v>
      </c>
      <c r="AA9" s="420">
        <v>22948179</v>
      </c>
      <c r="AB9" s="420">
        <v>22955225</v>
      </c>
      <c r="AC9" s="420">
        <v>22961405</v>
      </c>
      <c r="AD9" s="420">
        <v>22967859</v>
      </c>
      <c r="AE9" s="420">
        <v>22974442</v>
      </c>
      <c r="AF9" s="290"/>
      <c r="AG9" s="420">
        <v>22747756</v>
      </c>
      <c r="AH9" s="288"/>
    </row>
    <row r="10" spans="1:36" ht="20.100000000000001" customHeight="1">
      <c r="A10" s="285" t="s">
        <v>60</v>
      </c>
      <c r="B10" s="420">
        <v>7773591</v>
      </c>
      <c r="C10" s="420">
        <v>7778216</v>
      </c>
      <c r="D10" s="420">
        <v>7782786</v>
      </c>
      <c r="E10" s="420">
        <v>7787160</v>
      </c>
      <c r="F10" s="420">
        <v>7791857</v>
      </c>
      <c r="G10" s="420">
        <v>7795264</v>
      </c>
      <c r="H10" s="420">
        <v>7798671</v>
      </c>
      <c r="I10" s="420">
        <v>7802052</v>
      </c>
      <c r="J10" s="420">
        <v>7806354</v>
      </c>
      <c r="K10" s="420">
        <v>7810724</v>
      </c>
      <c r="L10" s="420">
        <v>7815195</v>
      </c>
      <c r="M10" s="420">
        <v>7819475</v>
      </c>
      <c r="N10" s="420">
        <v>7823619</v>
      </c>
      <c r="O10" s="420">
        <v>7827119</v>
      </c>
      <c r="P10" s="420">
        <v>7830704</v>
      </c>
      <c r="Q10" s="420">
        <v>7835060</v>
      </c>
      <c r="R10" s="405">
        <v>7839531</v>
      </c>
      <c r="S10" s="420">
        <v>7843692</v>
      </c>
      <c r="T10" s="420">
        <v>7848468</v>
      </c>
      <c r="U10" s="419">
        <v>7852468</v>
      </c>
      <c r="V10" s="420">
        <v>7855207</v>
      </c>
      <c r="W10" s="420">
        <v>7858659</v>
      </c>
      <c r="X10" s="420">
        <v>7862627</v>
      </c>
      <c r="Y10" s="420">
        <v>7867178</v>
      </c>
      <c r="Z10" s="420">
        <v>7871413</v>
      </c>
      <c r="AA10" s="420">
        <v>7875885</v>
      </c>
      <c r="AB10" s="420">
        <v>7879390</v>
      </c>
      <c r="AC10" s="420">
        <v>7882620</v>
      </c>
      <c r="AD10" s="420">
        <v>7885946</v>
      </c>
      <c r="AE10" s="420">
        <v>7890155</v>
      </c>
      <c r="AF10" s="290"/>
      <c r="AG10" s="420">
        <v>7769555</v>
      </c>
      <c r="AH10" s="288"/>
    </row>
    <row r="11" spans="1:36" ht="22.5" customHeight="1">
      <c r="A11" s="285" t="s">
        <v>61</v>
      </c>
      <c r="B11" s="420">
        <v>301162</v>
      </c>
      <c r="C11" s="420">
        <v>301291</v>
      </c>
      <c r="D11" s="420">
        <v>301418</v>
      </c>
      <c r="E11" s="420">
        <v>301540</v>
      </c>
      <c r="F11" s="420">
        <v>301674</v>
      </c>
      <c r="G11" s="420">
        <v>301785</v>
      </c>
      <c r="H11" s="420">
        <v>301897</v>
      </c>
      <c r="I11" s="420">
        <v>302010</v>
      </c>
      <c r="J11" s="420">
        <v>302140</v>
      </c>
      <c r="K11" s="420">
        <v>302270</v>
      </c>
      <c r="L11" s="420">
        <v>302403</v>
      </c>
      <c r="M11" s="420">
        <v>302535</v>
      </c>
      <c r="N11" s="420">
        <v>302658</v>
      </c>
      <c r="O11" s="420">
        <v>302758</v>
      </c>
      <c r="P11" s="420">
        <v>302870</v>
      </c>
      <c r="Q11" s="420">
        <v>303002</v>
      </c>
      <c r="R11" s="405">
        <v>303135</v>
      </c>
      <c r="S11" s="420">
        <v>303259</v>
      </c>
      <c r="T11" s="420">
        <v>303395</v>
      </c>
      <c r="U11" s="21">
        <v>303515</v>
      </c>
      <c r="V11" s="420">
        <v>303619</v>
      </c>
      <c r="W11" s="420">
        <v>303737</v>
      </c>
      <c r="X11" s="420">
        <v>303860</v>
      </c>
      <c r="Y11" s="420">
        <v>304003</v>
      </c>
      <c r="Z11" s="420">
        <v>304131</v>
      </c>
      <c r="AA11" s="420">
        <v>304269</v>
      </c>
      <c r="AB11" s="420">
        <v>304394</v>
      </c>
      <c r="AC11" s="420">
        <v>304498</v>
      </c>
      <c r="AD11" s="420">
        <v>304624</v>
      </c>
      <c r="AE11" s="420">
        <v>304756</v>
      </c>
      <c r="AF11" s="290"/>
      <c r="AG11" s="420">
        <v>301044</v>
      </c>
      <c r="AH11" s="288"/>
    </row>
    <row r="12" spans="1:36" s="294" customFormat="1" ht="18" customHeight="1">
      <c r="A12" s="291" t="s">
        <v>62</v>
      </c>
      <c r="B12" s="406" t="s">
        <v>2793</v>
      </c>
      <c r="C12" s="406" t="s">
        <v>2793</v>
      </c>
      <c r="D12" s="406" t="s">
        <v>2793</v>
      </c>
      <c r="E12" s="406" t="s">
        <v>2793</v>
      </c>
      <c r="F12" s="406" t="s">
        <v>2793</v>
      </c>
      <c r="G12" s="406" t="s">
        <v>2793</v>
      </c>
      <c r="H12" s="406" t="s">
        <v>2793</v>
      </c>
      <c r="I12" s="406" t="s">
        <v>2793</v>
      </c>
      <c r="J12" s="406" t="s">
        <v>2793</v>
      </c>
      <c r="K12" s="406" t="s">
        <v>2793</v>
      </c>
      <c r="L12" s="406" t="s">
        <v>2793</v>
      </c>
      <c r="M12" s="406" t="s">
        <v>2793</v>
      </c>
      <c r="N12" s="406" t="s">
        <v>2793</v>
      </c>
      <c r="O12" s="420"/>
      <c r="P12" s="420"/>
      <c r="Q12" s="420"/>
      <c r="R12" s="406"/>
      <c r="S12" s="420"/>
      <c r="T12" s="420"/>
      <c r="U12" s="420"/>
      <c r="V12" s="420"/>
      <c r="W12" s="420"/>
      <c r="X12" s="420"/>
      <c r="Y12" s="420"/>
      <c r="Z12" s="420"/>
      <c r="AA12" s="420"/>
      <c r="AB12" s="420"/>
      <c r="AC12" s="420"/>
      <c r="AD12" s="420"/>
      <c r="AE12" s="420"/>
      <c r="AF12" s="407"/>
      <c r="AG12" s="406" t="s">
        <v>2793</v>
      </c>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11139</v>
      </c>
      <c r="C14" s="409">
        <v>11224</v>
      </c>
      <c r="D14" s="409">
        <v>11312</v>
      </c>
      <c r="E14" s="409">
        <v>11398</v>
      </c>
      <c r="F14" s="409">
        <v>11484</v>
      </c>
      <c r="G14" s="409">
        <v>11616</v>
      </c>
      <c r="H14" s="409">
        <v>11749</v>
      </c>
      <c r="I14" s="409">
        <v>11822</v>
      </c>
      <c r="J14" s="409">
        <v>11902</v>
      </c>
      <c r="K14" s="409">
        <v>11994</v>
      </c>
      <c r="L14" s="409">
        <v>12085</v>
      </c>
      <c r="M14" s="409">
        <v>12271</v>
      </c>
      <c r="N14" s="409">
        <v>12386</v>
      </c>
      <c r="O14" s="409">
        <v>12516</v>
      </c>
      <c r="P14" s="409">
        <v>12594</v>
      </c>
      <c r="Q14" s="409">
        <v>12594</v>
      </c>
      <c r="R14" s="409">
        <v>12667</v>
      </c>
      <c r="S14" s="409">
        <v>12783</v>
      </c>
      <c r="T14" s="409">
        <v>12952</v>
      </c>
      <c r="U14" s="409">
        <v>13037</v>
      </c>
      <c r="V14" s="409">
        <v>13088</v>
      </c>
      <c r="W14" s="409">
        <v>13155</v>
      </c>
      <c r="X14" s="409">
        <v>13235</v>
      </c>
      <c r="Y14" s="409">
        <v>13334</v>
      </c>
      <c r="Z14" s="409">
        <v>13428</v>
      </c>
      <c r="AA14" s="409">
        <v>13513</v>
      </c>
      <c r="AB14" s="409">
        <v>13599</v>
      </c>
      <c r="AC14" s="409">
        <v>13669</v>
      </c>
      <c r="AD14" s="409">
        <v>13737</v>
      </c>
      <c r="AE14" s="409">
        <v>13824</v>
      </c>
      <c r="AF14" s="301">
        <f>AE14-AG14</f>
        <v>2748</v>
      </c>
      <c r="AG14" s="409">
        <v>11076</v>
      </c>
      <c r="AH14" s="299">
        <v>2748</v>
      </c>
      <c r="AI14" s="299"/>
      <c r="AJ14" s="410"/>
    </row>
    <row r="15" spans="1:36" ht="25.5">
      <c r="A15" s="282" t="s">
        <v>67</v>
      </c>
      <c r="B15" s="409">
        <v>8321</v>
      </c>
      <c r="C15" s="409">
        <v>8321</v>
      </c>
      <c r="D15" s="409">
        <v>8321</v>
      </c>
      <c r="E15" s="409">
        <v>8321</v>
      </c>
      <c r="F15" s="409">
        <v>8321</v>
      </c>
      <c r="G15" s="409">
        <v>8321</v>
      </c>
      <c r="H15" s="409">
        <v>8321</v>
      </c>
      <c r="I15" s="409">
        <v>8321</v>
      </c>
      <c r="J15" s="409">
        <v>8321</v>
      </c>
      <c r="K15" s="409">
        <v>8321</v>
      </c>
      <c r="L15" s="409">
        <v>8321</v>
      </c>
      <c r="M15" s="409">
        <v>8414</v>
      </c>
      <c r="N15" s="409">
        <v>8464</v>
      </c>
      <c r="O15" s="409">
        <v>8509</v>
      </c>
      <c r="P15" s="409">
        <v>8509</v>
      </c>
      <c r="Q15" s="409">
        <v>8509</v>
      </c>
      <c r="R15" s="409">
        <v>8509</v>
      </c>
      <c r="S15" s="409">
        <v>8509</v>
      </c>
      <c r="T15" s="409">
        <v>8509</v>
      </c>
      <c r="U15" s="409">
        <v>8509</v>
      </c>
      <c r="V15" s="409">
        <v>8509</v>
      </c>
      <c r="W15" s="409">
        <v>8509</v>
      </c>
      <c r="X15" s="409">
        <v>8509</v>
      </c>
      <c r="Y15" s="409">
        <v>8509</v>
      </c>
      <c r="Z15" s="409">
        <v>8509</v>
      </c>
      <c r="AA15" s="409">
        <v>8509</v>
      </c>
      <c r="AB15" s="409">
        <v>8509</v>
      </c>
      <c r="AC15" s="409">
        <v>8511</v>
      </c>
      <c r="AD15" s="409">
        <v>8511</v>
      </c>
      <c r="AE15" s="409">
        <v>8511</v>
      </c>
      <c r="AF15" s="301">
        <f t="shared" ref="AF15:AF29" si="0">AE15-AG15</f>
        <v>190</v>
      </c>
      <c r="AG15" s="409">
        <v>8321</v>
      </c>
      <c r="AH15" s="144">
        <v>190</v>
      </c>
      <c r="AI15" s="299"/>
      <c r="AJ15" s="411"/>
    </row>
    <row r="16" spans="1:36"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301">
        <f t="shared" si="0"/>
        <v>0</v>
      </c>
      <c r="AG17" s="406"/>
      <c r="AH17" s="144">
        <v>0</v>
      </c>
      <c r="AJ17" s="411"/>
    </row>
    <row r="18" spans="1:36">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301"/>
      <c r="AG18" s="408" t="s">
        <v>64</v>
      </c>
      <c r="AJ18" s="412"/>
    </row>
    <row r="19" spans="1:36" ht="25.5">
      <c r="A19" s="282" t="s">
        <v>70</v>
      </c>
      <c r="B19" s="413">
        <v>84975</v>
      </c>
      <c r="C19" s="413">
        <v>85000</v>
      </c>
      <c r="D19" s="413">
        <v>85023</v>
      </c>
      <c r="E19" s="413">
        <v>85080</v>
      </c>
      <c r="F19" s="413">
        <v>85100</v>
      </c>
      <c r="G19" s="413">
        <v>85139</v>
      </c>
      <c r="H19" s="413">
        <v>85179</v>
      </c>
      <c r="I19" s="413">
        <v>85203</v>
      </c>
      <c r="J19" s="413">
        <v>85252</v>
      </c>
      <c r="K19" s="413">
        <v>85293</v>
      </c>
      <c r="L19" s="413">
        <v>85323</v>
      </c>
      <c r="M19" s="413">
        <v>85352</v>
      </c>
      <c r="N19" s="413">
        <v>85396</v>
      </c>
      <c r="O19" s="413">
        <v>85439</v>
      </c>
      <c r="P19" s="413">
        <v>85466</v>
      </c>
      <c r="Q19" s="413">
        <v>85493</v>
      </c>
      <c r="R19" s="413">
        <v>85523</v>
      </c>
      <c r="S19" s="413">
        <v>85547</v>
      </c>
      <c r="T19" s="413">
        <v>85567</v>
      </c>
      <c r="U19" s="413">
        <v>85587</v>
      </c>
      <c r="V19" s="413">
        <v>85610</v>
      </c>
      <c r="W19" s="413">
        <v>85636</v>
      </c>
      <c r="X19" s="413">
        <v>85663</v>
      </c>
      <c r="Y19" s="413">
        <v>85688</v>
      </c>
      <c r="Z19" s="413">
        <v>85715</v>
      </c>
      <c r="AA19" s="413">
        <v>85720</v>
      </c>
      <c r="AB19" s="413">
        <v>85722</v>
      </c>
      <c r="AC19" s="413">
        <v>85726</v>
      </c>
      <c r="AD19" s="413">
        <v>85814</v>
      </c>
      <c r="AE19" s="413">
        <v>85830</v>
      </c>
      <c r="AF19" s="301">
        <f t="shared" si="0"/>
        <v>878</v>
      </c>
      <c r="AG19" s="413">
        <v>84952</v>
      </c>
      <c r="AH19" s="307">
        <v>878</v>
      </c>
      <c r="AI19" s="307"/>
      <c r="AJ19" s="410"/>
    </row>
    <row r="20" spans="1:36" ht="25.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301">
        <f t="shared" si="0"/>
        <v>0</v>
      </c>
      <c r="AG20" s="413">
        <v>7788</v>
      </c>
      <c r="AH20" s="144">
        <v>0</v>
      </c>
      <c r="AI20" s="307"/>
      <c r="AJ20" s="414"/>
    </row>
    <row r="21" spans="1:36">
      <c r="A21" s="282" t="s">
        <v>72</v>
      </c>
      <c r="B21" s="409">
        <v>213610</v>
      </c>
      <c r="C21" s="409">
        <v>213847</v>
      </c>
      <c r="D21" s="409">
        <v>214075</v>
      </c>
      <c r="E21" s="409">
        <v>214326</v>
      </c>
      <c r="F21" s="409">
        <v>214503</v>
      </c>
      <c r="G21" s="409">
        <v>214746</v>
      </c>
      <c r="H21" s="409">
        <v>214989</v>
      </c>
      <c r="I21" s="409">
        <v>215203</v>
      </c>
      <c r="J21" s="409">
        <v>215557</v>
      </c>
      <c r="K21" s="409">
        <v>215899</v>
      </c>
      <c r="L21" s="409">
        <v>216111</v>
      </c>
      <c r="M21" s="409">
        <v>216360</v>
      </c>
      <c r="N21" s="409">
        <v>216582</v>
      </c>
      <c r="O21" s="409">
        <v>216832</v>
      </c>
      <c r="P21" s="409">
        <v>217082</v>
      </c>
      <c r="Q21" s="409">
        <v>217322</v>
      </c>
      <c r="R21" s="409">
        <v>217534</v>
      </c>
      <c r="S21" s="409">
        <v>217758</v>
      </c>
      <c r="T21" s="409">
        <v>217908</v>
      </c>
      <c r="U21" s="409">
        <v>218146</v>
      </c>
      <c r="V21" s="409">
        <v>218319</v>
      </c>
      <c r="W21" s="409">
        <v>218534</v>
      </c>
      <c r="X21" s="409">
        <v>218764</v>
      </c>
      <c r="Y21" s="409">
        <v>218789</v>
      </c>
      <c r="Z21" s="409">
        <v>219222</v>
      </c>
      <c r="AA21" s="409">
        <v>219417</v>
      </c>
      <c r="AB21" s="409">
        <v>219630</v>
      </c>
      <c r="AC21" s="409">
        <v>219915</v>
      </c>
      <c r="AD21" s="409">
        <v>220107</v>
      </c>
      <c r="AE21" s="409">
        <v>220263</v>
      </c>
      <c r="AF21" s="301">
        <f t="shared" si="0"/>
        <v>6884</v>
      </c>
      <c r="AG21" s="409">
        <v>213379</v>
      </c>
      <c r="AH21" s="144">
        <v>6884</v>
      </c>
      <c r="AI21" s="307"/>
      <c r="AJ21" s="415"/>
    </row>
    <row r="22" spans="1:36">
      <c r="A22" s="282" t="s">
        <v>73</v>
      </c>
      <c r="B22" s="409">
        <v>217052</v>
      </c>
      <c r="C22" s="409">
        <v>217052</v>
      </c>
      <c r="D22" s="409">
        <v>217052</v>
      </c>
      <c r="E22" s="409">
        <v>217052</v>
      </c>
      <c r="F22" s="409">
        <v>217052</v>
      </c>
      <c r="G22" s="409">
        <v>217052</v>
      </c>
      <c r="H22" s="409">
        <v>217052</v>
      </c>
      <c r="I22" s="409">
        <v>217052</v>
      </c>
      <c r="J22" s="409">
        <v>217052</v>
      </c>
      <c r="K22" s="409">
        <v>217052</v>
      </c>
      <c r="L22" s="409">
        <v>217052</v>
      </c>
      <c r="M22" s="409">
        <v>217052</v>
      </c>
      <c r="N22" s="409">
        <v>217052</v>
      </c>
      <c r="O22" s="409">
        <v>217052</v>
      </c>
      <c r="P22" s="409">
        <v>217071</v>
      </c>
      <c r="Q22" s="409">
        <v>217071</v>
      </c>
      <c r="R22" s="409">
        <v>217071</v>
      </c>
      <c r="S22" s="409">
        <v>217071</v>
      </c>
      <c r="T22" s="409">
        <v>217071</v>
      </c>
      <c r="U22" s="409">
        <v>217071</v>
      </c>
      <c r="V22" s="409">
        <v>217071</v>
      </c>
      <c r="W22" s="409">
        <v>217071</v>
      </c>
      <c r="X22" s="409">
        <v>217071</v>
      </c>
      <c r="Y22" s="409">
        <v>217071</v>
      </c>
      <c r="Z22" s="409">
        <v>217071</v>
      </c>
      <c r="AA22" s="409">
        <v>217071</v>
      </c>
      <c r="AB22" s="409">
        <v>217071</v>
      </c>
      <c r="AC22" s="409">
        <v>217071</v>
      </c>
      <c r="AD22" s="409">
        <v>217071</v>
      </c>
      <c r="AE22" s="409">
        <v>217071</v>
      </c>
      <c r="AF22" s="301">
        <f t="shared" si="0"/>
        <v>19</v>
      </c>
      <c r="AG22" s="409">
        <v>217052</v>
      </c>
      <c r="AH22" s="144">
        <v>19</v>
      </c>
      <c r="AI22" s="307"/>
      <c r="AJ22" s="414"/>
    </row>
    <row r="23" spans="1:36">
      <c r="A23" s="309" t="s">
        <v>136</v>
      </c>
      <c r="B23" s="409">
        <v>12926</v>
      </c>
      <c r="C23" s="409">
        <v>12937</v>
      </c>
      <c r="D23" s="409">
        <v>12947</v>
      </c>
      <c r="E23" s="409">
        <v>12975</v>
      </c>
      <c r="F23" s="409">
        <v>12988</v>
      </c>
      <c r="G23" s="409">
        <v>12996</v>
      </c>
      <c r="H23" s="409">
        <v>13000</v>
      </c>
      <c r="I23" s="409">
        <v>13001</v>
      </c>
      <c r="J23" s="409">
        <v>13013</v>
      </c>
      <c r="K23" s="409">
        <v>13025</v>
      </c>
      <c r="L23" s="409">
        <v>13038</v>
      </c>
      <c r="M23" s="409">
        <v>13051</v>
      </c>
      <c r="N23" s="409">
        <v>13064</v>
      </c>
      <c r="O23" s="409">
        <v>13077</v>
      </c>
      <c r="P23" s="409">
        <v>13088</v>
      </c>
      <c r="Q23" s="409">
        <v>13106</v>
      </c>
      <c r="R23" s="409">
        <v>13119</v>
      </c>
      <c r="S23" s="409">
        <v>13145</v>
      </c>
      <c r="T23" s="409">
        <v>13146</v>
      </c>
      <c r="U23" s="409">
        <v>13149</v>
      </c>
      <c r="V23" s="409">
        <v>13152</v>
      </c>
      <c r="W23" s="409">
        <v>13155</v>
      </c>
      <c r="X23" s="409">
        <v>13169</v>
      </c>
      <c r="Y23" s="409">
        <v>13187</v>
      </c>
      <c r="Z23" s="409">
        <v>13201</v>
      </c>
      <c r="AA23" s="409">
        <v>13214</v>
      </c>
      <c r="AB23" s="409">
        <v>13219</v>
      </c>
      <c r="AC23" s="409">
        <v>13225</v>
      </c>
      <c r="AD23" s="409">
        <v>13227</v>
      </c>
      <c r="AE23" s="409">
        <v>13239</v>
      </c>
      <c r="AF23" s="301">
        <f t="shared" si="0"/>
        <v>315</v>
      </c>
      <c r="AG23" s="409">
        <v>12924</v>
      </c>
      <c r="AH23" s="144">
        <v>315</v>
      </c>
      <c r="AI23" s="307"/>
      <c r="AJ23" s="414"/>
    </row>
    <row r="24" spans="1:36">
      <c r="A24" s="309" t="s">
        <v>139</v>
      </c>
      <c r="B24" s="409">
        <v>8937</v>
      </c>
      <c r="C24" s="409">
        <v>8945</v>
      </c>
      <c r="D24" s="409">
        <v>8964</v>
      </c>
      <c r="E24" s="409">
        <v>8970</v>
      </c>
      <c r="F24" s="409">
        <v>8976</v>
      </c>
      <c r="G24" s="409">
        <v>8980</v>
      </c>
      <c r="H24" s="409">
        <v>8982</v>
      </c>
      <c r="I24" s="409">
        <v>8983</v>
      </c>
      <c r="J24" s="409">
        <v>8990</v>
      </c>
      <c r="K24" s="409">
        <v>9003</v>
      </c>
      <c r="L24" s="409">
        <v>9016</v>
      </c>
      <c r="M24" s="409">
        <v>9029</v>
      </c>
      <c r="N24" s="409">
        <v>9036</v>
      </c>
      <c r="O24" s="409">
        <v>9043</v>
      </c>
      <c r="P24" s="409">
        <v>9044</v>
      </c>
      <c r="Q24" s="409">
        <v>9056</v>
      </c>
      <c r="R24" s="409">
        <v>9069</v>
      </c>
      <c r="S24" s="409">
        <v>9068</v>
      </c>
      <c r="T24" s="409">
        <v>9098</v>
      </c>
      <c r="U24" s="409">
        <v>9103</v>
      </c>
      <c r="V24" s="409">
        <v>9107</v>
      </c>
      <c r="W24" s="409">
        <v>9111</v>
      </c>
      <c r="X24" s="409">
        <v>9112</v>
      </c>
      <c r="Y24" s="409">
        <v>9130</v>
      </c>
      <c r="Z24" s="409">
        <v>9140</v>
      </c>
      <c r="AA24" s="409">
        <v>9155</v>
      </c>
      <c r="AB24" s="409">
        <v>9159</v>
      </c>
      <c r="AC24" s="409">
        <v>9163</v>
      </c>
      <c r="AD24" s="409">
        <v>9163</v>
      </c>
      <c r="AE24" s="409">
        <v>9170</v>
      </c>
      <c r="AF24" s="301">
        <f t="shared" si="0"/>
        <v>233</v>
      </c>
      <c r="AG24" s="409">
        <v>8937</v>
      </c>
      <c r="AH24" s="144">
        <v>233</v>
      </c>
      <c r="AI24" s="307"/>
      <c r="AJ24" s="414"/>
    </row>
    <row r="25" spans="1:36">
      <c r="A25" s="309" t="s">
        <v>142</v>
      </c>
      <c r="B25" s="409">
        <v>3588</v>
      </c>
      <c r="C25" s="409">
        <v>3590</v>
      </c>
      <c r="D25" s="409">
        <v>3601</v>
      </c>
      <c r="E25" s="409">
        <v>3602</v>
      </c>
      <c r="F25" s="409">
        <v>3606</v>
      </c>
      <c r="G25" s="409">
        <v>3609</v>
      </c>
      <c r="H25" s="409">
        <v>3611</v>
      </c>
      <c r="I25" s="409">
        <v>3613</v>
      </c>
      <c r="J25" s="409">
        <v>3615</v>
      </c>
      <c r="K25" s="409">
        <v>3618</v>
      </c>
      <c r="L25" s="409">
        <v>3621</v>
      </c>
      <c r="M25" s="409">
        <v>3625</v>
      </c>
      <c r="N25" s="409">
        <v>3626</v>
      </c>
      <c r="O25" s="409">
        <v>3628</v>
      </c>
      <c r="P25" s="409">
        <v>3630</v>
      </c>
      <c r="Q25" s="409">
        <v>3642</v>
      </c>
      <c r="R25" s="409">
        <v>3645</v>
      </c>
      <c r="S25" s="409">
        <v>3645</v>
      </c>
      <c r="T25" s="409">
        <v>3645</v>
      </c>
      <c r="U25" s="409">
        <v>3673</v>
      </c>
      <c r="V25" s="409">
        <v>3660</v>
      </c>
      <c r="W25" s="409">
        <v>3672</v>
      </c>
      <c r="X25" s="409">
        <v>3662</v>
      </c>
      <c r="Y25" s="409">
        <v>3666</v>
      </c>
      <c r="Z25" s="409">
        <v>3670</v>
      </c>
      <c r="AA25" s="409">
        <v>3674</v>
      </c>
      <c r="AB25" s="409">
        <v>3675</v>
      </c>
      <c r="AC25" s="409">
        <v>3677</v>
      </c>
      <c r="AD25" s="409">
        <v>3678</v>
      </c>
      <c r="AE25" s="409">
        <v>3681</v>
      </c>
      <c r="AF25" s="301">
        <f t="shared" si="0"/>
        <v>93</v>
      </c>
      <c r="AG25" s="409">
        <v>3588</v>
      </c>
      <c r="AH25" s="144">
        <v>93</v>
      </c>
      <c r="AI25" s="307"/>
      <c r="AJ25" s="414"/>
    </row>
    <row r="26" spans="1:36">
      <c r="A26" s="309" t="s">
        <v>145</v>
      </c>
      <c r="B26" s="409">
        <v>2057</v>
      </c>
      <c r="C26" s="409">
        <v>2059</v>
      </c>
      <c r="D26" s="409">
        <v>2061</v>
      </c>
      <c r="E26" s="409">
        <v>2063</v>
      </c>
      <c r="F26" s="409">
        <v>2065</v>
      </c>
      <c r="G26" s="409">
        <v>2067</v>
      </c>
      <c r="H26" s="409">
        <v>2068</v>
      </c>
      <c r="I26" s="409">
        <v>2069</v>
      </c>
      <c r="J26" s="409">
        <v>2071</v>
      </c>
      <c r="K26" s="409">
        <v>2074</v>
      </c>
      <c r="L26" s="409">
        <v>2076</v>
      </c>
      <c r="M26" s="409">
        <v>2078</v>
      </c>
      <c r="N26" s="409">
        <v>2079</v>
      </c>
      <c r="O26" s="409">
        <v>2080</v>
      </c>
      <c r="P26" s="409">
        <v>2082</v>
      </c>
      <c r="Q26" s="409">
        <v>2085</v>
      </c>
      <c r="R26" s="409">
        <v>2087</v>
      </c>
      <c r="S26" s="409">
        <v>2090</v>
      </c>
      <c r="T26" s="409">
        <v>2093</v>
      </c>
      <c r="U26" s="409">
        <v>2094</v>
      </c>
      <c r="V26" s="409">
        <v>2095</v>
      </c>
      <c r="W26" s="409">
        <v>2105</v>
      </c>
      <c r="X26" s="409">
        <v>2099</v>
      </c>
      <c r="Y26" s="409">
        <v>2101</v>
      </c>
      <c r="Z26" s="409">
        <v>2104</v>
      </c>
      <c r="AA26" s="409">
        <v>2106</v>
      </c>
      <c r="AB26" s="409">
        <v>2107</v>
      </c>
      <c r="AC26" s="409">
        <v>2108</v>
      </c>
      <c r="AD26" s="409">
        <v>2110</v>
      </c>
      <c r="AE26" s="409">
        <v>2112</v>
      </c>
      <c r="AF26" s="301">
        <f t="shared" si="0"/>
        <v>60</v>
      </c>
      <c r="AG26" s="409">
        <v>2052</v>
      </c>
      <c r="AH26" s="144">
        <v>60</v>
      </c>
      <c r="AI26" s="307"/>
      <c r="AJ26" s="414"/>
    </row>
    <row r="27" spans="1:36">
      <c r="A27" s="309" t="s">
        <v>148</v>
      </c>
      <c r="B27" s="409">
        <v>14390</v>
      </c>
      <c r="C27" s="409">
        <v>14402</v>
      </c>
      <c r="D27" s="409">
        <v>14412</v>
      </c>
      <c r="E27" s="409">
        <v>14422</v>
      </c>
      <c r="F27" s="409">
        <v>14440</v>
      </c>
      <c r="G27" s="409">
        <v>14453</v>
      </c>
      <c r="H27" s="409">
        <v>14463</v>
      </c>
      <c r="I27" s="409">
        <v>14469</v>
      </c>
      <c r="J27" s="409">
        <v>14483</v>
      </c>
      <c r="K27" s="409">
        <v>14495</v>
      </c>
      <c r="L27" s="409">
        <v>14508</v>
      </c>
      <c r="M27" s="409">
        <v>14521</v>
      </c>
      <c r="N27" s="409">
        <v>14528</v>
      </c>
      <c r="O27" s="409">
        <v>14534</v>
      </c>
      <c r="P27" s="409">
        <v>14543</v>
      </c>
      <c r="Q27" s="409">
        <v>14556</v>
      </c>
      <c r="R27" s="409">
        <v>14569</v>
      </c>
      <c r="S27" s="409">
        <v>14575</v>
      </c>
      <c r="T27" s="409">
        <v>14584</v>
      </c>
      <c r="U27" s="409">
        <v>14590</v>
      </c>
      <c r="V27" s="409">
        <v>14595</v>
      </c>
      <c r="W27" s="409">
        <v>14605</v>
      </c>
      <c r="X27" s="409">
        <v>14613</v>
      </c>
      <c r="Y27" s="409">
        <v>14625</v>
      </c>
      <c r="Z27" s="409">
        <v>14636</v>
      </c>
      <c r="AA27" s="409">
        <v>14646</v>
      </c>
      <c r="AB27" s="409">
        <v>14650</v>
      </c>
      <c r="AC27" s="409">
        <v>14655</v>
      </c>
      <c r="AD27" s="409">
        <v>14656</v>
      </c>
      <c r="AE27" s="409">
        <v>14668</v>
      </c>
      <c r="AF27" s="301">
        <f t="shared" si="0"/>
        <v>278</v>
      </c>
      <c r="AG27" s="409">
        <v>14390</v>
      </c>
      <c r="AH27" s="144">
        <v>278</v>
      </c>
      <c r="AI27" s="307"/>
      <c r="AJ27" s="414"/>
    </row>
    <row r="28" spans="1:36">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301">
        <f t="shared" si="0"/>
        <v>0</v>
      </c>
      <c r="AG28" s="409">
        <v>1339</v>
      </c>
      <c r="AH28" s="144">
        <v>0</v>
      </c>
      <c r="AI28" s="307"/>
      <c r="AJ28" s="414"/>
    </row>
    <row r="29" spans="1:36">
      <c r="A29" s="309" t="s">
        <v>154</v>
      </c>
      <c r="B29" s="409">
        <v>895</v>
      </c>
      <c r="C29" s="409">
        <v>895</v>
      </c>
      <c r="D29" s="409">
        <v>895</v>
      </c>
      <c r="E29" s="409">
        <v>895</v>
      </c>
      <c r="F29" s="409">
        <v>895</v>
      </c>
      <c r="G29" s="409">
        <v>895</v>
      </c>
      <c r="H29" s="409">
        <v>895</v>
      </c>
      <c r="I29" s="409">
        <v>895</v>
      </c>
      <c r="J29" s="409">
        <v>895</v>
      </c>
      <c r="K29" s="409">
        <v>895</v>
      </c>
      <c r="L29" s="409">
        <v>895</v>
      </c>
      <c r="M29" s="409">
        <v>895</v>
      </c>
      <c r="N29" s="409">
        <v>895</v>
      </c>
      <c r="O29" s="409">
        <v>895</v>
      </c>
      <c r="P29" s="409">
        <v>895</v>
      </c>
      <c r="Q29" s="409">
        <v>895</v>
      </c>
      <c r="R29" s="409">
        <v>895</v>
      </c>
      <c r="S29" s="409">
        <v>895</v>
      </c>
      <c r="T29" s="409">
        <v>895</v>
      </c>
      <c r="U29" s="409">
        <v>895</v>
      </c>
      <c r="V29" s="409">
        <v>895</v>
      </c>
      <c r="W29" s="409">
        <v>895</v>
      </c>
      <c r="X29" s="409">
        <v>895</v>
      </c>
      <c r="Y29" s="409">
        <v>895</v>
      </c>
      <c r="Z29" s="409">
        <v>895</v>
      </c>
      <c r="AA29" s="409">
        <v>895</v>
      </c>
      <c r="AB29" s="409">
        <v>895</v>
      </c>
      <c r="AC29" s="409">
        <v>895</v>
      </c>
      <c r="AD29" s="409">
        <v>895</v>
      </c>
      <c r="AE29" s="409">
        <v>895</v>
      </c>
      <c r="AF29" s="301">
        <f t="shared" si="0"/>
        <v>0</v>
      </c>
      <c r="AG29" s="409">
        <v>895</v>
      </c>
      <c r="AH29" s="144">
        <v>0</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c r="Y32" s="416" t="s">
        <v>78</v>
      </c>
      <c r="Z32" s="416" t="s">
        <v>78</v>
      </c>
      <c r="AA32" s="416" t="s">
        <v>78</v>
      </c>
      <c r="AB32" s="416" t="s">
        <v>78</v>
      </c>
      <c r="AC32" s="416" t="s">
        <v>78</v>
      </c>
      <c r="AD32" s="416" t="s">
        <v>78</v>
      </c>
      <c r="AE32" s="416" t="s">
        <v>78</v>
      </c>
      <c r="AF32" s="301"/>
      <c r="AG32" s="416" t="s">
        <v>78</v>
      </c>
    </row>
    <row r="33" spans="1:33" ht="25.5">
      <c r="A33" s="282" t="s">
        <v>80</v>
      </c>
      <c r="B33" s="416" t="s">
        <v>2791</v>
      </c>
      <c r="C33" s="416" t="s">
        <v>2791</v>
      </c>
      <c r="D33" s="416" t="s">
        <v>2791</v>
      </c>
      <c r="E33" s="416" t="s">
        <v>2791</v>
      </c>
      <c r="F33" s="416" t="s">
        <v>2791</v>
      </c>
      <c r="G33" s="416" t="s">
        <v>2791</v>
      </c>
      <c r="H33" s="416" t="s">
        <v>2791</v>
      </c>
      <c r="I33" s="416" t="s">
        <v>2791</v>
      </c>
      <c r="J33" s="416" t="s">
        <v>2791</v>
      </c>
      <c r="K33" s="416" t="s">
        <v>2791</v>
      </c>
      <c r="L33" s="416" t="s">
        <v>2791</v>
      </c>
      <c r="M33" s="416" t="s">
        <v>2791</v>
      </c>
      <c r="N33" s="416" t="s">
        <v>2791</v>
      </c>
      <c r="O33" s="416" t="s">
        <v>2791</v>
      </c>
      <c r="P33" s="416" t="s">
        <v>2791</v>
      </c>
      <c r="Q33" s="416" t="s">
        <v>2791</v>
      </c>
      <c r="R33" s="416" t="s">
        <v>2791</v>
      </c>
      <c r="S33" s="416" t="s">
        <v>2794</v>
      </c>
      <c r="T33" s="416" t="s">
        <v>2794</v>
      </c>
      <c r="U33" s="416" t="s">
        <v>2794</v>
      </c>
      <c r="V33" s="416" t="s">
        <v>2794</v>
      </c>
      <c r="W33" s="416" t="s">
        <v>2794</v>
      </c>
      <c r="X33" s="416"/>
      <c r="Y33" s="416" t="s">
        <v>2794</v>
      </c>
      <c r="Z33" s="416" t="s">
        <v>2794</v>
      </c>
      <c r="AA33" s="416" t="s">
        <v>2794</v>
      </c>
      <c r="AB33" s="416" t="s">
        <v>2794</v>
      </c>
      <c r="AC33" s="416" t="s">
        <v>2794</v>
      </c>
      <c r="AD33" s="416" t="s">
        <v>2794</v>
      </c>
      <c r="AE33" s="416" t="s">
        <v>2794</v>
      </c>
      <c r="AF33" s="301"/>
      <c r="AG33" s="416" t="s">
        <v>2791</v>
      </c>
    </row>
    <row r="34" spans="1:33" ht="15.75" thickBot="1">
      <c r="A34" s="310" t="s">
        <v>81</v>
      </c>
      <c r="B34" s="417" t="s">
        <v>2792</v>
      </c>
      <c r="C34" s="417" t="s">
        <v>2792</v>
      </c>
      <c r="D34" s="417" t="s">
        <v>2792</v>
      </c>
      <c r="E34" s="417" t="s">
        <v>2792</v>
      </c>
      <c r="F34" s="417" t="s">
        <v>2792</v>
      </c>
      <c r="G34" s="417" t="s">
        <v>2792</v>
      </c>
      <c r="H34" s="417" t="s">
        <v>2792</v>
      </c>
      <c r="I34" s="417" t="s">
        <v>2792</v>
      </c>
      <c r="J34" s="417" t="s">
        <v>2792</v>
      </c>
      <c r="K34" s="417" t="s">
        <v>2792</v>
      </c>
      <c r="L34" s="417" t="s">
        <v>2792</v>
      </c>
      <c r="M34" s="417" t="s">
        <v>2792</v>
      </c>
      <c r="N34" s="417" t="s">
        <v>2792</v>
      </c>
      <c r="O34" s="417" t="s">
        <v>2792</v>
      </c>
      <c r="P34" s="417" t="s">
        <v>2792</v>
      </c>
      <c r="Q34" s="417" t="s">
        <v>2792</v>
      </c>
      <c r="R34" s="417" t="s">
        <v>2792</v>
      </c>
      <c r="S34" s="417" t="s">
        <v>2795</v>
      </c>
      <c r="T34" s="417" t="s">
        <v>2795</v>
      </c>
      <c r="U34" s="417" t="s">
        <v>2795</v>
      </c>
      <c r="V34" s="417" t="s">
        <v>2795</v>
      </c>
      <c r="W34" s="417" t="s">
        <v>2795</v>
      </c>
      <c r="X34" s="417"/>
      <c r="Y34" s="417" t="s">
        <v>2795</v>
      </c>
      <c r="Z34" s="417" t="s">
        <v>2795</v>
      </c>
      <c r="AA34" s="417" t="s">
        <v>2795</v>
      </c>
      <c r="AB34" s="417" t="s">
        <v>2795</v>
      </c>
      <c r="AC34" s="417" t="s">
        <v>2795</v>
      </c>
      <c r="AD34" s="417" t="s">
        <v>2795</v>
      </c>
      <c r="AE34" s="417" t="s">
        <v>2795</v>
      </c>
      <c r="AF34" s="301"/>
      <c r="AG34" s="417" t="s">
        <v>2792</v>
      </c>
    </row>
    <row r="35" spans="1:33">
      <c r="AF35" s="211"/>
    </row>
    <row r="36" spans="1:33">
      <c r="AF36" s="211"/>
    </row>
  </sheetData>
  <mergeCells count="1">
    <mergeCell ref="A1:AG1"/>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E8BA-BA43-4C45-9B6D-0A8275B5A932}">
  <dimension ref="A1:AK36"/>
  <sheetViews>
    <sheetView topLeftCell="Q1" workbookViewId="0">
      <selection activeCell="AI22" sqref="AI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45566</v>
      </c>
      <c r="C2" s="281">
        <v>45567</v>
      </c>
      <c r="D2" s="281">
        <v>45568</v>
      </c>
      <c r="E2" s="281">
        <v>45569</v>
      </c>
      <c r="F2" s="281">
        <v>45570</v>
      </c>
      <c r="G2" s="281">
        <v>45571</v>
      </c>
      <c r="H2" s="281">
        <v>45572</v>
      </c>
      <c r="I2" s="281">
        <v>45573</v>
      </c>
      <c r="J2" s="281">
        <v>45574</v>
      </c>
      <c r="K2" s="281">
        <v>45575</v>
      </c>
      <c r="L2" s="281">
        <v>45576</v>
      </c>
      <c r="M2" s="281">
        <v>45577</v>
      </c>
      <c r="N2" s="281">
        <v>45578</v>
      </c>
      <c r="O2" s="281">
        <v>45579</v>
      </c>
      <c r="P2" s="281">
        <v>45580</v>
      </c>
      <c r="Q2" s="281">
        <v>45581</v>
      </c>
      <c r="R2" s="281">
        <v>45582</v>
      </c>
      <c r="S2" s="281">
        <v>45583</v>
      </c>
      <c r="T2" s="281">
        <v>45584</v>
      </c>
      <c r="U2" s="281">
        <v>45585</v>
      </c>
      <c r="V2" s="281">
        <v>45586</v>
      </c>
      <c r="W2" s="281">
        <v>45587</v>
      </c>
      <c r="X2" s="281">
        <v>45588</v>
      </c>
      <c r="Y2" s="281">
        <v>45589</v>
      </c>
      <c r="Z2" s="281">
        <v>45590</v>
      </c>
      <c r="AA2" s="281">
        <v>45591</v>
      </c>
      <c r="AB2" s="281">
        <v>45592</v>
      </c>
      <c r="AC2" s="281">
        <v>45593</v>
      </c>
      <c r="AD2" s="281">
        <v>45594</v>
      </c>
      <c r="AE2" s="281">
        <v>45595</v>
      </c>
      <c r="AF2" s="281">
        <v>45596</v>
      </c>
      <c r="AG2" s="281"/>
      <c r="AH2" s="281">
        <v>45565</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427449</v>
      </c>
      <c r="C4" s="420">
        <v>427701</v>
      </c>
      <c r="D4" s="420">
        <v>427955</v>
      </c>
      <c r="E4" s="286" t="s">
        <v>2796</v>
      </c>
      <c r="F4" s="420">
        <v>428437</v>
      </c>
      <c r="G4" s="420">
        <v>428694</v>
      </c>
      <c r="H4" s="420">
        <v>428932</v>
      </c>
      <c r="I4" s="420">
        <v>429184</v>
      </c>
      <c r="J4" s="420">
        <v>429437</v>
      </c>
      <c r="K4" s="420">
        <v>429690</v>
      </c>
      <c r="L4" s="420">
        <v>429933</v>
      </c>
      <c r="M4" s="420">
        <v>430176</v>
      </c>
      <c r="N4" s="420">
        <v>430437</v>
      </c>
      <c r="O4" s="420">
        <v>430672</v>
      </c>
      <c r="P4" s="420">
        <v>430925</v>
      </c>
      <c r="Q4" s="420">
        <v>431174</v>
      </c>
      <c r="R4" s="420">
        <v>431421</v>
      </c>
      <c r="S4" s="420">
        <v>431421</v>
      </c>
      <c r="T4" s="420">
        <v>431905</v>
      </c>
      <c r="U4" s="420">
        <v>432152</v>
      </c>
      <c r="V4" s="420">
        <v>432412</v>
      </c>
      <c r="W4" s="420">
        <v>432651</v>
      </c>
      <c r="X4" s="420">
        <v>432900</v>
      </c>
      <c r="Y4" s="420">
        <v>433150</v>
      </c>
      <c r="Z4" s="286" t="s">
        <v>2797</v>
      </c>
      <c r="AA4" s="420">
        <v>433537</v>
      </c>
      <c r="AB4" s="420">
        <v>433872</v>
      </c>
      <c r="AC4" s="420">
        <v>434112</v>
      </c>
      <c r="AD4" s="420">
        <v>434359</v>
      </c>
      <c r="AE4" s="420">
        <v>434613</v>
      </c>
      <c r="AF4" s="420">
        <v>434855</v>
      </c>
      <c r="AG4" s="290"/>
      <c r="AH4" s="420">
        <v>427194</v>
      </c>
      <c r="AI4" s="288"/>
    </row>
    <row r="5" spans="1:37" ht="20.100000000000001" customHeight="1">
      <c r="A5" s="285" t="s">
        <v>55</v>
      </c>
      <c r="B5" s="420">
        <v>11953790</v>
      </c>
      <c r="C5" s="420">
        <v>11961021</v>
      </c>
      <c r="D5" s="420">
        <v>11968275</v>
      </c>
      <c r="E5" s="286" t="s">
        <v>2798</v>
      </c>
      <c r="F5" s="420">
        <v>11982157</v>
      </c>
      <c r="G5" s="420">
        <v>11989512</v>
      </c>
      <c r="H5" s="420">
        <v>11996309</v>
      </c>
      <c r="I5" s="420">
        <v>12003626</v>
      </c>
      <c r="J5" s="420">
        <v>12011080</v>
      </c>
      <c r="K5" s="420">
        <v>12018434</v>
      </c>
      <c r="L5" s="420">
        <v>12025573</v>
      </c>
      <c r="M5" s="420">
        <v>12032712</v>
      </c>
      <c r="N5" s="420">
        <v>12039792</v>
      </c>
      <c r="O5" s="420">
        <v>12046436</v>
      </c>
      <c r="P5" s="420">
        <v>12053803</v>
      </c>
      <c r="Q5" s="420">
        <v>12061113</v>
      </c>
      <c r="R5" s="420">
        <v>12068428</v>
      </c>
      <c r="S5" s="420">
        <v>12075249</v>
      </c>
      <c r="T5" s="420">
        <v>12082069</v>
      </c>
      <c r="U5" s="420">
        <v>12088905</v>
      </c>
      <c r="V5" s="420">
        <v>12096357</v>
      </c>
      <c r="W5" s="420">
        <v>12103112</v>
      </c>
      <c r="X5" s="420">
        <v>12110353</v>
      </c>
      <c r="Y5" s="420">
        <v>12117509</v>
      </c>
      <c r="Z5" s="286" t="s">
        <v>2799</v>
      </c>
      <c r="AA5" s="420">
        <v>12131070</v>
      </c>
      <c r="AB5" s="420">
        <v>12137490</v>
      </c>
      <c r="AC5" s="420">
        <v>12144397</v>
      </c>
      <c r="AD5" s="420">
        <v>12151244</v>
      </c>
      <c r="AE5" s="420">
        <v>12158294</v>
      </c>
      <c r="AF5" s="420">
        <v>12165108</v>
      </c>
      <c r="AG5" s="290"/>
      <c r="AH5" s="420">
        <v>11946678</v>
      </c>
      <c r="AI5" s="288"/>
    </row>
    <row r="6" spans="1:37" ht="20.100000000000001" customHeight="1">
      <c r="A6" s="285" t="s">
        <v>56</v>
      </c>
      <c r="B6" s="420">
        <v>5602573</v>
      </c>
      <c r="C6" s="420">
        <v>5605659</v>
      </c>
      <c r="D6" s="420">
        <v>5608724</v>
      </c>
      <c r="E6" s="286" t="s">
        <v>2800</v>
      </c>
      <c r="F6" s="420">
        <v>5614476</v>
      </c>
      <c r="G6" s="420">
        <v>5617838</v>
      </c>
      <c r="H6" s="420">
        <v>5620732</v>
      </c>
      <c r="I6" s="420">
        <v>5624047</v>
      </c>
      <c r="J6" s="420">
        <v>5627080</v>
      </c>
      <c r="K6" s="420">
        <v>5630075</v>
      </c>
      <c r="L6" s="420">
        <v>5632677</v>
      </c>
      <c r="M6" s="420">
        <v>5635278</v>
      </c>
      <c r="N6" s="420">
        <v>5638112</v>
      </c>
      <c r="O6" s="420">
        <v>5640855</v>
      </c>
      <c r="P6" s="420">
        <v>5644142</v>
      </c>
      <c r="Q6" s="420">
        <v>5647401</v>
      </c>
      <c r="R6" s="420">
        <v>5650647</v>
      </c>
      <c r="S6" s="420">
        <v>5653559</v>
      </c>
      <c r="T6" s="420">
        <v>5656471</v>
      </c>
      <c r="U6" s="420">
        <v>5659538</v>
      </c>
      <c r="V6" s="420">
        <v>5662688</v>
      </c>
      <c r="W6" s="420">
        <v>5665531</v>
      </c>
      <c r="X6" s="420">
        <v>5668557</v>
      </c>
      <c r="Y6" s="420">
        <v>5671493</v>
      </c>
      <c r="Z6" s="286" t="s">
        <v>2801</v>
      </c>
      <c r="AA6" s="420">
        <v>5676757</v>
      </c>
      <c r="AB6" s="420">
        <v>5679480</v>
      </c>
      <c r="AC6" s="420">
        <v>5682388</v>
      </c>
      <c r="AD6" s="420">
        <v>5685310</v>
      </c>
      <c r="AE6" s="420">
        <v>5688368</v>
      </c>
      <c r="AF6" s="420">
        <v>5691224</v>
      </c>
      <c r="AG6" s="290"/>
      <c r="AH6" s="420">
        <v>5599572</v>
      </c>
      <c r="AI6" s="288"/>
    </row>
    <row r="7" spans="1:37" ht="20.100000000000001" customHeight="1">
      <c r="A7" s="285" t="s">
        <v>57</v>
      </c>
      <c r="B7" s="420">
        <v>11769786</v>
      </c>
      <c r="C7" s="420">
        <v>11780269</v>
      </c>
      <c r="D7" s="420">
        <v>11791944</v>
      </c>
      <c r="E7" s="286" t="s">
        <v>2802</v>
      </c>
      <c r="F7" s="420">
        <v>11811299</v>
      </c>
      <c r="G7" s="420">
        <v>11812606</v>
      </c>
      <c r="H7" s="420">
        <v>11812684</v>
      </c>
      <c r="I7" s="420">
        <v>11812765</v>
      </c>
      <c r="J7" s="420">
        <v>11818320</v>
      </c>
      <c r="K7" s="420">
        <v>11827352</v>
      </c>
      <c r="L7" s="420">
        <v>11836304</v>
      </c>
      <c r="M7" s="420">
        <v>11845255</v>
      </c>
      <c r="N7" s="420">
        <v>11845339</v>
      </c>
      <c r="O7" s="420">
        <v>11845413</v>
      </c>
      <c r="P7" s="420">
        <v>11845492</v>
      </c>
      <c r="Q7" s="420">
        <v>11845568</v>
      </c>
      <c r="R7" s="420">
        <v>11845645</v>
      </c>
      <c r="S7" s="420">
        <v>11845723</v>
      </c>
      <c r="T7" s="420">
        <v>11845800</v>
      </c>
      <c r="U7" s="420">
        <v>79</v>
      </c>
      <c r="V7" s="420">
        <v>162</v>
      </c>
      <c r="W7" s="420">
        <v>239</v>
      </c>
      <c r="X7" s="420">
        <v>322</v>
      </c>
      <c r="Y7" s="420">
        <v>402</v>
      </c>
      <c r="Z7" s="286" t="s">
        <v>2803</v>
      </c>
      <c r="AA7" s="420">
        <v>1055</v>
      </c>
      <c r="AB7" s="420">
        <v>8385</v>
      </c>
      <c r="AC7" s="420">
        <v>16088</v>
      </c>
      <c r="AD7" s="420">
        <v>23952</v>
      </c>
      <c r="AE7" s="420">
        <v>31774</v>
      </c>
      <c r="AF7" s="420">
        <v>39191</v>
      </c>
      <c r="AG7" s="290"/>
      <c r="AH7" s="420">
        <v>11758143</v>
      </c>
      <c r="AI7" s="288"/>
    </row>
    <row r="8" spans="1:37" ht="20.100000000000001" customHeight="1">
      <c r="A8" s="285" t="s">
        <v>58</v>
      </c>
      <c r="B8" s="420">
        <v>3908693</v>
      </c>
      <c r="C8" s="420">
        <v>3908693</v>
      </c>
      <c r="D8" s="420">
        <v>3908693</v>
      </c>
      <c r="E8" s="286" t="s">
        <v>2804</v>
      </c>
      <c r="F8" s="420">
        <v>3908693</v>
      </c>
      <c r="G8" s="420">
        <v>3911647</v>
      </c>
      <c r="H8" s="420">
        <v>3914685</v>
      </c>
      <c r="I8" s="420">
        <v>3918052</v>
      </c>
      <c r="J8" s="420">
        <v>3919790</v>
      </c>
      <c r="K8" s="420">
        <v>3920243</v>
      </c>
      <c r="L8" s="420">
        <v>3920292</v>
      </c>
      <c r="M8" s="420">
        <v>3920341</v>
      </c>
      <c r="N8" s="420">
        <v>3923534</v>
      </c>
      <c r="O8" s="420">
        <v>3926401</v>
      </c>
      <c r="P8" s="420">
        <v>3929631</v>
      </c>
      <c r="Q8" s="420">
        <v>3932895</v>
      </c>
      <c r="R8" s="420">
        <v>3936070</v>
      </c>
      <c r="S8" s="420">
        <v>3939240</v>
      </c>
      <c r="T8" s="420">
        <v>3942409</v>
      </c>
      <c r="U8" s="420">
        <v>8850</v>
      </c>
      <c r="V8" s="420">
        <v>17935</v>
      </c>
      <c r="W8" s="420">
        <v>26072</v>
      </c>
      <c r="X8" s="420">
        <v>34564</v>
      </c>
      <c r="Y8" s="420">
        <v>43787</v>
      </c>
      <c r="Z8" s="286" t="s">
        <v>2805</v>
      </c>
      <c r="AA8" s="420">
        <v>60323</v>
      </c>
      <c r="AB8" s="420">
        <v>60424</v>
      </c>
      <c r="AC8" s="420">
        <v>60525</v>
      </c>
      <c r="AD8" s="420">
        <v>60680</v>
      </c>
      <c r="AE8" s="420">
        <v>60781</v>
      </c>
      <c r="AF8" s="420">
        <v>61039</v>
      </c>
      <c r="AG8" s="290"/>
      <c r="AH8" s="420">
        <v>3908693</v>
      </c>
      <c r="AI8" s="288"/>
    </row>
    <row r="9" spans="1:37" ht="20.100000000000001" customHeight="1">
      <c r="A9" s="285" t="s">
        <v>59</v>
      </c>
      <c r="B9" s="420">
        <v>22982103</v>
      </c>
      <c r="C9" s="420">
        <v>22989155</v>
      </c>
      <c r="D9" s="420">
        <v>22996955</v>
      </c>
      <c r="E9" s="286" t="s">
        <v>2806</v>
      </c>
      <c r="F9" s="420">
        <v>23010429</v>
      </c>
      <c r="G9" s="420">
        <v>23017232</v>
      </c>
      <c r="H9" s="420">
        <v>23023094</v>
      </c>
      <c r="I9" s="420">
        <v>23029914</v>
      </c>
      <c r="J9" s="420">
        <v>23036958</v>
      </c>
      <c r="K9" s="420">
        <v>23044120</v>
      </c>
      <c r="L9" s="420">
        <v>23050477</v>
      </c>
      <c r="M9" s="420">
        <v>23056834</v>
      </c>
      <c r="N9" s="420">
        <v>23063401</v>
      </c>
      <c r="O9" s="420">
        <v>23069130</v>
      </c>
      <c r="P9" s="420">
        <v>23075476</v>
      </c>
      <c r="Q9" s="420">
        <v>23081759</v>
      </c>
      <c r="R9" s="420">
        <v>23087986</v>
      </c>
      <c r="S9" s="420">
        <v>23094033</v>
      </c>
      <c r="T9" s="420">
        <v>23100080</v>
      </c>
      <c r="U9" s="420">
        <v>5687</v>
      </c>
      <c r="V9" s="420">
        <v>11807</v>
      </c>
      <c r="W9" s="420">
        <v>17252</v>
      </c>
      <c r="X9" s="420">
        <v>22942</v>
      </c>
      <c r="Y9" s="420">
        <v>29237</v>
      </c>
      <c r="Z9" s="286" t="s">
        <v>2807</v>
      </c>
      <c r="AA9" s="420">
        <v>41399</v>
      </c>
      <c r="AB9" s="420">
        <v>46896</v>
      </c>
      <c r="AC9" s="420">
        <v>52492</v>
      </c>
      <c r="AD9" s="420">
        <v>58203</v>
      </c>
      <c r="AE9" s="420">
        <v>63861</v>
      </c>
      <c r="AF9" s="420">
        <v>69028</v>
      </c>
      <c r="AG9" s="290"/>
      <c r="AH9" s="420">
        <v>22974442</v>
      </c>
      <c r="AI9" s="288"/>
    </row>
    <row r="10" spans="1:37" ht="20.100000000000001" customHeight="1">
      <c r="A10" s="285" t="s">
        <v>60</v>
      </c>
      <c r="B10" s="420">
        <v>7894494</v>
      </c>
      <c r="C10" s="420">
        <v>7898763</v>
      </c>
      <c r="D10" s="420">
        <v>7903212</v>
      </c>
      <c r="E10" s="286" t="s">
        <v>2808</v>
      </c>
      <c r="F10" s="420">
        <v>7909977</v>
      </c>
      <c r="G10" s="420">
        <v>7913671</v>
      </c>
      <c r="H10" s="420">
        <v>7917711</v>
      </c>
      <c r="I10" s="420">
        <v>7921908</v>
      </c>
      <c r="J10" s="420">
        <v>7926024</v>
      </c>
      <c r="K10" s="420">
        <v>7930154</v>
      </c>
      <c r="L10" s="420">
        <v>7933583</v>
      </c>
      <c r="M10" s="420">
        <v>7937011</v>
      </c>
      <c r="N10" s="420">
        <v>7940903</v>
      </c>
      <c r="O10" s="420">
        <v>7945220</v>
      </c>
      <c r="P10" s="420">
        <v>7949507</v>
      </c>
      <c r="Q10" s="420">
        <v>7953381</v>
      </c>
      <c r="R10" s="420">
        <v>7957467</v>
      </c>
      <c r="S10" s="420">
        <v>7960730</v>
      </c>
      <c r="T10" s="420">
        <v>7963992</v>
      </c>
      <c r="U10" s="420">
        <v>7967570</v>
      </c>
      <c r="V10" s="420">
        <v>7971862</v>
      </c>
      <c r="W10" s="420">
        <v>7975742</v>
      </c>
      <c r="X10" s="420">
        <v>7979878</v>
      </c>
      <c r="Y10" s="420">
        <v>7983964</v>
      </c>
      <c r="Z10" s="286" t="s">
        <v>2809</v>
      </c>
      <c r="AA10" s="420">
        <v>7991187</v>
      </c>
      <c r="AB10" s="420">
        <v>7994706</v>
      </c>
      <c r="AC10" s="420">
        <v>7998650</v>
      </c>
      <c r="AD10" s="420">
        <v>8002723</v>
      </c>
      <c r="AE10" s="420">
        <v>8006805</v>
      </c>
      <c r="AF10" s="420">
        <v>8010689</v>
      </c>
      <c r="AG10" s="290"/>
      <c r="AH10" s="420">
        <v>7890155</v>
      </c>
      <c r="AI10" s="288"/>
    </row>
    <row r="11" spans="1:37" ht="22.5" customHeight="1">
      <c r="A11" s="285" t="s">
        <v>61</v>
      </c>
      <c r="B11" s="420">
        <v>304891</v>
      </c>
      <c r="C11" s="420">
        <v>305025</v>
      </c>
      <c r="D11" s="420">
        <v>305156</v>
      </c>
      <c r="E11" s="286" t="s">
        <v>2810</v>
      </c>
      <c r="F11" s="420">
        <v>305380</v>
      </c>
      <c r="G11" s="420">
        <v>305507</v>
      </c>
      <c r="H11" s="420">
        <v>305629</v>
      </c>
      <c r="I11" s="420">
        <v>305758</v>
      </c>
      <c r="J11" s="420">
        <v>305894</v>
      </c>
      <c r="K11" s="420">
        <v>306031</v>
      </c>
      <c r="L11" s="420">
        <v>306153</v>
      </c>
      <c r="M11" s="420">
        <v>306276</v>
      </c>
      <c r="N11" s="420">
        <v>306412</v>
      </c>
      <c r="O11" s="420">
        <v>306535</v>
      </c>
      <c r="P11" s="420">
        <v>306672</v>
      </c>
      <c r="Q11" s="420">
        <v>306809</v>
      </c>
      <c r="R11" s="420">
        <v>306943</v>
      </c>
      <c r="S11" s="420">
        <v>307062</v>
      </c>
      <c r="T11" s="420">
        <v>307182</v>
      </c>
      <c r="U11" s="420">
        <v>307305</v>
      </c>
      <c r="V11" s="420">
        <v>307444</v>
      </c>
      <c r="W11" s="420">
        <v>307568</v>
      </c>
      <c r="X11" s="420">
        <v>307703</v>
      </c>
      <c r="Y11" s="420">
        <v>307838</v>
      </c>
      <c r="Z11" s="286" t="s">
        <v>2811</v>
      </c>
      <c r="AA11" s="420">
        <v>308086</v>
      </c>
      <c r="AB11" s="420">
        <v>308205</v>
      </c>
      <c r="AC11" s="420">
        <v>308334</v>
      </c>
      <c r="AD11" s="420">
        <v>308468</v>
      </c>
      <c r="AE11" s="420">
        <v>308603</v>
      </c>
      <c r="AF11" s="420">
        <v>308732</v>
      </c>
      <c r="AG11" s="290"/>
      <c r="AH11" s="420">
        <v>304756</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13908</v>
      </c>
      <c r="C14" s="409">
        <v>14000</v>
      </c>
      <c r="D14" s="409">
        <v>14089</v>
      </c>
      <c r="E14" s="409">
        <v>14174</v>
      </c>
      <c r="F14" s="409">
        <v>14174</v>
      </c>
      <c r="G14" s="409">
        <v>14307</v>
      </c>
      <c r="H14" s="409">
        <v>14404</v>
      </c>
      <c r="I14" s="409">
        <v>14498</v>
      </c>
      <c r="J14" s="409">
        <v>14641</v>
      </c>
      <c r="K14" s="409">
        <v>14643</v>
      </c>
      <c r="L14" s="409">
        <v>14756</v>
      </c>
      <c r="M14" s="409">
        <v>14788</v>
      </c>
      <c r="N14" s="409">
        <v>14849</v>
      </c>
      <c r="O14" s="409">
        <v>14927</v>
      </c>
      <c r="P14" s="409">
        <v>15018</v>
      </c>
      <c r="Q14" s="409">
        <v>15181</v>
      </c>
      <c r="R14" s="409">
        <v>15278</v>
      </c>
      <c r="S14" s="409">
        <v>15390</v>
      </c>
      <c r="T14" s="409">
        <v>15390</v>
      </c>
      <c r="U14" s="409">
        <v>15455</v>
      </c>
      <c r="V14" s="409">
        <v>15540</v>
      </c>
      <c r="W14" s="409">
        <v>15617</v>
      </c>
      <c r="X14" s="409">
        <v>15700</v>
      </c>
      <c r="Y14" s="409">
        <v>15779</v>
      </c>
      <c r="Z14" s="409">
        <v>15779</v>
      </c>
      <c r="AA14" s="409">
        <v>15871</v>
      </c>
      <c r="AB14" s="409">
        <v>15933</v>
      </c>
      <c r="AC14" s="409">
        <v>16017</v>
      </c>
      <c r="AD14" s="409">
        <v>16186</v>
      </c>
      <c r="AE14" s="409">
        <v>16267</v>
      </c>
      <c r="AF14" s="409">
        <v>16339</v>
      </c>
      <c r="AG14" s="301">
        <f>AF14-AH14</f>
        <v>2515</v>
      </c>
      <c r="AH14" s="409">
        <v>13824</v>
      </c>
      <c r="AI14" s="299">
        <v>2515</v>
      </c>
      <c r="AJ14" s="299"/>
      <c r="AK14" s="410"/>
    </row>
    <row r="15" spans="1:37" ht="25.5">
      <c r="A15" s="282" t="s">
        <v>67</v>
      </c>
      <c r="B15" s="409">
        <v>8511</v>
      </c>
      <c r="C15" s="409">
        <v>8511</v>
      </c>
      <c r="D15" s="409">
        <v>8511</v>
      </c>
      <c r="E15" s="409">
        <v>8511</v>
      </c>
      <c r="F15" s="409">
        <v>8511</v>
      </c>
      <c r="G15" s="409">
        <v>8511</v>
      </c>
      <c r="H15" s="409">
        <v>8511</v>
      </c>
      <c r="I15" s="409">
        <v>8511</v>
      </c>
      <c r="J15" s="409">
        <v>8511</v>
      </c>
      <c r="K15" s="409">
        <v>8511</v>
      </c>
      <c r="L15" s="409">
        <v>8511</v>
      </c>
      <c r="M15" s="409">
        <v>8511</v>
      </c>
      <c r="N15" s="409">
        <v>8511</v>
      </c>
      <c r="O15" s="409">
        <v>8511</v>
      </c>
      <c r="P15" s="409">
        <v>8511</v>
      </c>
      <c r="Q15" s="409">
        <v>8511</v>
      </c>
      <c r="R15" s="409">
        <v>8511</v>
      </c>
      <c r="S15" s="409">
        <v>8511</v>
      </c>
      <c r="T15" s="409">
        <v>8511</v>
      </c>
      <c r="U15" s="409">
        <v>8511</v>
      </c>
      <c r="V15" s="409">
        <v>8511</v>
      </c>
      <c r="W15" s="409">
        <v>8511</v>
      </c>
      <c r="X15" s="409">
        <v>8511</v>
      </c>
      <c r="Y15" s="409">
        <v>8511</v>
      </c>
      <c r="Z15" s="409">
        <v>8511</v>
      </c>
      <c r="AA15" s="409">
        <v>8511</v>
      </c>
      <c r="AB15" s="409">
        <v>8511</v>
      </c>
      <c r="AC15" s="409">
        <v>8511</v>
      </c>
      <c r="AD15" s="409">
        <v>8605</v>
      </c>
      <c r="AE15" s="409">
        <v>8605</v>
      </c>
      <c r="AF15" s="409">
        <v>8605</v>
      </c>
      <c r="AG15" s="301">
        <f t="shared" ref="AG15:AG29" si="0">AF15-AH15</f>
        <v>94</v>
      </c>
      <c r="AH15" s="409">
        <v>8511</v>
      </c>
      <c r="AI15" s="144">
        <v>94</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406"/>
      <c r="AG17" s="301">
        <f t="shared" si="0"/>
        <v>0</v>
      </c>
      <c r="AH17" s="406"/>
      <c r="AI17" s="144">
        <v>0</v>
      </c>
      <c r="AK17" s="411"/>
    </row>
    <row r="18" spans="1:37">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408" t="s">
        <v>64</v>
      </c>
      <c r="AG18" s="301"/>
      <c r="AH18" s="408" t="s">
        <v>64</v>
      </c>
      <c r="AK18" s="412"/>
    </row>
    <row r="19" spans="1:37" ht="25.5">
      <c r="A19" s="282" t="s">
        <v>70</v>
      </c>
      <c r="B19" s="413">
        <v>85855</v>
      </c>
      <c r="C19" s="413">
        <v>85855</v>
      </c>
      <c r="D19" s="413">
        <v>85894</v>
      </c>
      <c r="E19" s="413">
        <v>85894</v>
      </c>
      <c r="F19" s="413">
        <v>85894</v>
      </c>
      <c r="G19" s="413">
        <v>85962</v>
      </c>
      <c r="H19" s="413">
        <v>85981</v>
      </c>
      <c r="I19" s="413">
        <v>85981</v>
      </c>
      <c r="J19" s="413">
        <v>86020</v>
      </c>
      <c r="K19" s="413">
        <v>86040</v>
      </c>
      <c r="L19" s="413">
        <v>86040</v>
      </c>
      <c r="M19" s="413">
        <v>86070</v>
      </c>
      <c r="N19" s="413">
        <v>86070</v>
      </c>
      <c r="O19" s="413">
        <v>86159</v>
      </c>
      <c r="P19" s="413">
        <v>86177</v>
      </c>
      <c r="Q19" s="413">
        <v>86204</v>
      </c>
      <c r="R19" s="413">
        <v>86223</v>
      </c>
      <c r="S19" s="413">
        <v>86262</v>
      </c>
      <c r="T19" s="413">
        <v>86262</v>
      </c>
      <c r="U19" s="413">
        <v>86284</v>
      </c>
      <c r="V19" s="413">
        <v>86310</v>
      </c>
      <c r="W19" s="413">
        <v>86330</v>
      </c>
      <c r="X19" s="413">
        <v>86346</v>
      </c>
      <c r="Y19" s="413">
        <v>86368</v>
      </c>
      <c r="Z19" s="413">
        <v>86368</v>
      </c>
      <c r="AA19" s="413">
        <v>86400</v>
      </c>
      <c r="AB19" s="413">
        <v>86420</v>
      </c>
      <c r="AC19" s="413">
        <v>86432</v>
      </c>
      <c r="AD19" s="413">
        <v>86454</v>
      </c>
      <c r="AE19" s="413">
        <v>86481</v>
      </c>
      <c r="AF19" s="413">
        <v>86512</v>
      </c>
      <c r="AG19" s="301">
        <f t="shared" si="0"/>
        <v>682</v>
      </c>
      <c r="AH19" s="413">
        <v>85830</v>
      </c>
      <c r="AI19" s="307">
        <v>682</v>
      </c>
      <c r="AJ19" s="307"/>
      <c r="AK19" s="410"/>
    </row>
    <row r="20" spans="1:37" ht="25.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7788</v>
      </c>
      <c r="T20" s="413">
        <v>7788</v>
      </c>
      <c r="U20" s="413">
        <v>7788</v>
      </c>
      <c r="V20" s="413">
        <v>7788</v>
      </c>
      <c r="W20" s="413">
        <v>7788</v>
      </c>
      <c r="X20" s="413">
        <v>7788</v>
      </c>
      <c r="Y20" s="413">
        <v>7788</v>
      </c>
      <c r="Z20" s="413">
        <v>7788</v>
      </c>
      <c r="AA20" s="413">
        <v>7788</v>
      </c>
      <c r="AB20" s="413">
        <v>7788</v>
      </c>
      <c r="AC20" s="413">
        <v>7788</v>
      </c>
      <c r="AD20" s="413">
        <v>7788</v>
      </c>
      <c r="AE20" s="413">
        <v>7788</v>
      </c>
      <c r="AF20" s="413">
        <v>7788</v>
      </c>
      <c r="AG20" s="301">
        <f t="shared" si="0"/>
        <v>0</v>
      </c>
      <c r="AH20" s="413">
        <v>7788</v>
      </c>
      <c r="AI20" s="144">
        <v>0</v>
      </c>
      <c r="AJ20" s="307"/>
      <c r="AK20" s="414"/>
    </row>
    <row r="21" spans="1:37">
      <c r="A21" s="282" t="s">
        <v>72</v>
      </c>
      <c r="B21" s="409">
        <v>220486</v>
      </c>
      <c r="C21" s="409">
        <v>229475</v>
      </c>
      <c r="D21" s="409">
        <v>229597</v>
      </c>
      <c r="E21" s="409">
        <v>229722</v>
      </c>
      <c r="F21" s="409">
        <v>229722</v>
      </c>
      <c r="G21" s="409">
        <v>229903</v>
      </c>
      <c r="H21" s="409">
        <v>230007</v>
      </c>
      <c r="I21" s="409">
        <v>230115</v>
      </c>
      <c r="J21" s="409">
        <v>230215</v>
      </c>
      <c r="K21" s="409">
        <v>230320</v>
      </c>
      <c r="L21" s="409">
        <v>230436</v>
      </c>
      <c r="M21" s="409">
        <v>230436</v>
      </c>
      <c r="N21" s="409">
        <v>230631</v>
      </c>
      <c r="O21" s="409">
        <v>230724</v>
      </c>
      <c r="P21" s="409">
        <v>230823</v>
      </c>
      <c r="Q21" s="409">
        <v>230920</v>
      </c>
      <c r="R21" s="409">
        <v>231024</v>
      </c>
      <c r="S21" s="409">
        <v>231121</v>
      </c>
      <c r="T21" s="409">
        <v>231121</v>
      </c>
      <c r="U21" s="409">
        <v>231318</v>
      </c>
      <c r="V21" s="409">
        <v>231418</v>
      </c>
      <c r="W21" s="409">
        <v>231512</v>
      </c>
      <c r="X21" s="409">
        <v>231512</v>
      </c>
      <c r="Y21" s="409">
        <v>231512</v>
      </c>
      <c r="Z21" s="409">
        <v>231512</v>
      </c>
      <c r="AA21" s="409">
        <v>231512</v>
      </c>
      <c r="AB21" s="409">
        <v>231605</v>
      </c>
      <c r="AC21" s="409">
        <v>231605</v>
      </c>
      <c r="AD21" s="409">
        <v>231605</v>
      </c>
      <c r="AE21" s="409">
        <v>231605</v>
      </c>
      <c r="AF21" s="409">
        <v>231605</v>
      </c>
      <c r="AG21" s="301">
        <f t="shared" si="0"/>
        <v>11342</v>
      </c>
      <c r="AH21" s="409">
        <v>220263</v>
      </c>
      <c r="AI21" s="144">
        <v>11342</v>
      </c>
      <c r="AJ21" s="307"/>
      <c r="AK21" s="415"/>
    </row>
    <row r="22" spans="1:37">
      <c r="A22" s="282" t="s">
        <v>73</v>
      </c>
      <c r="B22" s="409">
        <v>217071</v>
      </c>
      <c r="C22" s="409">
        <v>217071</v>
      </c>
      <c r="D22" s="409">
        <v>217071</v>
      </c>
      <c r="E22" s="409">
        <v>217071</v>
      </c>
      <c r="F22" s="409">
        <v>217071</v>
      </c>
      <c r="G22" s="409">
        <v>217071</v>
      </c>
      <c r="H22" s="409">
        <v>221676</v>
      </c>
      <c r="I22" s="409">
        <v>221676</v>
      </c>
      <c r="J22" s="409">
        <v>222079</v>
      </c>
      <c r="K22" s="409">
        <v>222271</v>
      </c>
      <c r="L22" s="409">
        <v>222271</v>
      </c>
      <c r="M22" s="409">
        <v>222610</v>
      </c>
      <c r="N22" s="409">
        <v>222610</v>
      </c>
      <c r="O22" s="409">
        <v>223029</v>
      </c>
      <c r="P22" s="409">
        <v>223201</v>
      </c>
      <c r="Q22" s="409">
        <v>223418</v>
      </c>
      <c r="R22" s="409">
        <v>223605</v>
      </c>
      <c r="S22" s="409">
        <v>223963</v>
      </c>
      <c r="T22" s="409">
        <v>223963</v>
      </c>
      <c r="U22" s="409">
        <v>224151</v>
      </c>
      <c r="V22" s="409">
        <v>224369</v>
      </c>
      <c r="W22" s="409">
        <v>224542</v>
      </c>
      <c r="X22" s="409">
        <v>224713</v>
      </c>
      <c r="Y22" s="409">
        <v>224915</v>
      </c>
      <c r="Z22" s="409">
        <v>224915</v>
      </c>
      <c r="AA22" s="409">
        <v>225237</v>
      </c>
      <c r="AB22" s="409">
        <v>225269</v>
      </c>
      <c r="AC22" s="409">
        <v>225571</v>
      </c>
      <c r="AD22" s="409">
        <v>225701</v>
      </c>
      <c r="AE22" s="409">
        <v>225874</v>
      </c>
      <c r="AF22" s="409">
        <v>226019</v>
      </c>
      <c r="AG22" s="301">
        <f t="shared" si="0"/>
        <v>8948</v>
      </c>
      <c r="AH22" s="409">
        <v>217071</v>
      </c>
      <c r="AI22" s="144">
        <v>8948</v>
      </c>
      <c r="AJ22" s="307"/>
      <c r="AK22" s="414"/>
    </row>
    <row r="23" spans="1:37">
      <c r="A23" s="309" t="s">
        <v>136</v>
      </c>
      <c r="B23" s="409">
        <v>13250</v>
      </c>
      <c r="C23" s="409">
        <v>13262</v>
      </c>
      <c r="D23" s="409">
        <v>13274</v>
      </c>
      <c r="E23" s="409">
        <v>13286</v>
      </c>
      <c r="F23" s="409">
        <v>13286</v>
      </c>
      <c r="G23" s="409">
        <v>13288</v>
      </c>
      <c r="H23" s="409">
        <v>13300</v>
      </c>
      <c r="I23" s="409">
        <v>13311</v>
      </c>
      <c r="J23" s="409">
        <v>13323</v>
      </c>
      <c r="K23" s="409">
        <v>13334</v>
      </c>
      <c r="L23" s="409">
        <v>13345</v>
      </c>
      <c r="M23" s="409">
        <v>13345</v>
      </c>
      <c r="N23" s="409">
        <v>13347</v>
      </c>
      <c r="O23" s="409">
        <v>13359</v>
      </c>
      <c r="P23" s="409">
        <v>13372</v>
      </c>
      <c r="Q23" s="409">
        <v>13385</v>
      </c>
      <c r="R23" s="409">
        <v>13398</v>
      </c>
      <c r="S23" s="409">
        <v>13410</v>
      </c>
      <c r="T23" s="409">
        <v>13410</v>
      </c>
      <c r="U23" s="409">
        <v>13412</v>
      </c>
      <c r="V23" s="409">
        <v>13425</v>
      </c>
      <c r="W23" s="409">
        <v>13439</v>
      </c>
      <c r="X23" s="409">
        <v>13439</v>
      </c>
      <c r="Y23" s="409">
        <v>13462</v>
      </c>
      <c r="Z23" s="409">
        <v>13462</v>
      </c>
      <c r="AA23" s="409">
        <v>13473</v>
      </c>
      <c r="AB23" s="409">
        <v>13477</v>
      </c>
      <c r="AC23" s="409">
        <v>13486</v>
      </c>
      <c r="AD23" s="409">
        <v>13497</v>
      </c>
      <c r="AE23" s="409">
        <v>13511</v>
      </c>
      <c r="AF23" s="409">
        <v>13521</v>
      </c>
      <c r="AG23" s="301">
        <f t="shared" si="0"/>
        <v>282</v>
      </c>
      <c r="AH23" s="409">
        <v>13239</v>
      </c>
      <c r="AI23" s="144">
        <v>282</v>
      </c>
      <c r="AJ23" s="307"/>
      <c r="AK23" s="414"/>
    </row>
    <row r="24" spans="1:37">
      <c r="A24" s="309" t="s">
        <v>139</v>
      </c>
      <c r="B24" s="409">
        <v>9175</v>
      </c>
      <c r="C24" s="409">
        <v>9181</v>
      </c>
      <c r="D24" s="409">
        <v>9189</v>
      </c>
      <c r="E24" s="409">
        <v>9194</v>
      </c>
      <c r="F24" s="409">
        <v>9194</v>
      </c>
      <c r="G24" s="409">
        <v>9195</v>
      </c>
      <c r="H24" s="409">
        <v>9202</v>
      </c>
      <c r="I24" s="409">
        <v>9210</v>
      </c>
      <c r="J24" s="409">
        <v>9216</v>
      </c>
      <c r="K24" s="409">
        <v>9222</v>
      </c>
      <c r="L24" s="409">
        <v>9228</v>
      </c>
      <c r="M24" s="409">
        <v>9228</v>
      </c>
      <c r="N24" s="409">
        <v>9230</v>
      </c>
      <c r="O24" s="409">
        <v>9236</v>
      </c>
      <c r="P24" s="409">
        <v>9244</v>
      </c>
      <c r="Q24" s="409">
        <v>9253</v>
      </c>
      <c r="R24" s="409">
        <v>9259</v>
      </c>
      <c r="S24" s="409">
        <v>9265</v>
      </c>
      <c r="T24" s="409">
        <v>9265</v>
      </c>
      <c r="U24" s="409">
        <v>9265</v>
      </c>
      <c r="V24" s="409">
        <v>9272</v>
      </c>
      <c r="W24" s="409">
        <v>9278</v>
      </c>
      <c r="X24" s="409">
        <v>9278</v>
      </c>
      <c r="Y24" s="409">
        <v>9290</v>
      </c>
      <c r="Z24" s="409">
        <v>9290</v>
      </c>
      <c r="AA24" s="409">
        <v>9296</v>
      </c>
      <c r="AB24" s="409">
        <v>9299</v>
      </c>
      <c r="AC24" s="409">
        <v>9302</v>
      </c>
      <c r="AD24" s="409">
        <v>9308</v>
      </c>
      <c r="AE24" s="409">
        <v>9313</v>
      </c>
      <c r="AF24" s="409">
        <v>9319</v>
      </c>
      <c r="AG24" s="301">
        <f t="shared" si="0"/>
        <v>149</v>
      </c>
      <c r="AH24" s="409">
        <v>9170</v>
      </c>
      <c r="AI24" s="144">
        <v>149</v>
      </c>
      <c r="AJ24" s="307"/>
      <c r="AK24" s="414"/>
    </row>
    <row r="25" spans="1:37">
      <c r="A25" s="309" t="s">
        <v>142</v>
      </c>
      <c r="B25" s="409">
        <v>3683</v>
      </c>
      <c r="C25" s="409">
        <v>3687</v>
      </c>
      <c r="D25" s="409">
        <v>3691</v>
      </c>
      <c r="E25" s="409">
        <v>3692</v>
      </c>
      <c r="F25" s="409">
        <v>3692</v>
      </c>
      <c r="G25" s="409">
        <v>3692</v>
      </c>
      <c r="H25" s="409">
        <v>3696</v>
      </c>
      <c r="I25" s="409">
        <v>3699</v>
      </c>
      <c r="J25" s="409">
        <v>3701</v>
      </c>
      <c r="K25" s="409">
        <v>3704</v>
      </c>
      <c r="L25" s="409">
        <v>3706</v>
      </c>
      <c r="M25" s="409">
        <v>3706</v>
      </c>
      <c r="N25" s="409">
        <v>3707</v>
      </c>
      <c r="O25" s="409">
        <v>3710</v>
      </c>
      <c r="P25" s="409">
        <v>3716</v>
      </c>
      <c r="Q25" s="409">
        <v>3727</v>
      </c>
      <c r="R25" s="409">
        <v>1741</v>
      </c>
      <c r="S25" s="409">
        <v>3746</v>
      </c>
      <c r="T25" s="409">
        <v>3746</v>
      </c>
      <c r="U25" s="409">
        <v>3746</v>
      </c>
      <c r="V25" s="409">
        <v>3752</v>
      </c>
      <c r="W25" s="409">
        <v>3756</v>
      </c>
      <c r="X25" s="409">
        <v>3756</v>
      </c>
      <c r="Y25" s="409">
        <v>3765</v>
      </c>
      <c r="Z25" s="409">
        <v>3765</v>
      </c>
      <c r="AA25" s="409">
        <v>3769</v>
      </c>
      <c r="AB25" s="409">
        <v>3771</v>
      </c>
      <c r="AC25" s="409">
        <v>3773</v>
      </c>
      <c r="AD25" s="409">
        <v>3775</v>
      </c>
      <c r="AE25" s="409">
        <v>3779</v>
      </c>
      <c r="AF25" s="409">
        <v>3781</v>
      </c>
      <c r="AG25" s="301">
        <f t="shared" si="0"/>
        <v>100</v>
      </c>
      <c r="AH25" s="409">
        <v>3681</v>
      </c>
      <c r="AI25" s="144">
        <v>100</v>
      </c>
      <c r="AJ25" s="307"/>
      <c r="AK25" s="414"/>
    </row>
    <row r="26" spans="1:37">
      <c r="A26" s="309" t="s">
        <v>145</v>
      </c>
      <c r="B26" s="409">
        <v>2115</v>
      </c>
      <c r="C26" s="409">
        <v>2118</v>
      </c>
      <c r="D26" s="409">
        <v>2120</v>
      </c>
      <c r="E26" s="409">
        <v>2122</v>
      </c>
      <c r="F26" s="409">
        <v>2122</v>
      </c>
      <c r="G26" s="409">
        <v>2123</v>
      </c>
      <c r="H26" s="409">
        <v>2126</v>
      </c>
      <c r="I26" s="409">
        <v>2128</v>
      </c>
      <c r="J26" s="409">
        <v>2130</v>
      </c>
      <c r="K26" s="409">
        <v>2133</v>
      </c>
      <c r="L26" s="409">
        <v>2135</v>
      </c>
      <c r="M26" s="409">
        <v>2135</v>
      </c>
      <c r="N26" s="409">
        <v>2137</v>
      </c>
      <c r="O26" s="409">
        <v>2139</v>
      </c>
      <c r="P26" s="409">
        <v>2142</v>
      </c>
      <c r="Q26" s="409">
        <v>2144</v>
      </c>
      <c r="R26" s="409">
        <v>2147</v>
      </c>
      <c r="S26" s="409">
        <v>2149</v>
      </c>
      <c r="T26" s="409">
        <v>2149</v>
      </c>
      <c r="U26" s="409">
        <v>2150</v>
      </c>
      <c r="V26" s="409">
        <v>2152</v>
      </c>
      <c r="W26" s="409">
        <v>2155</v>
      </c>
      <c r="X26" s="409">
        <v>2155</v>
      </c>
      <c r="Y26" s="409">
        <v>2159</v>
      </c>
      <c r="Z26" s="409">
        <v>2159</v>
      </c>
      <c r="AA26" s="409">
        <v>2161</v>
      </c>
      <c r="AB26" s="409">
        <v>2163</v>
      </c>
      <c r="AC26" s="409">
        <v>2164</v>
      </c>
      <c r="AD26" s="409">
        <v>2166</v>
      </c>
      <c r="AE26" s="409">
        <v>2168</v>
      </c>
      <c r="AF26" s="409">
        <v>2170</v>
      </c>
      <c r="AG26" s="301">
        <f t="shared" si="0"/>
        <v>58</v>
      </c>
      <c r="AH26" s="409">
        <v>2112</v>
      </c>
      <c r="AI26" s="144">
        <v>58</v>
      </c>
      <c r="AJ26" s="307"/>
      <c r="AK26" s="414"/>
    </row>
    <row r="27" spans="1:37">
      <c r="A27" s="309" t="s">
        <v>148</v>
      </c>
      <c r="B27" s="409">
        <v>14678</v>
      </c>
      <c r="C27" s="409">
        <v>14689</v>
      </c>
      <c r="D27" s="409">
        <v>14702</v>
      </c>
      <c r="E27" s="409">
        <v>14713</v>
      </c>
      <c r="F27" s="409">
        <v>14713</v>
      </c>
      <c r="G27" s="409">
        <v>14719</v>
      </c>
      <c r="H27" s="409">
        <v>14730</v>
      </c>
      <c r="I27" s="409">
        <v>14742</v>
      </c>
      <c r="J27" s="409">
        <v>14751</v>
      </c>
      <c r="K27" s="409">
        <v>14761</v>
      </c>
      <c r="L27" s="409">
        <v>14777</v>
      </c>
      <c r="M27" s="409">
        <v>14777</v>
      </c>
      <c r="N27" s="409">
        <v>14782</v>
      </c>
      <c r="O27" s="409">
        <v>14791</v>
      </c>
      <c r="P27" s="409">
        <v>14804</v>
      </c>
      <c r="Q27" s="409">
        <v>14817</v>
      </c>
      <c r="R27" s="409">
        <v>14828</v>
      </c>
      <c r="S27" s="409">
        <v>14840</v>
      </c>
      <c r="T27" s="409">
        <v>14840</v>
      </c>
      <c r="U27" s="409">
        <v>14856</v>
      </c>
      <c r="V27" s="409">
        <v>14870</v>
      </c>
      <c r="W27" s="409">
        <v>14881</v>
      </c>
      <c r="X27" s="409">
        <v>14881</v>
      </c>
      <c r="Y27" s="409">
        <v>14901</v>
      </c>
      <c r="Z27" s="409">
        <v>14901</v>
      </c>
      <c r="AA27" s="409">
        <v>14913</v>
      </c>
      <c r="AB27" s="409">
        <v>14917</v>
      </c>
      <c r="AC27" s="409">
        <v>14926</v>
      </c>
      <c r="AD27" s="409">
        <v>14937</v>
      </c>
      <c r="AE27" s="409">
        <v>14948</v>
      </c>
      <c r="AF27" s="409">
        <v>14958</v>
      </c>
      <c r="AG27" s="301">
        <f t="shared" si="0"/>
        <v>290</v>
      </c>
      <c r="AH27" s="409">
        <v>14668</v>
      </c>
      <c r="AI27" s="144">
        <v>290</v>
      </c>
      <c r="AJ27" s="307"/>
      <c r="AK27" s="414"/>
    </row>
    <row r="28" spans="1:37">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409">
        <v>1339</v>
      </c>
      <c r="AG28" s="301">
        <f t="shared" si="0"/>
        <v>0</v>
      </c>
      <c r="AH28" s="409">
        <v>1339</v>
      </c>
      <c r="AI28" s="144">
        <v>0</v>
      </c>
      <c r="AJ28" s="307"/>
      <c r="AK28" s="414"/>
    </row>
    <row r="29" spans="1:37">
      <c r="A29" s="309" t="s">
        <v>154</v>
      </c>
      <c r="B29" s="409">
        <v>895</v>
      </c>
      <c r="C29" s="409">
        <v>895</v>
      </c>
      <c r="D29" s="409">
        <v>895</v>
      </c>
      <c r="E29" s="409">
        <v>1021</v>
      </c>
      <c r="F29" s="409">
        <v>1021</v>
      </c>
      <c r="G29" s="409">
        <v>1022</v>
      </c>
      <c r="H29" s="409">
        <v>1024</v>
      </c>
      <c r="I29" s="409">
        <v>1026</v>
      </c>
      <c r="J29" s="409">
        <v>1026</v>
      </c>
      <c r="K29" s="409">
        <v>1028</v>
      </c>
      <c r="L29" s="409">
        <v>1029</v>
      </c>
      <c r="M29" s="409">
        <v>1029</v>
      </c>
      <c r="N29" s="409">
        <v>1030</v>
      </c>
      <c r="O29" s="409">
        <v>1032</v>
      </c>
      <c r="P29" s="409">
        <v>1033</v>
      </c>
      <c r="Q29" s="409">
        <v>1035</v>
      </c>
      <c r="R29" s="409">
        <v>1036</v>
      </c>
      <c r="S29" s="409">
        <v>1037</v>
      </c>
      <c r="T29" s="409">
        <v>1037</v>
      </c>
      <c r="U29" s="409">
        <v>1039</v>
      </c>
      <c r="V29" s="409">
        <v>1040</v>
      </c>
      <c r="W29" s="409">
        <v>1041</v>
      </c>
      <c r="X29" s="409">
        <v>1041</v>
      </c>
      <c r="Y29" s="409">
        <v>1041</v>
      </c>
      <c r="Z29" s="409">
        <v>1041</v>
      </c>
      <c r="AA29" s="409">
        <v>1041</v>
      </c>
      <c r="AB29" s="409">
        <v>1042</v>
      </c>
      <c r="AC29" s="409">
        <v>1042</v>
      </c>
      <c r="AD29" s="409">
        <v>1042</v>
      </c>
      <c r="AE29" s="409">
        <v>1042</v>
      </c>
      <c r="AF29" s="409">
        <v>1042</v>
      </c>
      <c r="AG29" s="301">
        <f t="shared" si="0"/>
        <v>147</v>
      </c>
      <c r="AH29" s="409">
        <v>895</v>
      </c>
      <c r="AI29" s="144">
        <v>147</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416" t="s">
        <v>78</v>
      </c>
      <c r="AG32" s="301"/>
      <c r="AH32" s="416" t="s">
        <v>78</v>
      </c>
    </row>
    <row r="33" spans="1:34" ht="25.5">
      <c r="A33" s="282" t="s">
        <v>80</v>
      </c>
      <c r="B33" s="416" t="s">
        <v>2794</v>
      </c>
      <c r="C33" s="416" t="s">
        <v>2794</v>
      </c>
      <c r="D33" s="416" t="s">
        <v>2794</v>
      </c>
      <c r="E33" s="416" t="s">
        <v>2794</v>
      </c>
      <c r="F33" s="416" t="s">
        <v>2794</v>
      </c>
      <c r="G33" s="416" t="s">
        <v>2794</v>
      </c>
      <c r="H33" s="416" t="s">
        <v>2794</v>
      </c>
      <c r="I33" s="416" t="s">
        <v>2794</v>
      </c>
      <c r="J33" s="416" t="s">
        <v>2794</v>
      </c>
      <c r="K33" s="416" t="s">
        <v>2794</v>
      </c>
      <c r="L33" s="416" t="s">
        <v>2794</v>
      </c>
      <c r="M33" s="416" t="s">
        <v>2794</v>
      </c>
      <c r="N33" s="416" t="s">
        <v>2794</v>
      </c>
      <c r="O33" s="416" t="s">
        <v>2794</v>
      </c>
      <c r="P33" s="416" t="s">
        <v>2794</v>
      </c>
      <c r="Q33" s="416" t="s">
        <v>2794</v>
      </c>
      <c r="R33" s="416" t="s">
        <v>2794</v>
      </c>
      <c r="S33" s="416" t="s">
        <v>2794</v>
      </c>
      <c r="T33" s="416" t="s">
        <v>2794</v>
      </c>
      <c r="U33" s="416" t="s">
        <v>2794</v>
      </c>
      <c r="V33" s="416" t="s">
        <v>2794</v>
      </c>
      <c r="W33" s="416" t="s">
        <v>2794</v>
      </c>
      <c r="X33" s="416" t="s">
        <v>2794</v>
      </c>
      <c r="Y33" s="416" t="s">
        <v>2794</v>
      </c>
      <c r="Z33" s="416" t="s">
        <v>2794</v>
      </c>
      <c r="AA33" s="416" t="s">
        <v>2794</v>
      </c>
      <c r="AB33" s="416" t="s">
        <v>2794</v>
      </c>
      <c r="AC33" s="416" t="s">
        <v>2794</v>
      </c>
      <c r="AD33" s="416" t="s">
        <v>2794</v>
      </c>
      <c r="AE33" s="416" t="s">
        <v>2794</v>
      </c>
      <c r="AF33" s="416" t="s">
        <v>2794</v>
      </c>
      <c r="AG33" s="301"/>
      <c r="AH33" s="416" t="s">
        <v>2794</v>
      </c>
    </row>
    <row r="34" spans="1:34" ht="15.75" thickBot="1">
      <c r="A34" s="310" t="s">
        <v>81</v>
      </c>
      <c r="B34" s="417" t="s">
        <v>2795</v>
      </c>
      <c r="C34" s="417" t="s">
        <v>2795</v>
      </c>
      <c r="D34" s="417" t="s">
        <v>2795</v>
      </c>
      <c r="E34" s="417" t="s">
        <v>2795</v>
      </c>
      <c r="F34" s="417" t="s">
        <v>2795</v>
      </c>
      <c r="G34" s="417" t="s">
        <v>2795</v>
      </c>
      <c r="H34" s="417" t="s">
        <v>2795</v>
      </c>
      <c r="I34" s="417" t="s">
        <v>2795</v>
      </c>
      <c r="J34" s="417" t="s">
        <v>2795</v>
      </c>
      <c r="K34" s="417" t="s">
        <v>2795</v>
      </c>
      <c r="L34" s="417" t="s">
        <v>2795</v>
      </c>
      <c r="M34" s="417" t="s">
        <v>2795</v>
      </c>
      <c r="N34" s="417" t="s">
        <v>2795</v>
      </c>
      <c r="O34" s="417" t="s">
        <v>2795</v>
      </c>
      <c r="P34" s="417" t="s">
        <v>2795</v>
      </c>
      <c r="Q34" s="417" t="s">
        <v>2812</v>
      </c>
      <c r="R34" s="417" t="s">
        <v>2812</v>
      </c>
      <c r="S34" s="417" t="s">
        <v>2812</v>
      </c>
      <c r="T34" s="417" t="s">
        <v>2812</v>
      </c>
      <c r="U34" s="417" t="s">
        <v>2812</v>
      </c>
      <c r="V34" s="417" t="s">
        <v>2812</v>
      </c>
      <c r="W34" s="417" t="s">
        <v>2812</v>
      </c>
      <c r="X34" s="417" t="s">
        <v>2812</v>
      </c>
      <c r="Y34" s="417" t="s">
        <v>2812</v>
      </c>
      <c r="Z34" s="417" t="s">
        <v>2812</v>
      </c>
      <c r="AA34" s="417" t="s">
        <v>2812</v>
      </c>
      <c r="AB34" s="417" t="s">
        <v>2812</v>
      </c>
      <c r="AC34" s="417" t="s">
        <v>2812</v>
      </c>
      <c r="AD34" s="417" t="s">
        <v>2812</v>
      </c>
      <c r="AE34" s="417" t="s">
        <v>2812</v>
      </c>
      <c r="AF34" s="417" t="s">
        <v>2812</v>
      </c>
      <c r="AG34" s="301"/>
      <c r="AH34" s="417" t="s">
        <v>2795</v>
      </c>
    </row>
    <row r="35" spans="1:34">
      <c r="AG35" s="211"/>
    </row>
    <row r="36" spans="1:34">
      <c r="AG36" s="211"/>
    </row>
  </sheetData>
  <mergeCells count="1">
    <mergeCell ref="A1:AH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D855-B32F-421D-9CD4-683E1803D547}">
  <dimension ref="A1:AJ36"/>
  <sheetViews>
    <sheetView topLeftCell="P1" workbookViewId="0">
      <selection activeCell="AH22" sqref="AH22"/>
    </sheetView>
  </sheetViews>
  <sheetFormatPr defaultColWidth="9.140625" defaultRowHeight="15"/>
  <cols>
    <col min="1" max="1" width="32.5703125" style="144" customWidth="1"/>
    <col min="2" max="2" width="13" style="144" customWidth="1"/>
    <col min="3" max="21" width="12.85546875" style="144" customWidth="1"/>
    <col min="22" max="22" width="12.85546875" style="312" customWidth="1"/>
    <col min="23" max="31" width="12.85546875" style="144" customWidth="1"/>
    <col min="32" max="32" width="15.710937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45597</v>
      </c>
      <c r="C2" s="281">
        <v>45598</v>
      </c>
      <c r="D2" s="281">
        <v>45599</v>
      </c>
      <c r="E2" s="281">
        <v>45600</v>
      </c>
      <c r="F2" s="281">
        <v>45601</v>
      </c>
      <c r="G2" s="281">
        <v>45602</v>
      </c>
      <c r="H2" s="281">
        <v>45603</v>
      </c>
      <c r="I2" s="281">
        <v>45604</v>
      </c>
      <c r="J2" s="281">
        <v>45605</v>
      </c>
      <c r="K2" s="281">
        <v>45606</v>
      </c>
      <c r="L2" s="281">
        <v>45607</v>
      </c>
      <c r="M2" s="281">
        <v>45608</v>
      </c>
      <c r="N2" s="281">
        <v>45609</v>
      </c>
      <c r="O2" s="281">
        <v>45610</v>
      </c>
      <c r="P2" s="281">
        <v>45611</v>
      </c>
      <c r="Q2" s="281">
        <v>45612</v>
      </c>
      <c r="R2" s="281">
        <v>45613</v>
      </c>
      <c r="S2" s="281">
        <v>45614</v>
      </c>
      <c r="T2" s="281">
        <v>45615</v>
      </c>
      <c r="U2" s="281">
        <v>45616</v>
      </c>
      <c r="V2" s="281">
        <v>45617</v>
      </c>
      <c r="W2" s="281">
        <v>45618</v>
      </c>
      <c r="X2" s="281">
        <v>45619</v>
      </c>
      <c r="Y2" s="281">
        <v>45620</v>
      </c>
      <c r="Z2" s="281">
        <v>45621</v>
      </c>
      <c r="AA2" s="281">
        <v>45622</v>
      </c>
      <c r="AB2" s="281">
        <v>45623</v>
      </c>
      <c r="AC2" s="281">
        <v>45624</v>
      </c>
      <c r="AD2" s="281">
        <v>45625</v>
      </c>
      <c r="AE2" s="281">
        <v>45626</v>
      </c>
      <c r="AF2" s="281"/>
      <c r="AG2" s="281">
        <v>45596</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20">
        <v>435090</v>
      </c>
      <c r="C4" s="420">
        <v>435325</v>
      </c>
      <c r="D4" s="420">
        <v>435571</v>
      </c>
      <c r="E4" s="420">
        <v>435825</v>
      </c>
      <c r="F4" s="420">
        <v>436082</v>
      </c>
      <c r="G4" s="420">
        <v>436332</v>
      </c>
      <c r="H4" s="420">
        <v>436572</v>
      </c>
      <c r="I4" s="420">
        <v>436572</v>
      </c>
      <c r="J4" s="420">
        <v>437032</v>
      </c>
      <c r="K4" s="420">
        <v>437274</v>
      </c>
      <c r="L4" s="420">
        <v>437520</v>
      </c>
      <c r="M4" s="420">
        <v>437764</v>
      </c>
      <c r="N4" s="420">
        <v>438002</v>
      </c>
      <c r="O4" s="420">
        <v>438243</v>
      </c>
      <c r="P4" s="420">
        <v>438482</v>
      </c>
      <c r="Q4" s="420">
        <v>438722</v>
      </c>
      <c r="R4" s="420">
        <v>438984</v>
      </c>
      <c r="S4" s="420">
        <v>439185</v>
      </c>
      <c r="T4" s="420">
        <v>439426</v>
      </c>
      <c r="U4" s="420">
        <v>439676</v>
      </c>
      <c r="V4" s="420">
        <v>439910</v>
      </c>
      <c r="W4" s="420">
        <v>440159</v>
      </c>
      <c r="X4" s="420">
        <v>440408</v>
      </c>
      <c r="Y4" s="420">
        <v>440610</v>
      </c>
      <c r="Z4" s="420">
        <v>440850</v>
      </c>
      <c r="AA4" s="420">
        <v>441087</v>
      </c>
      <c r="AB4" s="420">
        <v>441326</v>
      </c>
      <c r="AC4" s="420">
        <v>441569</v>
      </c>
      <c r="AD4" s="420">
        <v>441809</v>
      </c>
      <c r="AE4" s="420">
        <v>442014</v>
      </c>
      <c r="AF4" s="290"/>
      <c r="AG4" s="420">
        <v>434855</v>
      </c>
      <c r="AH4" s="288"/>
    </row>
    <row r="5" spans="1:36" ht="20.100000000000001" customHeight="1">
      <c r="A5" s="285" t="s">
        <v>55</v>
      </c>
      <c r="B5" s="420">
        <v>12171582</v>
      </c>
      <c r="C5" s="420">
        <v>12178055</v>
      </c>
      <c r="D5" s="420">
        <v>12184624</v>
      </c>
      <c r="E5" s="420">
        <v>12191840</v>
      </c>
      <c r="F5" s="420">
        <v>12198882</v>
      </c>
      <c r="G5" s="420">
        <v>12205837</v>
      </c>
      <c r="H5" s="420">
        <v>12212563</v>
      </c>
      <c r="I5" s="420">
        <v>12219233</v>
      </c>
      <c r="J5" s="420">
        <v>12225903</v>
      </c>
      <c r="K5" s="420">
        <v>12232800</v>
      </c>
      <c r="L5" s="420">
        <v>12240086</v>
      </c>
      <c r="M5" s="420">
        <v>12247097</v>
      </c>
      <c r="N5" s="420">
        <v>12254081</v>
      </c>
      <c r="O5" s="420">
        <v>12261433</v>
      </c>
      <c r="P5" s="420">
        <v>12268481</v>
      </c>
      <c r="Q5" s="420">
        <v>12275529</v>
      </c>
      <c r="R5" s="420">
        <v>12283536</v>
      </c>
      <c r="S5" s="420">
        <v>12289249</v>
      </c>
      <c r="T5" s="420">
        <v>12296578</v>
      </c>
      <c r="U5" s="420">
        <v>12304083</v>
      </c>
      <c r="V5" s="420">
        <v>12311167</v>
      </c>
      <c r="W5" s="420">
        <v>12318066</v>
      </c>
      <c r="X5" s="420">
        <v>12324964</v>
      </c>
      <c r="Y5" s="420">
        <v>12330413</v>
      </c>
      <c r="Z5" s="420">
        <v>12337310</v>
      </c>
      <c r="AA5" s="420">
        <v>12344142</v>
      </c>
      <c r="AB5" s="420">
        <v>12351098</v>
      </c>
      <c r="AC5" s="420">
        <v>12358158</v>
      </c>
      <c r="AD5" s="420">
        <v>12365046</v>
      </c>
      <c r="AE5" s="420">
        <v>12370414</v>
      </c>
      <c r="AF5" s="290"/>
      <c r="AG5" s="420">
        <v>12165108</v>
      </c>
      <c r="AH5" s="288"/>
    </row>
    <row r="6" spans="1:36" ht="20.100000000000001" customHeight="1">
      <c r="A6" s="285" t="s">
        <v>56</v>
      </c>
      <c r="B6" s="420">
        <v>5693798</v>
      </c>
      <c r="C6" s="420">
        <v>5696371</v>
      </c>
      <c r="D6" s="420">
        <v>5699117</v>
      </c>
      <c r="E6" s="420">
        <v>5702102</v>
      </c>
      <c r="F6" s="420">
        <v>5705232</v>
      </c>
      <c r="G6" s="420">
        <v>5708218</v>
      </c>
      <c r="H6" s="420">
        <v>5710970</v>
      </c>
      <c r="I6" s="420">
        <v>5713779</v>
      </c>
      <c r="J6" s="420">
        <v>5716588</v>
      </c>
      <c r="K6" s="420">
        <v>5719657</v>
      </c>
      <c r="L6" s="420">
        <v>5723090</v>
      </c>
      <c r="M6" s="420">
        <v>5726452</v>
      </c>
      <c r="N6" s="420">
        <v>5729522</v>
      </c>
      <c r="O6" s="420">
        <v>5732438</v>
      </c>
      <c r="P6" s="420">
        <v>5735439</v>
      </c>
      <c r="Q6" s="420">
        <v>5738439</v>
      </c>
      <c r="R6" s="420">
        <v>5741862</v>
      </c>
      <c r="S6" s="420">
        <v>5744502</v>
      </c>
      <c r="T6" s="420">
        <v>5747654</v>
      </c>
      <c r="U6" s="420">
        <v>5750971</v>
      </c>
      <c r="V6" s="420">
        <v>5754096</v>
      </c>
      <c r="W6" s="420">
        <v>5757160</v>
      </c>
      <c r="X6" s="420">
        <v>5760223</v>
      </c>
      <c r="Y6" s="420">
        <v>5762719</v>
      </c>
      <c r="Z6" s="420">
        <v>5765882</v>
      </c>
      <c r="AA6" s="420">
        <v>5768768</v>
      </c>
      <c r="AB6" s="420">
        <v>5771813</v>
      </c>
      <c r="AC6" s="420">
        <v>5774743</v>
      </c>
      <c r="AD6" s="420">
        <v>5777595</v>
      </c>
      <c r="AE6" s="420">
        <v>5779863</v>
      </c>
      <c r="AF6" s="290"/>
      <c r="AG6" s="420">
        <v>5691224</v>
      </c>
      <c r="AH6" s="288"/>
    </row>
    <row r="7" spans="1:36" ht="20.100000000000001" customHeight="1">
      <c r="A7" s="285" t="s">
        <v>57</v>
      </c>
      <c r="B7" s="420">
        <v>46984</v>
      </c>
      <c r="C7" s="420">
        <v>54778</v>
      </c>
      <c r="D7" s="420">
        <v>63342</v>
      </c>
      <c r="E7" s="420">
        <v>72280</v>
      </c>
      <c r="F7" s="420">
        <v>81325</v>
      </c>
      <c r="G7" s="420">
        <v>89724</v>
      </c>
      <c r="H7" s="420">
        <v>96715</v>
      </c>
      <c r="I7" s="420">
        <v>104096</v>
      </c>
      <c r="J7" s="420">
        <v>111477</v>
      </c>
      <c r="K7" s="420">
        <v>111560</v>
      </c>
      <c r="L7" s="420">
        <v>111643</v>
      </c>
      <c r="M7" s="420">
        <v>111725</v>
      </c>
      <c r="N7" s="420">
        <v>111806</v>
      </c>
      <c r="O7" s="420">
        <v>111888</v>
      </c>
      <c r="P7" s="420">
        <v>111976</v>
      </c>
      <c r="Q7" s="420">
        <v>112065</v>
      </c>
      <c r="R7" s="420">
        <v>112158</v>
      </c>
      <c r="S7" s="420">
        <v>112227</v>
      </c>
      <c r="T7" s="420">
        <v>112550</v>
      </c>
      <c r="U7" s="420">
        <v>118535</v>
      </c>
      <c r="V7" s="420">
        <v>125741</v>
      </c>
      <c r="W7" s="420">
        <v>132891</v>
      </c>
      <c r="X7" s="420">
        <v>140042</v>
      </c>
      <c r="Y7" s="420">
        <v>140114</v>
      </c>
      <c r="Z7" s="420">
        <v>140198</v>
      </c>
      <c r="AA7" s="420">
        <v>140280</v>
      </c>
      <c r="AB7" s="420">
        <v>140363</v>
      </c>
      <c r="AC7" s="420">
        <v>140652</v>
      </c>
      <c r="AD7" s="420">
        <v>140740</v>
      </c>
      <c r="AE7" s="420">
        <v>140820</v>
      </c>
      <c r="AF7" s="290"/>
      <c r="AG7" s="420">
        <v>39191</v>
      </c>
      <c r="AH7" s="288"/>
    </row>
    <row r="8" spans="1:36" ht="20.100000000000001" customHeight="1">
      <c r="A8" s="285" t="s">
        <v>58</v>
      </c>
      <c r="B8" s="420">
        <v>61132</v>
      </c>
      <c r="C8" s="420">
        <v>61226</v>
      </c>
      <c r="D8" s="420">
        <v>61320</v>
      </c>
      <c r="E8" s="420">
        <v>61415</v>
      </c>
      <c r="F8" s="420">
        <v>61511</v>
      </c>
      <c r="G8" s="420">
        <v>61605</v>
      </c>
      <c r="H8" s="420">
        <v>61697</v>
      </c>
      <c r="I8" s="420">
        <v>61852</v>
      </c>
      <c r="J8" s="420">
        <v>62008</v>
      </c>
      <c r="K8" s="420">
        <v>69492</v>
      </c>
      <c r="L8" s="420">
        <v>78489</v>
      </c>
      <c r="M8" s="420">
        <v>87101</v>
      </c>
      <c r="N8" s="420">
        <v>94898</v>
      </c>
      <c r="O8" s="420">
        <v>102319</v>
      </c>
      <c r="P8" s="420">
        <v>109415</v>
      </c>
      <c r="Q8" s="420">
        <v>116512</v>
      </c>
      <c r="R8" s="420">
        <v>124073</v>
      </c>
      <c r="S8" s="420">
        <v>129657</v>
      </c>
      <c r="T8" s="420">
        <v>138379</v>
      </c>
      <c r="U8" s="420">
        <v>141251</v>
      </c>
      <c r="V8" s="420">
        <v>141697</v>
      </c>
      <c r="W8" s="420">
        <v>142767</v>
      </c>
      <c r="X8" s="420">
        <v>143837</v>
      </c>
      <c r="Y8" s="420">
        <v>150380</v>
      </c>
      <c r="Z8" s="420">
        <v>157461</v>
      </c>
      <c r="AA8" s="420">
        <v>164466</v>
      </c>
      <c r="AB8" s="420">
        <v>171877</v>
      </c>
      <c r="AC8" s="420">
        <v>179378</v>
      </c>
      <c r="AD8" s="420">
        <v>186462</v>
      </c>
      <c r="AE8" s="420">
        <v>192247</v>
      </c>
      <c r="AF8" s="290"/>
      <c r="AG8" s="420">
        <v>61039</v>
      </c>
      <c r="AH8" s="288"/>
    </row>
    <row r="9" spans="1:36" ht="20.100000000000001" customHeight="1">
      <c r="A9" s="285" t="s">
        <v>59</v>
      </c>
      <c r="B9" s="420">
        <v>74173</v>
      </c>
      <c r="C9" s="420">
        <v>79319</v>
      </c>
      <c r="D9" s="420">
        <v>84611</v>
      </c>
      <c r="E9" s="420">
        <v>90035</v>
      </c>
      <c r="F9" s="420">
        <v>95553</v>
      </c>
      <c r="G9" s="420">
        <v>100933</v>
      </c>
      <c r="H9" s="420">
        <v>106108</v>
      </c>
      <c r="I9" s="420">
        <v>111102</v>
      </c>
      <c r="J9" s="420">
        <v>116096</v>
      </c>
      <c r="K9" s="420">
        <v>121591</v>
      </c>
      <c r="L9" s="420">
        <v>127410</v>
      </c>
      <c r="M9" s="420">
        <v>133128</v>
      </c>
      <c r="N9" s="420">
        <v>138824</v>
      </c>
      <c r="O9" s="420">
        <v>144586</v>
      </c>
      <c r="P9" s="420">
        <v>150320</v>
      </c>
      <c r="Q9" s="420">
        <v>156054</v>
      </c>
      <c r="R9" s="420">
        <v>162390</v>
      </c>
      <c r="S9" s="420">
        <v>166950</v>
      </c>
      <c r="T9" s="420">
        <v>172986</v>
      </c>
      <c r="U9" s="420">
        <v>179154</v>
      </c>
      <c r="V9" s="420">
        <v>184371</v>
      </c>
      <c r="W9" s="420">
        <v>190595</v>
      </c>
      <c r="X9" s="420">
        <v>196819</v>
      </c>
      <c r="Y9" s="420">
        <v>201532</v>
      </c>
      <c r="Z9" s="420">
        <v>207279</v>
      </c>
      <c r="AA9" s="420">
        <v>213091</v>
      </c>
      <c r="AB9" s="420">
        <v>218720</v>
      </c>
      <c r="AC9" s="420">
        <v>224497</v>
      </c>
      <c r="AD9" s="420">
        <v>229765</v>
      </c>
      <c r="AE9" s="420">
        <v>234200</v>
      </c>
      <c r="AF9" s="290"/>
      <c r="AG9" s="420">
        <v>69028</v>
      </c>
      <c r="AH9" s="288"/>
    </row>
    <row r="10" spans="1:36" ht="20.100000000000001" customHeight="1">
      <c r="A10" s="285" t="s">
        <v>60</v>
      </c>
      <c r="B10" s="420">
        <v>8014251</v>
      </c>
      <c r="C10" s="420">
        <v>8017813</v>
      </c>
      <c r="D10" s="420">
        <v>8021054</v>
      </c>
      <c r="E10" s="420">
        <v>8025155</v>
      </c>
      <c r="F10" s="420">
        <v>8029187</v>
      </c>
      <c r="G10" s="420">
        <v>8033069</v>
      </c>
      <c r="H10" s="420">
        <v>8036451</v>
      </c>
      <c r="I10" s="420">
        <v>8039158</v>
      </c>
      <c r="J10" s="420">
        <v>8041864</v>
      </c>
      <c r="K10" s="420">
        <v>8044993</v>
      </c>
      <c r="L10" s="420">
        <v>8048925</v>
      </c>
      <c r="M10" s="420">
        <v>8052865</v>
      </c>
      <c r="N10" s="420">
        <v>8056732</v>
      </c>
      <c r="O10" s="420">
        <v>8060621</v>
      </c>
      <c r="P10" s="420">
        <v>8064075</v>
      </c>
      <c r="Q10" s="420">
        <v>8067529</v>
      </c>
      <c r="R10" s="420">
        <v>8071080</v>
      </c>
      <c r="S10" s="420">
        <v>8073965</v>
      </c>
      <c r="T10" s="420">
        <v>8077813</v>
      </c>
      <c r="U10" s="420">
        <v>8081582</v>
      </c>
      <c r="V10" s="420">
        <v>8085221</v>
      </c>
      <c r="W10" s="420">
        <v>8088414</v>
      </c>
      <c r="X10" s="420">
        <v>8091607</v>
      </c>
      <c r="Y10" s="420">
        <v>8094172</v>
      </c>
      <c r="Z10" s="420">
        <v>8097949</v>
      </c>
      <c r="AA10" s="420">
        <v>8101647</v>
      </c>
      <c r="AB10" s="420">
        <v>8105305</v>
      </c>
      <c r="AC10" s="420">
        <v>8108963</v>
      </c>
      <c r="AD10" s="420">
        <v>8112474</v>
      </c>
      <c r="AE10" s="420">
        <v>8114833</v>
      </c>
      <c r="AF10" s="290"/>
      <c r="AG10" s="420">
        <v>8010689</v>
      </c>
      <c r="AH10" s="288"/>
    </row>
    <row r="11" spans="1:36" ht="22.5" customHeight="1">
      <c r="A11" s="285" t="s">
        <v>61</v>
      </c>
      <c r="B11" s="420">
        <v>308846</v>
      </c>
      <c r="C11" s="420">
        <v>308960</v>
      </c>
      <c r="D11" s="420">
        <v>309080</v>
      </c>
      <c r="E11" s="420">
        <v>309212</v>
      </c>
      <c r="F11" s="420">
        <v>309350</v>
      </c>
      <c r="G11" s="420">
        <v>309476</v>
      </c>
      <c r="H11" s="420">
        <v>309589</v>
      </c>
      <c r="I11" s="420">
        <v>309693</v>
      </c>
      <c r="J11" s="420">
        <v>309798</v>
      </c>
      <c r="K11" s="420">
        <v>309919</v>
      </c>
      <c r="L11" s="420">
        <v>310054</v>
      </c>
      <c r="M11" s="420">
        <v>310184</v>
      </c>
      <c r="N11" s="420">
        <v>310306</v>
      </c>
      <c r="O11" s="420">
        <v>310428</v>
      </c>
      <c r="P11" s="420">
        <v>310542</v>
      </c>
      <c r="Q11" s="420">
        <v>310657</v>
      </c>
      <c r="R11" s="420">
        <v>310790</v>
      </c>
      <c r="S11" s="420">
        <v>310890</v>
      </c>
      <c r="T11" s="420">
        <v>311017</v>
      </c>
      <c r="U11" s="420">
        <v>311151</v>
      </c>
      <c r="V11" s="420">
        <v>311275</v>
      </c>
      <c r="W11" s="420">
        <v>311389</v>
      </c>
      <c r="X11" s="420">
        <v>311503</v>
      </c>
      <c r="Y11" s="420">
        <v>311599</v>
      </c>
      <c r="Z11" s="420">
        <v>311723</v>
      </c>
      <c r="AA11" s="420">
        <v>311846</v>
      </c>
      <c r="AB11" s="420">
        <v>311970</v>
      </c>
      <c r="AC11" s="420">
        <v>312098</v>
      </c>
      <c r="AD11" s="420">
        <v>312216</v>
      </c>
      <c r="AE11" s="420">
        <v>312300</v>
      </c>
      <c r="AF11" s="290"/>
      <c r="AG11" s="420">
        <v>308732</v>
      </c>
      <c r="AH11" s="288"/>
    </row>
    <row r="12" spans="1:36"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07"/>
      <c r="AG12" s="420"/>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16396</v>
      </c>
      <c r="C14" s="409">
        <v>16438</v>
      </c>
      <c r="D14" s="409">
        <v>16497</v>
      </c>
      <c r="E14" s="409">
        <v>16513</v>
      </c>
      <c r="F14" s="409">
        <v>16670</v>
      </c>
      <c r="G14" s="409">
        <v>16755</v>
      </c>
      <c r="H14" s="409">
        <v>16794</v>
      </c>
      <c r="I14" s="409">
        <v>16794</v>
      </c>
      <c r="J14" s="409">
        <v>16810</v>
      </c>
      <c r="K14" s="409">
        <v>16903</v>
      </c>
      <c r="L14" s="409">
        <v>17038</v>
      </c>
      <c r="M14" s="409">
        <v>17133</v>
      </c>
      <c r="N14" s="409">
        <v>17202</v>
      </c>
      <c r="O14" s="409">
        <v>17289</v>
      </c>
      <c r="P14" s="409">
        <v>17289</v>
      </c>
      <c r="Q14" s="409">
        <v>17369</v>
      </c>
      <c r="R14" s="409">
        <v>17408</v>
      </c>
      <c r="S14" s="409">
        <v>17507</v>
      </c>
      <c r="T14" s="409">
        <v>17579</v>
      </c>
      <c r="U14" s="409">
        <v>17660</v>
      </c>
      <c r="V14" s="409">
        <v>17731</v>
      </c>
      <c r="W14" s="409">
        <v>17799</v>
      </c>
      <c r="X14" s="409">
        <v>17828</v>
      </c>
      <c r="Y14" s="409">
        <v>17884</v>
      </c>
      <c r="Z14" s="409">
        <v>17992</v>
      </c>
      <c r="AA14" s="409">
        <v>18080</v>
      </c>
      <c r="AB14" s="409">
        <v>18151</v>
      </c>
      <c r="AC14" s="409">
        <v>18226</v>
      </c>
      <c r="AD14" s="409">
        <v>18226</v>
      </c>
      <c r="AE14" s="409">
        <v>18309</v>
      </c>
      <c r="AF14" s="301">
        <f>AE14-AG14</f>
        <v>1970</v>
      </c>
      <c r="AG14" s="409">
        <v>16339</v>
      </c>
      <c r="AH14" s="299">
        <v>1970</v>
      </c>
      <c r="AI14" s="299"/>
      <c r="AJ14" s="410"/>
    </row>
    <row r="15" spans="1:36" ht="25.5">
      <c r="A15" s="282" t="s">
        <v>67</v>
      </c>
      <c r="B15" s="409">
        <v>8605</v>
      </c>
      <c r="C15" s="409">
        <v>8605</v>
      </c>
      <c r="D15" s="409">
        <v>8605</v>
      </c>
      <c r="E15" s="409">
        <v>8605</v>
      </c>
      <c r="F15" s="409">
        <v>8605</v>
      </c>
      <c r="G15" s="409">
        <v>8605</v>
      </c>
      <c r="H15" s="409">
        <v>8605</v>
      </c>
      <c r="I15" s="409">
        <v>8605</v>
      </c>
      <c r="J15" s="409">
        <v>8605</v>
      </c>
      <c r="K15" s="409">
        <v>8605</v>
      </c>
      <c r="L15" s="409">
        <v>8605</v>
      </c>
      <c r="M15" s="409">
        <v>8605</v>
      </c>
      <c r="N15" s="409">
        <v>8605</v>
      </c>
      <c r="O15" s="409">
        <v>8618</v>
      </c>
      <c r="P15" s="409">
        <v>8618</v>
      </c>
      <c r="Q15" s="409">
        <v>8618</v>
      </c>
      <c r="R15" s="409">
        <v>8618</v>
      </c>
      <c r="S15" s="409">
        <v>8618</v>
      </c>
      <c r="T15" s="409">
        <v>8618</v>
      </c>
      <c r="U15" s="409">
        <v>8618</v>
      </c>
      <c r="V15" s="409">
        <v>8618</v>
      </c>
      <c r="W15" s="409">
        <v>8618</v>
      </c>
      <c r="X15" s="409">
        <v>8618</v>
      </c>
      <c r="Y15" s="409">
        <v>8618</v>
      </c>
      <c r="Z15" s="409">
        <v>8618</v>
      </c>
      <c r="AA15" s="409">
        <v>8618</v>
      </c>
      <c r="AB15" s="409">
        <v>8618</v>
      </c>
      <c r="AC15" s="409">
        <v>8618</v>
      </c>
      <c r="AD15" s="409">
        <v>8618</v>
      </c>
      <c r="AE15" s="409">
        <v>8618</v>
      </c>
      <c r="AF15" s="301">
        <f t="shared" ref="AF15:AF30" si="0">AE15-AG15</f>
        <v>13</v>
      </c>
      <c r="AG15" s="409">
        <v>8605</v>
      </c>
      <c r="AH15" s="144">
        <v>13</v>
      </c>
      <c r="AI15" s="299"/>
      <c r="AJ15" s="411"/>
    </row>
    <row r="16" spans="1:36"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301">
        <f t="shared" si="0"/>
        <v>0</v>
      </c>
      <c r="AG17" s="406"/>
      <c r="AH17" s="144">
        <v>0</v>
      </c>
      <c r="AJ17" s="411"/>
    </row>
    <row r="18" spans="1:36">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301"/>
      <c r="AG18" s="408" t="s">
        <v>64</v>
      </c>
      <c r="AJ18" s="412"/>
    </row>
    <row r="19" spans="1:36" ht="25.5">
      <c r="A19" s="282" t="s">
        <v>70</v>
      </c>
      <c r="B19" s="413">
        <v>86530</v>
      </c>
      <c r="C19" s="413">
        <v>86544</v>
      </c>
      <c r="D19" s="413">
        <v>86570</v>
      </c>
      <c r="E19" s="413">
        <v>86589</v>
      </c>
      <c r="F19" s="413">
        <v>86618</v>
      </c>
      <c r="G19" s="413">
        <v>86633</v>
      </c>
      <c r="H19" s="413">
        <v>86657</v>
      </c>
      <c r="I19" s="413">
        <v>86657</v>
      </c>
      <c r="J19" s="413">
        <v>86657</v>
      </c>
      <c r="K19" s="413">
        <v>86710</v>
      </c>
      <c r="L19" s="413">
        <v>86730</v>
      </c>
      <c r="M19" s="413">
        <v>86744</v>
      </c>
      <c r="N19" s="413">
        <v>86756</v>
      </c>
      <c r="O19" s="413">
        <v>86756</v>
      </c>
      <c r="P19" s="413">
        <v>86756</v>
      </c>
      <c r="Q19" s="413">
        <v>86756</v>
      </c>
      <c r="R19" s="413">
        <v>86819</v>
      </c>
      <c r="S19" s="413">
        <v>86829</v>
      </c>
      <c r="T19" s="413">
        <v>86846</v>
      </c>
      <c r="U19" s="413">
        <v>86868</v>
      </c>
      <c r="V19" s="413">
        <v>86884</v>
      </c>
      <c r="W19" s="413">
        <v>86889</v>
      </c>
      <c r="X19" s="413">
        <v>86891</v>
      </c>
      <c r="Y19" s="413">
        <v>86951</v>
      </c>
      <c r="Z19" s="413">
        <v>86969</v>
      </c>
      <c r="AA19" s="413">
        <v>86978</v>
      </c>
      <c r="AB19" s="413">
        <v>86993</v>
      </c>
      <c r="AC19" s="413">
        <v>86999</v>
      </c>
      <c r="AD19" s="413">
        <v>87006</v>
      </c>
      <c r="AE19" s="413">
        <v>87013</v>
      </c>
      <c r="AF19" s="301">
        <f t="shared" si="0"/>
        <v>501</v>
      </c>
      <c r="AG19" s="413">
        <v>86512</v>
      </c>
      <c r="AH19" s="307">
        <v>501</v>
      </c>
      <c r="AI19" s="307"/>
      <c r="AJ19" s="410"/>
    </row>
    <row r="20" spans="1:36" ht="25.5">
      <c r="A20" s="282" t="s">
        <v>2715</v>
      </c>
      <c r="B20" s="413">
        <v>7788</v>
      </c>
      <c r="C20" s="413">
        <v>7788</v>
      </c>
      <c r="D20" s="413">
        <v>7788</v>
      </c>
      <c r="E20" s="413">
        <v>7788</v>
      </c>
      <c r="F20" s="413">
        <v>7788</v>
      </c>
      <c r="G20" s="413">
        <v>7788</v>
      </c>
      <c r="H20" s="413">
        <v>7788</v>
      </c>
      <c r="I20" s="413">
        <v>7788</v>
      </c>
      <c r="J20" s="413">
        <v>7788</v>
      </c>
      <c r="K20" s="413">
        <v>7788</v>
      </c>
      <c r="L20" s="413">
        <v>7788</v>
      </c>
      <c r="M20" s="413">
        <v>7788</v>
      </c>
      <c r="N20" s="413">
        <v>7788</v>
      </c>
      <c r="O20" s="413">
        <v>7788</v>
      </c>
      <c r="P20" s="413">
        <v>7788</v>
      </c>
      <c r="Q20" s="413">
        <v>7788</v>
      </c>
      <c r="R20" s="413">
        <v>7788</v>
      </c>
      <c r="S20" s="413">
        <v>8123</v>
      </c>
      <c r="T20" s="413">
        <v>8123</v>
      </c>
      <c r="U20" s="413">
        <v>8123</v>
      </c>
      <c r="V20" s="413">
        <v>8123</v>
      </c>
      <c r="W20" s="413">
        <v>8123</v>
      </c>
      <c r="X20" s="413">
        <v>8123</v>
      </c>
      <c r="Y20" s="413">
        <v>8123</v>
      </c>
      <c r="Z20" s="413">
        <v>8123</v>
      </c>
      <c r="AA20" s="413">
        <v>8123</v>
      </c>
      <c r="AB20" s="413">
        <v>8123</v>
      </c>
      <c r="AC20" s="413">
        <v>8123</v>
      </c>
      <c r="AD20" s="413">
        <v>8123</v>
      </c>
      <c r="AE20" s="413">
        <v>8123</v>
      </c>
      <c r="AF20" s="301">
        <f t="shared" si="0"/>
        <v>335</v>
      </c>
      <c r="AG20" s="413">
        <v>7788</v>
      </c>
      <c r="AH20" s="144">
        <v>335</v>
      </c>
      <c r="AI20" s="307"/>
      <c r="AJ20" s="414"/>
    </row>
    <row r="21" spans="1:36">
      <c r="A21" s="282" t="s">
        <v>72</v>
      </c>
      <c r="B21" s="409">
        <v>231605</v>
      </c>
      <c r="C21" s="409">
        <v>231605</v>
      </c>
      <c r="D21" s="409">
        <v>231605</v>
      </c>
      <c r="E21" s="409">
        <v>231605</v>
      </c>
      <c r="F21" s="409">
        <v>231605</v>
      </c>
      <c r="G21" s="409">
        <v>231605</v>
      </c>
      <c r="H21" s="409">
        <v>231605</v>
      </c>
      <c r="I21" s="409">
        <v>231605</v>
      </c>
      <c r="J21" s="409">
        <v>231605</v>
      </c>
      <c r="K21" s="409">
        <v>231605</v>
      </c>
      <c r="L21" s="409">
        <v>231605</v>
      </c>
      <c r="M21" s="409">
        <v>231605</v>
      </c>
      <c r="N21" s="409">
        <v>231605</v>
      </c>
      <c r="O21" s="409">
        <v>231605</v>
      </c>
      <c r="P21" s="409">
        <v>231605</v>
      </c>
      <c r="Q21" s="409">
        <v>231605</v>
      </c>
      <c r="R21" s="409">
        <v>231605</v>
      </c>
      <c r="S21" s="409">
        <v>233687</v>
      </c>
      <c r="T21" s="409">
        <v>233737</v>
      </c>
      <c r="U21" s="409">
        <v>233813</v>
      </c>
      <c r="V21" s="409">
        <v>233896</v>
      </c>
      <c r="W21" s="409">
        <v>233896</v>
      </c>
      <c r="X21" s="409">
        <v>233896</v>
      </c>
      <c r="Y21" s="409">
        <v>234100</v>
      </c>
      <c r="Z21" s="409">
        <v>234172</v>
      </c>
      <c r="AA21" s="409">
        <v>234235</v>
      </c>
      <c r="AB21" s="409">
        <v>234310</v>
      </c>
      <c r="AC21" s="409">
        <v>234392</v>
      </c>
      <c r="AD21" s="409">
        <v>234392</v>
      </c>
      <c r="AE21" s="409">
        <v>234392</v>
      </c>
      <c r="AF21" s="301">
        <f t="shared" si="0"/>
        <v>2787</v>
      </c>
      <c r="AG21" s="409">
        <v>231605</v>
      </c>
      <c r="AH21" s="144">
        <v>2787</v>
      </c>
      <c r="AI21" s="307"/>
      <c r="AJ21" s="415"/>
    </row>
    <row r="22" spans="1:36">
      <c r="A22" s="282" t="s">
        <v>73</v>
      </c>
      <c r="B22" s="409">
        <v>226127</v>
      </c>
      <c r="C22" s="409">
        <v>226272</v>
      </c>
      <c r="D22" s="409">
        <v>226477</v>
      </c>
      <c r="E22" s="409">
        <v>226628</v>
      </c>
      <c r="F22" s="409">
        <v>226872</v>
      </c>
      <c r="G22" s="409">
        <v>227013</v>
      </c>
      <c r="H22" s="409">
        <v>227117</v>
      </c>
      <c r="I22" s="409">
        <v>227117</v>
      </c>
      <c r="J22" s="409">
        <v>227117</v>
      </c>
      <c r="K22" s="409">
        <v>227518</v>
      </c>
      <c r="L22" s="409">
        <v>227710</v>
      </c>
      <c r="M22" s="409">
        <v>227876</v>
      </c>
      <c r="N22" s="409">
        <v>227992</v>
      </c>
      <c r="O22" s="409">
        <v>227992</v>
      </c>
      <c r="P22" s="409">
        <v>227992</v>
      </c>
      <c r="Q22" s="409">
        <v>227992</v>
      </c>
      <c r="R22" s="409">
        <v>228558</v>
      </c>
      <c r="S22" s="409">
        <v>228686</v>
      </c>
      <c r="T22" s="409">
        <v>228864</v>
      </c>
      <c r="U22" s="409">
        <v>228864</v>
      </c>
      <c r="V22" s="409">
        <v>229161</v>
      </c>
      <c r="W22" s="409">
        <v>229229</v>
      </c>
      <c r="X22" s="409">
        <v>229290</v>
      </c>
      <c r="Y22" s="409">
        <v>229511</v>
      </c>
      <c r="Z22" s="409">
        <v>229668</v>
      </c>
      <c r="AA22" s="409">
        <v>229786</v>
      </c>
      <c r="AB22" s="409">
        <v>229945</v>
      </c>
      <c r="AC22" s="409">
        <v>230038</v>
      </c>
      <c r="AD22" s="409">
        <v>230158</v>
      </c>
      <c r="AE22" s="409">
        <v>230241</v>
      </c>
      <c r="AF22" s="301">
        <f t="shared" si="0"/>
        <v>4222</v>
      </c>
      <c r="AG22" s="409">
        <v>226019</v>
      </c>
      <c r="AH22" s="144">
        <v>4222</v>
      </c>
      <c r="AI22" s="307"/>
      <c r="AJ22" s="414"/>
    </row>
    <row r="23" spans="1:36">
      <c r="A23" s="309" t="s">
        <v>136</v>
      </c>
      <c r="B23" s="409">
        <v>13527</v>
      </c>
      <c r="C23" s="409">
        <v>13529</v>
      </c>
      <c r="D23" s="409">
        <v>13531</v>
      </c>
      <c r="E23" s="409">
        <v>13542</v>
      </c>
      <c r="F23" s="409">
        <v>13547</v>
      </c>
      <c r="G23" s="409">
        <v>13564</v>
      </c>
      <c r="H23" s="409">
        <v>13564</v>
      </c>
      <c r="I23" s="409">
        <v>13564</v>
      </c>
      <c r="J23" s="409">
        <v>13564</v>
      </c>
      <c r="K23" s="409">
        <v>13566</v>
      </c>
      <c r="L23" s="409">
        <v>13578</v>
      </c>
      <c r="M23" s="409">
        <v>13590</v>
      </c>
      <c r="N23" s="409">
        <v>13601</v>
      </c>
      <c r="O23" s="409">
        <v>13612</v>
      </c>
      <c r="P23" s="409">
        <v>13612</v>
      </c>
      <c r="Q23" s="409">
        <v>13624</v>
      </c>
      <c r="R23" s="409">
        <v>13627</v>
      </c>
      <c r="S23" s="409">
        <v>13627</v>
      </c>
      <c r="T23" s="409">
        <v>13651</v>
      </c>
      <c r="U23" s="409">
        <v>13664</v>
      </c>
      <c r="V23" s="409">
        <v>13676</v>
      </c>
      <c r="W23" s="409">
        <v>13682</v>
      </c>
      <c r="X23" s="409">
        <v>13688</v>
      </c>
      <c r="Y23" s="409">
        <v>13691</v>
      </c>
      <c r="Z23" s="409">
        <v>13703</v>
      </c>
      <c r="AA23" s="409">
        <v>13716</v>
      </c>
      <c r="AB23" s="409">
        <v>13728</v>
      </c>
      <c r="AC23" s="409">
        <v>13739</v>
      </c>
      <c r="AD23" s="409">
        <v>13745</v>
      </c>
      <c r="AE23" s="409">
        <v>13749</v>
      </c>
      <c r="AF23" s="301">
        <f t="shared" si="0"/>
        <v>228</v>
      </c>
      <c r="AG23" s="409">
        <v>13521</v>
      </c>
      <c r="AH23" s="144">
        <v>228</v>
      </c>
      <c r="AI23" s="307"/>
      <c r="AJ23" s="414"/>
    </row>
    <row r="24" spans="1:36">
      <c r="A24" s="309" t="s">
        <v>139</v>
      </c>
      <c r="B24" s="409">
        <v>9322</v>
      </c>
      <c r="C24" s="409">
        <v>9324</v>
      </c>
      <c r="D24" s="409">
        <v>9324</v>
      </c>
      <c r="E24" s="409">
        <v>9324</v>
      </c>
      <c r="F24" s="409">
        <v>9325</v>
      </c>
      <c r="G24" s="409">
        <v>9343</v>
      </c>
      <c r="H24" s="409">
        <v>9343</v>
      </c>
      <c r="I24" s="409">
        <v>9343</v>
      </c>
      <c r="J24" s="409">
        <v>9344</v>
      </c>
      <c r="K24" s="409">
        <v>9346</v>
      </c>
      <c r="L24" s="409">
        <v>9354</v>
      </c>
      <c r="M24" s="409">
        <v>9361</v>
      </c>
      <c r="N24" s="409">
        <v>9368</v>
      </c>
      <c r="O24" s="409">
        <v>9373</v>
      </c>
      <c r="P24" s="409">
        <v>9373</v>
      </c>
      <c r="Q24" s="409">
        <v>9380</v>
      </c>
      <c r="R24" s="409">
        <v>9381</v>
      </c>
      <c r="S24" s="409">
        <v>9381</v>
      </c>
      <c r="T24" s="409">
        <v>9392</v>
      </c>
      <c r="U24" s="409">
        <v>9398</v>
      </c>
      <c r="V24" s="409">
        <v>9404</v>
      </c>
      <c r="W24" s="409">
        <v>9409</v>
      </c>
      <c r="X24" s="409">
        <v>9411</v>
      </c>
      <c r="Y24" s="409">
        <v>9411</v>
      </c>
      <c r="Z24" s="409">
        <v>9420</v>
      </c>
      <c r="AA24" s="409">
        <v>9427</v>
      </c>
      <c r="AB24" s="409">
        <v>9438</v>
      </c>
      <c r="AC24" s="409">
        <v>9445</v>
      </c>
      <c r="AD24" s="409">
        <v>9449</v>
      </c>
      <c r="AE24" s="409">
        <v>9451</v>
      </c>
      <c r="AF24" s="301">
        <f t="shared" si="0"/>
        <v>132</v>
      </c>
      <c r="AG24" s="409">
        <v>9319</v>
      </c>
      <c r="AH24" s="144">
        <v>132</v>
      </c>
      <c r="AI24" s="307"/>
      <c r="AJ24" s="414"/>
    </row>
    <row r="25" spans="1:36">
      <c r="A25" s="309" t="s">
        <v>142</v>
      </c>
      <c r="B25" s="409">
        <v>3781</v>
      </c>
      <c r="C25" s="409">
        <v>3783</v>
      </c>
      <c r="D25" s="409">
        <v>3784</v>
      </c>
      <c r="E25" s="409">
        <v>3787</v>
      </c>
      <c r="F25" s="409">
        <v>3790</v>
      </c>
      <c r="G25" s="409">
        <v>3793</v>
      </c>
      <c r="H25" s="409">
        <v>3793</v>
      </c>
      <c r="I25" s="409">
        <v>3793</v>
      </c>
      <c r="J25" s="409">
        <v>3793</v>
      </c>
      <c r="K25" s="409">
        <v>3793</v>
      </c>
      <c r="L25" s="409">
        <v>3797</v>
      </c>
      <c r="M25" s="409">
        <v>3801</v>
      </c>
      <c r="N25" s="409">
        <v>3804</v>
      </c>
      <c r="O25" s="409">
        <v>3807</v>
      </c>
      <c r="P25" s="409">
        <v>3807</v>
      </c>
      <c r="Q25" s="409">
        <v>3810</v>
      </c>
      <c r="R25" s="409">
        <v>3810</v>
      </c>
      <c r="S25" s="409">
        <v>3810</v>
      </c>
      <c r="T25" s="409">
        <v>3817</v>
      </c>
      <c r="U25" s="409">
        <v>3820</v>
      </c>
      <c r="V25" s="409">
        <v>3825</v>
      </c>
      <c r="W25" s="409">
        <v>3827</v>
      </c>
      <c r="X25" s="409">
        <v>3829</v>
      </c>
      <c r="Y25" s="409">
        <v>3829</v>
      </c>
      <c r="Z25" s="409">
        <v>3831</v>
      </c>
      <c r="AA25" s="409">
        <v>3836</v>
      </c>
      <c r="AB25" s="409">
        <v>3839</v>
      </c>
      <c r="AC25" s="409">
        <v>3843</v>
      </c>
      <c r="AD25" s="409">
        <v>3845</v>
      </c>
      <c r="AE25" s="409">
        <v>3846</v>
      </c>
      <c r="AF25" s="301">
        <f t="shared" si="0"/>
        <v>65</v>
      </c>
      <c r="AG25" s="409">
        <v>3781</v>
      </c>
      <c r="AH25" s="144">
        <v>65</v>
      </c>
      <c r="AI25" s="307"/>
      <c r="AJ25" s="414"/>
    </row>
    <row r="26" spans="1:36">
      <c r="A26" s="309" t="s">
        <v>145</v>
      </c>
      <c r="B26" s="409">
        <v>2171</v>
      </c>
      <c r="C26" s="409">
        <v>2171</v>
      </c>
      <c r="D26" s="409">
        <v>2172</v>
      </c>
      <c r="E26" s="409">
        <v>2174</v>
      </c>
      <c r="F26" s="409">
        <v>2176</v>
      </c>
      <c r="G26" s="409">
        <v>2178</v>
      </c>
      <c r="H26" s="409">
        <v>2178</v>
      </c>
      <c r="I26" s="409">
        <v>2178</v>
      </c>
      <c r="J26" s="409">
        <v>2178</v>
      </c>
      <c r="K26" s="409">
        <v>2179</v>
      </c>
      <c r="L26" s="409">
        <v>2181</v>
      </c>
      <c r="M26" s="409">
        <v>2184</v>
      </c>
      <c r="N26" s="409">
        <v>2186</v>
      </c>
      <c r="O26" s="409">
        <v>2188</v>
      </c>
      <c r="P26" s="409">
        <v>2188</v>
      </c>
      <c r="Q26" s="409">
        <v>2191</v>
      </c>
      <c r="R26" s="409">
        <v>2192</v>
      </c>
      <c r="S26" s="409">
        <v>2192</v>
      </c>
      <c r="T26" s="409">
        <v>2198</v>
      </c>
      <c r="U26" s="409">
        <v>2201</v>
      </c>
      <c r="V26" s="409">
        <v>2204</v>
      </c>
      <c r="W26" s="409">
        <v>2205</v>
      </c>
      <c r="X26" s="409">
        <v>2206</v>
      </c>
      <c r="Y26" s="409">
        <v>2209</v>
      </c>
      <c r="Z26" s="409">
        <v>2210</v>
      </c>
      <c r="AA26" s="409">
        <v>2213</v>
      </c>
      <c r="AB26" s="409">
        <v>2215</v>
      </c>
      <c r="AC26" s="409">
        <v>2217</v>
      </c>
      <c r="AD26" s="409">
        <v>2218</v>
      </c>
      <c r="AE26" s="409">
        <v>2219</v>
      </c>
      <c r="AF26" s="301">
        <f t="shared" si="0"/>
        <v>49</v>
      </c>
      <c r="AG26" s="409">
        <v>2170</v>
      </c>
      <c r="AH26" s="144">
        <v>49</v>
      </c>
      <c r="AI26" s="307"/>
      <c r="AJ26" s="414"/>
    </row>
    <row r="27" spans="1:36">
      <c r="A27" s="309" t="s">
        <v>148</v>
      </c>
      <c r="B27" s="409">
        <v>14964</v>
      </c>
      <c r="C27" s="409">
        <v>14968</v>
      </c>
      <c r="D27" s="409">
        <v>14971</v>
      </c>
      <c r="E27" s="409">
        <v>14984</v>
      </c>
      <c r="F27" s="409">
        <v>14992</v>
      </c>
      <c r="G27" s="409">
        <v>15021</v>
      </c>
      <c r="H27" s="409">
        <v>15023</v>
      </c>
      <c r="I27" s="409">
        <v>15023</v>
      </c>
      <c r="J27" s="409">
        <v>15024</v>
      </c>
      <c r="K27" s="409">
        <v>15028</v>
      </c>
      <c r="L27" s="409">
        <v>15042</v>
      </c>
      <c r="M27" s="409">
        <v>15056</v>
      </c>
      <c r="N27" s="409">
        <v>15067</v>
      </c>
      <c r="O27" s="409">
        <v>15075</v>
      </c>
      <c r="P27" s="409">
        <v>15075</v>
      </c>
      <c r="Q27" s="409">
        <v>15086</v>
      </c>
      <c r="R27" s="409">
        <v>15091</v>
      </c>
      <c r="S27" s="409">
        <v>15091</v>
      </c>
      <c r="T27" s="409">
        <v>15117</v>
      </c>
      <c r="U27" s="409">
        <v>15133</v>
      </c>
      <c r="V27" s="409">
        <v>15145</v>
      </c>
      <c r="W27" s="409">
        <v>15153</v>
      </c>
      <c r="X27" s="409">
        <v>15159</v>
      </c>
      <c r="Y27" s="409">
        <v>15162</v>
      </c>
      <c r="Z27" s="409">
        <v>15177</v>
      </c>
      <c r="AA27" s="409">
        <v>15191</v>
      </c>
      <c r="AB27" s="409">
        <v>15202</v>
      </c>
      <c r="AC27" s="409">
        <v>15212</v>
      </c>
      <c r="AD27" s="409">
        <v>15218</v>
      </c>
      <c r="AE27" s="409">
        <v>15223</v>
      </c>
      <c r="AF27" s="301">
        <f t="shared" si="0"/>
        <v>265</v>
      </c>
      <c r="AG27" s="409">
        <v>14958</v>
      </c>
      <c r="AH27" s="144">
        <v>265</v>
      </c>
      <c r="AI27" s="307"/>
      <c r="AJ27" s="414"/>
    </row>
    <row r="28" spans="1:36">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301">
        <f t="shared" si="0"/>
        <v>0</v>
      </c>
      <c r="AG28" s="409">
        <v>1339</v>
      </c>
      <c r="AH28" s="144">
        <v>0</v>
      </c>
      <c r="AI28" s="307"/>
      <c r="AJ28" s="414"/>
    </row>
    <row r="29" spans="1:36">
      <c r="A29" s="309" t="s">
        <v>154</v>
      </c>
      <c r="B29" s="409">
        <v>1042</v>
      </c>
      <c r="C29" s="409">
        <v>1042</v>
      </c>
      <c r="D29" s="409">
        <v>1042</v>
      </c>
      <c r="E29" s="409">
        <v>1042</v>
      </c>
      <c r="F29" s="409">
        <v>1042</v>
      </c>
      <c r="G29" s="409">
        <v>1042</v>
      </c>
      <c r="H29" s="409">
        <v>1042</v>
      </c>
      <c r="I29" s="409">
        <v>1042</v>
      </c>
      <c r="J29" s="409">
        <v>1042</v>
      </c>
      <c r="K29" s="409">
        <v>1042</v>
      </c>
      <c r="L29" s="409">
        <v>1042</v>
      </c>
      <c r="M29" s="409">
        <v>1042</v>
      </c>
      <c r="N29" s="409">
        <v>1042</v>
      </c>
      <c r="O29" s="409">
        <v>1042</v>
      </c>
      <c r="P29" s="409">
        <v>1042</v>
      </c>
      <c r="Q29" s="409">
        <v>1042</v>
      </c>
      <c r="R29" s="409">
        <v>1042</v>
      </c>
      <c r="S29" s="409">
        <v>1042</v>
      </c>
      <c r="T29" s="409">
        <v>1071</v>
      </c>
      <c r="U29" s="409">
        <v>1072</v>
      </c>
      <c r="V29" s="409">
        <v>1073</v>
      </c>
      <c r="W29" s="409">
        <v>1073</v>
      </c>
      <c r="X29" s="409">
        <v>1073</v>
      </c>
      <c r="Y29" s="409">
        <v>1076</v>
      </c>
      <c r="Z29" s="409">
        <v>1077</v>
      </c>
      <c r="AA29" s="409">
        <v>1078</v>
      </c>
      <c r="AB29" s="409">
        <v>1080</v>
      </c>
      <c r="AC29" s="409">
        <v>1081</v>
      </c>
      <c r="AD29" s="409">
        <v>1081</v>
      </c>
      <c r="AE29" s="409">
        <v>1081</v>
      </c>
      <c r="AF29" s="301">
        <f t="shared" si="0"/>
        <v>39</v>
      </c>
      <c r="AG29" s="409">
        <v>1042</v>
      </c>
      <c r="AH29" s="144">
        <v>39</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f t="shared" si="0"/>
        <v>0</v>
      </c>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301"/>
      <c r="AG32" s="416" t="s">
        <v>78</v>
      </c>
    </row>
    <row r="33" spans="1:33" ht="25.5">
      <c r="A33" s="282" t="s">
        <v>80</v>
      </c>
      <c r="B33" s="416" t="s">
        <v>2794</v>
      </c>
      <c r="C33" s="416" t="s">
        <v>2794</v>
      </c>
      <c r="D33" s="416" t="s">
        <v>2794</v>
      </c>
      <c r="E33" s="416" t="s">
        <v>2794</v>
      </c>
      <c r="F33" s="416" t="s">
        <v>2794</v>
      </c>
      <c r="G33" s="416" t="s">
        <v>2794</v>
      </c>
      <c r="H33" s="416" t="s">
        <v>2794</v>
      </c>
      <c r="I33" s="416" t="s">
        <v>2794</v>
      </c>
      <c r="J33" s="416" t="s">
        <v>2794</v>
      </c>
      <c r="K33" s="416" t="s">
        <v>2794</v>
      </c>
      <c r="L33" s="416" t="s">
        <v>2794</v>
      </c>
      <c r="M33" s="416" t="s">
        <v>2794</v>
      </c>
      <c r="N33" s="416" t="s">
        <v>2794</v>
      </c>
      <c r="O33" s="416" t="s">
        <v>2794</v>
      </c>
      <c r="P33" s="416" t="s">
        <v>2794</v>
      </c>
      <c r="Q33" s="416" t="s">
        <v>2794</v>
      </c>
      <c r="R33" s="416" t="s">
        <v>2794</v>
      </c>
      <c r="S33" s="416" t="s">
        <v>2794</v>
      </c>
      <c r="T33" s="416" t="s">
        <v>2794</v>
      </c>
      <c r="U33" s="416" t="s">
        <v>2794</v>
      </c>
      <c r="V33" s="416" t="s">
        <v>2794</v>
      </c>
      <c r="W33" s="416" t="s">
        <v>2794</v>
      </c>
      <c r="X33" s="416" t="s">
        <v>2794</v>
      </c>
      <c r="Y33" s="416" t="s">
        <v>2794</v>
      </c>
      <c r="Z33" s="416" t="s">
        <v>2794</v>
      </c>
      <c r="AA33" s="416" t="s">
        <v>2794</v>
      </c>
      <c r="AB33" s="416" t="s">
        <v>2794</v>
      </c>
      <c r="AC33" s="416" t="s">
        <v>2794</v>
      </c>
      <c r="AD33" s="416" t="s">
        <v>2794</v>
      </c>
      <c r="AE33" s="416" t="s">
        <v>2794</v>
      </c>
      <c r="AF33" s="301"/>
      <c r="AG33" s="416" t="s">
        <v>2794</v>
      </c>
    </row>
    <row r="34" spans="1:33" ht="15.75" thickBot="1">
      <c r="A34" s="310" t="s">
        <v>81</v>
      </c>
      <c r="B34" s="417" t="s">
        <v>2812</v>
      </c>
      <c r="C34" s="417" t="s">
        <v>2812</v>
      </c>
      <c r="D34" s="417" t="s">
        <v>2812</v>
      </c>
      <c r="E34" s="417" t="s">
        <v>2812</v>
      </c>
      <c r="F34" s="417" t="s">
        <v>2812</v>
      </c>
      <c r="G34" s="417" t="s">
        <v>2812</v>
      </c>
      <c r="H34" s="417" t="s">
        <v>2812</v>
      </c>
      <c r="I34" s="417" t="s">
        <v>2812</v>
      </c>
      <c r="J34" s="417" t="s">
        <v>2812</v>
      </c>
      <c r="K34" s="417" t="s">
        <v>2812</v>
      </c>
      <c r="L34" s="417" t="s">
        <v>2812</v>
      </c>
      <c r="M34" s="417" t="s">
        <v>2812</v>
      </c>
      <c r="N34" s="417" t="s">
        <v>2812</v>
      </c>
      <c r="O34" s="417" t="s">
        <v>2812</v>
      </c>
      <c r="P34" s="417" t="s">
        <v>2812</v>
      </c>
      <c r="Q34" s="417" t="s">
        <v>2812</v>
      </c>
      <c r="R34" s="417" t="s">
        <v>2812</v>
      </c>
      <c r="S34" s="417" t="s">
        <v>2812</v>
      </c>
      <c r="T34" s="417" t="s">
        <v>2812</v>
      </c>
      <c r="U34" s="417" t="s">
        <v>2812</v>
      </c>
      <c r="V34" s="417" t="s">
        <v>2812</v>
      </c>
      <c r="W34" s="417" t="s">
        <v>2812</v>
      </c>
      <c r="X34" s="417" t="s">
        <v>2812</v>
      </c>
      <c r="Y34" s="417" t="s">
        <v>2812</v>
      </c>
      <c r="Z34" s="417" t="s">
        <v>2812</v>
      </c>
      <c r="AA34" s="417" t="s">
        <v>2812</v>
      </c>
      <c r="AB34" s="417" t="s">
        <v>2812</v>
      </c>
      <c r="AC34" s="417" t="s">
        <v>2812</v>
      </c>
      <c r="AD34" s="417" t="s">
        <v>2812</v>
      </c>
      <c r="AE34" s="417" t="s">
        <v>2812</v>
      </c>
      <c r="AF34" s="301"/>
      <c r="AG34" s="417" t="s">
        <v>2812</v>
      </c>
    </row>
    <row r="35" spans="1:33">
      <c r="AF35" s="211"/>
    </row>
    <row r="36" spans="1:33">
      <c r="AF36" s="211"/>
    </row>
  </sheetData>
  <mergeCells count="1">
    <mergeCell ref="A1:AG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7103-8F31-4313-B8CC-09B9694E1331}">
  <dimension ref="A1:AK36"/>
  <sheetViews>
    <sheetView topLeftCell="P1" workbookViewId="0">
      <selection activeCell="AI22" sqref="AI22"/>
    </sheetView>
  </sheetViews>
  <sheetFormatPr defaultColWidth="9.140625" defaultRowHeight="15"/>
  <cols>
    <col min="1" max="1" width="34.42578125" style="144" customWidth="1"/>
    <col min="2" max="2" width="13" style="144" customWidth="1"/>
    <col min="3"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45627</v>
      </c>
      <c r="C2" s="281">
        <v>45628</v>
      </c>
      <c r="D2" s="281">
        <v>45629</v>
      </c>
      <c r="E2" s="281">
        <v>45630</v>
      </c>
      <c r="F2" s="281">
        <v>45631</v>
      </c>
      <c r="G2" s="281">
        <v>45632</v>
      </c>
      <c r="H2" s="281">
        <v>45633</v>
      </c>
      <c r="I2" s="281">
        <v>45634</v>
      </c>
      <c r="J2" s="281">
        <v>45635</v>
      </c>
      <c r="K2" s="281">
        <v>45636</v>
      </c>
      <c r="L2" s="281">
        <v>45637</v>
      </c>
      <c r="M2" s="281">
        <v>45638</v>
      </c>
      <c r="N2" s="281">
        <v>45639</v>
      </c>
      <c r="O2" s="281">
        <v>45640</v>
      </c>
      <c r="P2" s="281">
        <v>45641</v>
      </c>
      <c r="Q2" s="281">
        <v>45642</v>
      </c>
      <c r="R2" s="281">
        <v>45643</v>
      </c>
      <c r="S2" s="281">
        <v>45644</v>
      </c>
      <c r="T2" s="281">
        <v>45645</v>
      </c>
      <c r="U2" s="281">
        <v>45646</v>
      </c>
      <c r="V2" s="281">
        <v>45647</v>
      </c>
      <c r="W2" s="281">
        <v>45648</v>
      </c>
      <c r="X2" s="281">
        <v>45649</v>
      </c>
      <c r="Y2" s="281">
        <v>45650</v>
      </c>
      <c r="Z2" s="281">
        <v>45651</v>
      </c>
      <c r="AA2" s="281">
        <v>45652</v>
      </c>
      <c r="AB2" s="281">
        <v>45653</v>
      </c>
      <c r="AC2" s="281">
        <v>45654</v>
      </c>
      <c r="AD2" s="281">
        <v>45655</v>
      </c>
      <c r="AE2" s="281">
        <v>45656</v>
      </c>
      <c r="AF2" s="281">
        <v>45657</v>
      </c>
      <c r="AG2" s="281"/>
      <c r="AH2" s="281">
        <v>45626</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442249</v>
      </c>
      <c r="C4" s="420">
        <v>442482</v>
      </c>
      <c r="D4" s="420">
        <v>442722</v>
      </c>
      <c r="E4" s="420">
        <v>442956</v>
      </c>
      <c r="F4" s="420">
        <v>443193</v>
      </c>
      <c r="G4" s="420">
        <v>443461</v>
      </c>
      <c r="H4" s="420">
        <v>443654</v>
      </c>
      <c r="I4" s="420">
        <v>443870</v>
      </c>
      <c r="J4" s="420">
        <v>444105</v>
      </c>
      <c r="K4" s="420">
        <v>444359</v>
      </c>
      <c r="L4" s="420">
        <v>444564</v>
      </c>
      <c r="M4" s="420">
        <v>444803</v>
      </c>
      <c r="N4" s="420">
        <v>445035</v>
      </c>
      <c r="O4" s="420">
        <v>445243</v>
      </c>
      <c r="P4" s="420">
        <v>445466</v>
      </c>
      <c r="Q4" s="420">
        <v>445697</v>
      </c>
      <c r="R4" s="420">
        <v>445922</v>
      </c>
      <c r="S4" s="420">
        <v>446148</v>
      </c>
      <c r="T4" s="420">
        <v>446360</v>
      </c>
      <c r="U4" s="420">
        <v>446599</v>
      </c>
      <c r="V4" s="420">
        <v>446803</v>
      </c>
      <c r="W4" s="420">
        <v>447026</v>
      </c>
      <c r="X4" s="420">
        <v>447244</v>
      </c>
      <c r="Y4" s="420">
        <v>447474</v>
      </c>
      <c r="Z4" s="420">
        <v>447703</v>
      </c>
      <c r="AA4" s="420">
        <v>447930</v>
      </c>
      <c r="AB4" s="420">
        <v>448166</v>
      </c>
      <c r="AC4" s="420">
        <v>448365</v>
      </c>
      <c r="AD4" s="420">
        <v>448592</v>
      </c>
      <c r="AE4" s="420">
        <v>448825</v>
      </c>
      <c r="AF4" s="420">
        <v>449050</v>
      </c>
      <c r="AG4" s="290"/>
      <c r="AH4" s="420">
        <v>442014</v>
      </c>
      <c r="AI4" s="288"/>
    </row>
    <row r="5" spans="1:37" ht="20.100000000000001" customHeight="1">
      <c r="A5" s="285" t="s">
        <v>55</v>
      </c>
      <c r="B5" s="420">
        <v>12376608</v>
      </c>
      <c r="C5" s="420">
        <v>12383218</v>
      </c>
      <c r="D5" s="420">
        <v>12390282</v>
      </c>
      <c r="E5" s="420">
        <v>12397031</v>
      </c>
      <c r="F5" s="420">
        <v>12403939</v>
      </c>
      <c r="G5" s="420">
        <v>12411959</v>
      </c>
      <c r="H5" s="420">
        <v>12417402</v>
      </c>
      <c r="I5" s="420">
        <v>12423590</v>
      </c>
      <c r="J5" s="420">
        <v>12430691</v>
      </c>
      <c r="K5" s="420">
        <v>12438504</v>
      </c>
      <c r="L5" s="420">
        <v>12444643</v>
      </c>
      <c r="M5" s="420">
        <v>12451918</v>
      </c>
      <c r="N5" s="420">
        <v>12458910</v>
      </c>
      <c r="O5" s="420">
        <v>12464657</v>
      </c>
      <c r="P5" s="420">
        <v>12470683</v>
      </c>
      <c r="Q5" s="420">
        <v>12477426</v>
      </c>
      <c r="R5" s="420">
        <v>12483947</v>
      </c>
      <c r="S5" s="420">
        <v>12490306</v>
      </c>
      <c r="T5" s="420">
        <v>12495993</v>
      </c>
      <c r="U5" s="420">
        <v>12502701</v>
      </c>
      <c r="V5" s="420">
        <v>12508670</v>
      </c>
      <c r="W5" s="420">
        <v>12515133</v>
      </c>
      <c r="X5" s="420">
        <v>12521684</v>
      </c>
      <c r="Y5" s="420">
        <v>12528225</v>
      </c>
      <c r="Z5" s="420">
        <v>12534532</v>
      </c>
      <c r="AA5" s="420">
        <v>12540899</v>
      </c>
      <c r="AB5" s="420">
        <v>12547597</v>
      </c>
      <c r="AC5" s="420">
        <v>12553017</v>
      </c>
      <c r="AD5" s="420">
        <v>12559200</v>
      </c>
      <c r="AE5" s="420">
        <v>12565652</v>
      </c>
      <c r="AF5" s="420">
        <v>12572192</v>
      </c>
      <c r="AG5" s="290"/>
      <c r="AH5" s="420">
        <v>12370414</v>
      </c>
      <c r="AI5" s="288"/>
    </row>
    <row r="6" spans="1:37" ht="20.100000000000001" customHeight="1">
      <c r="A6" s="285" t="s">
        <v>56</v>
      </c>
      <c r="B6" s="420">
        <v>5782672</v>
      </c>
      <c r="C6" s="420">
        <v>5785893</v>
      </c>
      <c r="D6" s="420">
        <v>5789244</v>
      </c>
      <c r="E6" s="420">
        <v>5792391</v>
      </c>
      <c r="F6" s="420">
        <v>5795711</v>
      </c>
      <c r="G6" s="420">
        <v>5799399</v>
      </c>
      <c r="H6" s="420">
        <v>5801910</v>
      </c>
      <c r="I6" s="420">
        <v>5804877</v>
      </c>
      <c r="J6" s="420">
        <v>5807844</v>
      </c>
      <c r="K6" s="420">
        <v>5811115</v>
      </c>
      <c r="L6" s="420">
        <v>5813711</v>
      </c>
      <c r="M6" s="420">
        <v>5816625</v>
      </c>
      <c r="N6" s="420">
        <v>5819273</v>
      </c>
      <c r="O6" s="420">
        <v>5821388</v>
      </c>
      <c r="P6" s="420">
        <v>5823864</v>
      </c>
      <c r="Q6" s="420">
        <v>5826801</v>
      </c>
      <c r="R6" s="420">
        <v>5829705</v>
      </c>
      <c r="S6" s="420">
        <v>5832371</v>
      </c>
      <c r="T6" s="420">
        <v>5834584</v>
      </c>
      <c r="U6" s="420">
        <v>5837104</v>
      </c>
      <c r="V6" s="420">
        <v>5839194</v>
      </c>
      <c r="W6" s="420">
        <v>5841755</v>
      </c>
      <c r="X6" s="420">
        <v>5844432</v>
      </c>
      <c r="Y6" s="420">
        <v>5847199</v>
      </c>
      <c r="Z6" s="420">
        <v>5849933</v>
      </c>
      <c r="AA6" s="420">
        <v>5852665</v>
      </c>
      <c r="AB6" s="420">
        <v>5855373</v>
      </c>
      <c r="AC6" s="420">
        <v>5857391</v>
      </c>
      <c r="AD6" s="420">
        <v>5860095</v>
      </c>
      <c r="AE6" s="420">
        <v>5863093</v>
      </c>
      <c r="AF6" s="420">
        <v>5865858</v>
      </c>
      <c r="AG6" s="290"/>
      <c r="AH6" s="420">
        <v>5779863</v>
      </c>
      <c r="AI6" s="288"/>
    </row>
    <row r="7" spans="1:37" ht="20.100000000000001" customHeight="1">
      <c r="A7" s="285" t="s">
        <v>57</v>
      </c>
      <c r="B7" s="420">
        <v>147456</v>
      </c>
      <c r="C7" s="420">
        <v>153802</v>
      </c>
      <c r="D7" s="420">
        <v>159966</v>
      </c>
      <c r="E7" s="420">
        <v>166011</v>
      </c>
      <c r="F7" s="420">
        <v>172323</v>
      </c>
      <c r="G7" s="420">
        <v>179666</v>
      </c>
      <c r="H7" s="420">
        <v>184856</v>
      </c>
      <c r="I7" s="420">
        <v>190794</v>
      </c>
      <c r="J7" s="420">
        <v>197382</v>
      </c>
      <c r="K7" s="420">
        <v>202967</v>
      </c>
      <c r="L7" s="420">
        <v>208419</v>
      </c>
      <c r="M7" s="420">
        <v>213041</v>
      </c>
      <c r="N7" s="420">
        <v>219781</v>
      </c>
      <c r="O7" s="420">
        <v>225399</v>
      </c>
      <c r="P7" s="420">
        <v>225480</v>
      </c>
      <c r="Q7" s="420">
        <v>225563</v>
      </c>
      <c r="R7" s="420">
        <v>225732</v>
      </c>
      <c r="S7" s="420">
        <v>225815</v>
      </c>
      <c r="T7" s="420">
        <v>225893</v>
      </c>
      <c r="U7" s="420">
        <v>225982</v>
      </c>
      <c r="V7" s="420">
        <v>226063</v>
      </c>
      <c r="W7" s="420">
        <v>226146</v>
      </c>
      <c r="X7" s="420">
        <v>226227</v>
      </c>
      <c r="Y7" s="420">
        <v>226311</v>
      </c>
      <c r="Z7" s="420">
        <v>226394</v>
      </c>
      <c r="AA7" s="420">
        <v>226476</v>
      </c>
      <c r="AB7" s="420">
        <v>226564</v>
      </c>
      <c r="AC7" s="420">
        <v>226643</v>
      </c>
      <c r="AD7" s="420">
        <v>226726</v>
      </c>
      <c r="AE7" s="420">
        <v>230296</v>
      </c>
      <c r="AF7" s="420">
        <v>230376</v>
      </c>
      <c r="AG7" s="290"/>
      <c r="AH7" s="420">
        <v>140820</v>
      </c>
      <c r="AI7" s="288"/>
    </row>
    <row r="8" spans="1:37" ht="20.100000000000001" customHeight="1">
      <c r="A8" s="285" t="s">
        <v>58</v>
      </c>
      <c r="B8" s="420">
        <v>192371</v>
      </c>
      <c r="C8" s="420">
        <v>192469</v>
      </c>
      <c r="D8" s="420">
        <v>192569</v>
      </c>
      <c r="E8" s="420">
        <v>192665</v>
      </c>
      <c r="F8" s="420">
        <v>192765</v>
      </c>
      <c r="G8" s="420">
        <v>192881</v>
      </c>
      <c r="H8" s="420">
        <v>192965</v>
      </c>
      <c r="I8" s="420">
        <v>193059</v>
      </c>
      <c r="J8" s="420">
        <v>193157</v>
      </c>
      <c r="K8" s="420">
        <v>195261</v>
      </c>
      <c r="L8" s="420">
        <v>195705</v>
      </c>
      <c r="M8" s="420">
        <v>198355</v>
      </c>
      <c r="N8" s="420">
        <v>198449</v>
      </c>
      <c r="O8" s="420">
        <v>198702</v>
      </c>
      <c r="P8" s="420">
        <v>204132</v>
      </c>
      <c r="Q8" s="420">
        <v>210197</v>
      </c>
      <c r="R8" s="420">
        <v>215595</v>
      </c>
      <c r="S8" s="420">
        <v>221233</v>
      </c>
      <c r="T8" s="420">
        <v>226550</v>
      </c>
      <c r="U8" s="420">
        <v>232440</v>
      </c>
      <c r="V8" s="420">
        <v>237586</v>
      </c>
      <c r="W8" s="420">
        <v>243064</v>
      </c>
      <c r="X8" s="420">
        <v>248284</v>
      </c>
      <c r="Y8" s="420">
        <v>253831</v>
      </c>
      <c r="Z8" s="420">
        <v>259316</v>
      </c>
      <c r="AA8" s="420">
        <v>264728</v>
      </c>
      <c r="AB8" s="420">
        <v>270657</v>
      </c>
      <c r="AC8" s="420">
        <v>275752</v>
      </c>
      <c r="AD8" s="420">
        <v>281350</v>
      </c>
      <c r="AE8" s="420">
        <v>283739</v>
      </c>
      <c r="AF8" s="421">
        <v>289284</v>
      </c>
      <c r="AG8" s="290"/>
      <c r="AH8" s="420">
        <v>192247</v>
      </c>
      <c r="AI8" s="288"/>
    </row>
    <row r="9" spans="1:37" ht="20.100000000000001" customHeight="1">
      <c r="A9" s="285" t="s">
        <v>59</v>
      </c>
      <c r="B9" s="420">
        <v>239436</v>
      </c>
      <c r="C9" s="420">
        <v>244262</v>
      </c>
      <c r="D9" s="420">
        <v>249557</v>
      </c>
      <c r="E9" s="420">
        <v>254784</v>
      </c>
      <c r="F9" s="420">
        <v>259984</v>
      </c>
      <c r="G9" s="420">
        <v>266159</v>
      </c>
      <c r="H9" s="420">
        <v>270599</v>
      </c>
      <c r="I9" s="420">
        <v>275473</v>
      </c>
      <c r="J9" s="420">
        <v>280776</v>
      </c>
      <c r="K9" s="420">
        <v>286890</v>
      </c>
      <c r="L9" s="420">
        <v>291619</v>
      </c>
      <c r="M9" s="420">
        <v>297167</v>
      </c>
      <c r="N9" s="420">
        <v>302676</v>
      </c>
      <c r="O9" s="420">
        <v>307454</v>
      </c>
      <c r="P9" s="420">
        <v>312416</v>
      </c>
      <c r="Q9" s="420">
        <v>317619</v>
      </c>
      <c r="R9" s="420">
        <v>322427</v>
      </c>
      <c r="S9" s="420">
        <v>327643</v>
      </c>
      <c r="T9" s="420">
        <v>332430</v>
      </c>
      <c r="U9" s="420">
        <v>337767</v>
      </c>
      <c r="V9" s="420">
        <v>342438</v>
      </c>
      <c r="W9" s="420">
        <v>347498</v>
      </c>
      <c r="X9" s="420">
        <v>352272</v>
      </c>
      <c r="Y9" s="420">
        <v>357317</v>
      </c>
      <c r="Z9" s="420">
        <v>362328</v>
      </c>
      <c r="AA9" s="420">
        <v>367091</v>
      </c>
      <c r="AB9" s="420">
        <v>372363</v>
      </c>
      <c r="AC9" s="420">
        <v>376849</v>
      </c>
      <c r="AD9" s="420">
        <v>381859</v>
      </c>
      <c r="AE9" s="420">
        <v>386915</v>
      </c>
      <c r="AF9" s="421">
        <v>391955</v>
      </c>
      <c r="AG9" s="290"/>
      <c r="AH9" s="420">
        <v>234200</v>
      </c>
      <c r="AI9" s="288"/>
    </row>
    <row r="10" spans="1:37" ht="20.100000000000001" customHeight="1">
      <c r="A10" s="285" t="s">
        <v>60</v>
      </c>
      <c r="B10" s="420">
        <v>8117760</v>
      </c>
      <c r="C10" s="420">
        <v>8121269</v>
      </c>
      <c r="D10" s="420">
        <v>8124738</v>
      </c>
      <c r="E10" s="420">
        <v>8128232</v>
      </c>
      <c r="F10" s="420">
        <v>8131735</v>
      </c>
      <c r="G10" s="420">
        <v>8135464</v>
      </c>
      <c r="H10" s="420">
        <v>8137549</v>
      </c>
      <c r="I10" s="420">
        <v>8140397</v>
      </c>
      <c r="J10" s="420">
        <v>8144105</v>
      </c>
      <c r="K10" s="420">
        <v>8148259</v>
      </c>
      <c r="L10" s="420">
        <v>8151432</v>
      </c>
      <c r="M10" s="420">
        <v>8155215</v>
      </c>
      <c r="N10" s="420">
        <v>8158940</v>
      </c>
      <c r="O10" s="420">
        <v>8161997</v>
      </c>
      <c r="P10" s="420">
        <v>8165305</v>
      </c>
      <c r="Q10" s="420">
        <v>8168990</v>
      </c>
      <c r="R10" s="420">
        <v>8172511</v>
      </c>
      <c r="S10" s="420">
        <v>8175960</v>
      </c>
      <c r="T10" s="420">
        <v>8178776</v>
      </c>
      <c r="U10" s="420">
        <v>8181895</v>
      </c>
      <c r="V10" s="420">
        <v>8184110</v>
      </c>
      <c r="W10" s="420">
        <v>8186972</v>
      </c>
      <c r="X10" s="420">
        <v>8190297</v>
      </c>
      <c r="Y10" s="420">
        <v>8193822</v>
      </c>
      <c r="Z10" s="420">
        <v>8197404</v>
      </c>
      <c r="AA10" s="420">
        <v>8200777</v>
      </c>
      <c r="AB10" s="420">
        <v>8204379</v>
      </c>
      <c r="AC10" s="420">
        <v>8207120</v>
      </c>
      <c r="AD10" s="420">
        <v>8210245</v>
      </c>
      <c r="AE10" s="420">
        <v>8213746</v>
      </c>
      <c r="AF10" s="421">
        <v>8217271</v>
      </c>
      <c r="AG10" s="290"/>
      <c r="AH10" s="420">
        <v>8114833</v>
      </c>
      <c r="AI10" s="288"/>
    </row>
    <row r="11" spans="1:37" ht="22.5" customHeight="1">
      <c r="A11" s="285" t="s">
        <v>61</v>
      </c>
      <c r="B11" s="420">
        <v>312410</v>
      </c>
      <c r="C11" s="420">
        <v>312532</v>
      </c>
      <c r="D11" s="420">
        <v>312654</v>
      </c>
      <c r="E11" s="420">
        <v>312775</v>
      </c>
      <c r="F11" s="420">
        <v>312897</v>
      </c>
      <c r="G11" s="420">
        <v>313028</v>
      </c>
      <c r="H11" s="420">
        <v>313105</v>
      </c>
      <c r="I11" s="420">
        <v>313202</v>
      </c>
      <c r="J11" s="420">
        <v>313327</v>
      </c>
      <c r="K11" s="420">
        <v>313466</v>
      </c>
      <c r="L11" s="420">
        <v>313574</v>
      </c>
      <c r="M11" s="420">
        <v>313706</v>
      </c>
      <c r="N11" s="420">
        <v>313832</v>
      </c>
      <c r="O11" s="420">
        <v>313929</v>
      </c>
      <c r="P11" s="420">
        <v>314040</v>
      </c>
      <c r="Q11" s="420">
        <v>314168</v>
      </c>
      <c r="R11" s="420">
        <v>314289</v>
      </c>
      <c r="S11" s="420">
        <v>314406</v>
      </c>
      <c r="T11" s="420">
        <v>314495</v>
      </c>
      <c r="U11" s="420">
        <v>314613</v>
      </c>
      <c r="V11" s="420">
        <v>314700</v>
      </c>
      <c r="W11" s="420">
        <v>314805</v>
      </c>
      <c r="X11" s="420">
        <v>314915</v>
      </c>
      <c r="Y11" s="420">
        <v>315030</v>
      </c>
      <c r="Z11" s="420">
        <v>315146</v>
      </c>
      <c r="AA11" s="420">
        <v>315261</v>
      </c>
      <c r="AB11" s="420">
        <v>315379</v>
      </c>
      <c r="AC11" s="420">
        <v>315462</v>
      </c>
      <c r="AD11" s="420">
        <v>315568</v>
      </c>
      <c r="AE11" s="420">
        <v>315685</v>
      </c>
      <c r="AF11" s="421">
        <v>315800</v>
      </c>
      <c r="AG11" s="290"/>
      <c r="AH11" s="420">
        <v>312300</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18362</v>
      </c>
      <c r="C14" s="409">
        <v>18440</v>
      </c>
      <c r="D14" s="409">
        <v>18519</v>
      </c>
      <c r="E14" s="409">
        <v>18590</v>
      </c>
      <c r="F14" s="409">
        <v>18658</v>
      </c>
      <c r="G14" s="409">
        <v>18723</v>
      </c>
      <c r="H14" s="409">
        <v>18743</v>
      </c>
      <c r="I14" s="409">
        <v>18811</v>
      </c>
      <c r="J14" s="409">
        <v>18891</v>
      </c>
      <c r="K14" s="409">
        <v>18955</v>
      </c>
      <c r="L14" s="409">
        <v>19029</v>
      </c>
      <c r="M14" s="409">
        <v>19104</v>
      </c>
      <c r="N14" s="409">
        <v>19178</v>
      </c>
      <c r="O14" s="409">
        <v>19201</v>
      </c>
      <c r="P14" s="409">
        <v>19254</v>
      </c>
      <c r="Q14" s="409">
        <v>19405</v>
      </c>
      <c r="R14" s="409">
        <v>19460</v>
      </c>
      <c r="S14" s="409">
        <v>19460</v>
      </c>
      <c r="T14" s="409">
        <v>19460</v>
      </c>
      <c r="U14" s="409">
        <v>19590</v>
      </c>
      <c r="V14" s="409">
        <v>19676</v>
      </c>
      <c r="W14" s="409">
        <v>19798</v>
      </c>
      <c r="X14" s="409">
        <v>19855</v>
      </c>
      <c r="Y14" s="409">
        <v>19911</v>
      </c>
      <c r="Z14" s="409">
        <v>19973</v>
      </c>
      <c r="AA14" s="409">
        <v>20029</v>
      </c>
      <c r="AB14" s="409">
        <v>20089</v>
      </c>
      <c r="AC14" s="409">
        <v>20118</v>
      </c>
      <c r="AD14" s="409">
        <v>20151</v>
      </c>
      <c r="AE14" s="409">
        <v>20211</v>
      </c>
      <c r="AF14" s="409">
        <v>20267</v>
      </c>
      <c r="AG14" s="301">
        <f>AF14-AH14</f>
        <v>1958</v>
      </c>
      <c r="AH14" s="409">
        <v>18309</v>
      </c>
      <c r="AI14" s="299">
        <v>1958</v>
      </c>
      <c r="AJ14" s="299"/>
      <c r="AK14" s="410"/>
    </row>
    <row r="15" spans="1:37" ht="25.5">
      <c r="A15" s="282" t="s">
        <v>67</v>
      </c>
      <c r="B15" s="409">
        <v>8618</v>
      </c>
      <c r="C15" s="409">
        <v>8618</v>
      </c>
      <c r="D15" s="409">
        <v>8618</v>
      </c>
      <c r="E15" s="409">
        <v>8618</v>
      </c>
      <c r="F15" s="409">
        <v>8618</v>
      </c>
      <c r="G15" s="409">
        <v>8618</v>
      </c>
      <c r="H15" s="409">
        <v>8618</v>
      </c>
      <c r="I15" s="409">
        <v>8618</v>
      </c>
      <c r="J15" s="409">
        <v>8618</v>
      </c>
      <c r="K15" s="409">
        <v>8618</v>
      </c>
      <c r="L15" s="409">
        <v>8618</v>
      </c>
      <c r="M15" s="409">
        <v>8618</v>
      </c>
      <c r="N15" s="409">
        <v>8618</v>
      </c>
      <c r="O15" s="409">
        <v>8618</v>
      </c>
      <c r="P15" s="409">
        <v>8618</v>
      </c>
      <c r="Q15" s="409">
        <v>8618</v>
      </c>
      <c r="R15" s="409">
        <v>8618</v>
      </c>
      <c r="S15" s="409">
        <v>8618</v>
      </c>
      <c r="T15" s="409">
        <v>8618</v>
      </c>
      <c r="U15" s="409">
        <v>8618</v>
      </c>
      <c r="V15" s="409">
        <v>8618</v>
      </c>
      <c r="W15" s="409">
        <v>8618</v>
      </c>
      <c r="X15" s="409">
        <v>8618</v>
      </c>
      <c r="Y15" s="409">
        <v>8618</v>
      </c>
      <c r="Z15" s="409">
        <v>8618</v>
      </c>
      <c r="AA15" s="409">
        <v>8618</v>
      </c>
      <c r="AB15" s="409">
        <v>8618</v>
      </c>
      <c r="AC15" s="409">
        <v>8618</v>
      </c>
      <c r="AD15" s="409">
        <v>8618</v>
      </c>
      <c r="AE15" s="409">
        <v>8618</v>
      </c>
      <c r="AF15" s="409">
        <v>8618</v>
      </c>
      <c r="AG15" s="301">
        <f t="shared" ref="AG15:AG29" si="0">AF15-AH15</f>
        <v>0</v>
      </c>
      <c r="AH15" s="409">
        <v>8618</v>
      </c>
      <c r="AI15" s="144">
        <v>0</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406"/>
      <c r="AG17" s="301"/>
      <c r="AH17" s="406"/>
      <c r="AK17" s="411"/>
    </row>
    <row r="18" spans="1:37">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408" t="s">
        <v>64</v>
      </c>
      <c r="AG18" s="301"/>
      <c r="AH18" s="408" t="s">
        <v>64</v>
      </c>
      <c r="AK18" s="412"/>
    </row>
    <row r="19" spans="1:37" ht="25.5">
      <c r="A19" s="282" t="s">
        <v>70</v>
      </c>
      <c r="B19" s="413">
        <v>87013</v>
      </c>
      <c r="C19" s="413">
        <v>87013</v>
      </c>
      <c r="D19" s="413">
        <v>87021</v>
      </c>
      <c r="E19" s="413">
        <v>87032</v>
      </c>
      <c r="F19" s="413">
        <v>87043</v>
      </c>
      <c r="G19" s="413">
        <v>87052</v>
      </c>
      <c r="H19" s="413">
        <v>87068</v>
      </c>
      <c r="I19" s="413">
        <v>87084</v>
      </c>
      <c r="J19" s="413">
        <v>87097</v>
      </c>
      <c r="K19" s="413">
        <v>87120</v>
      </c>
      <c r="L19" s="413">
        <v>87120</v>
      </c>
      <c r="M19" s="413">
        <v>87120</v>
      </c>
      <c r="N19" s="413">
        <v>87131</v>
      </c>
      <c r="O19" s="413">
        <v>87144</v>
      </c>
      <c r="P19" s="413">
        <v>87161</v>
      </c>
      <c r="Q19" s="413">
        <v>87167</v>
      </c>
      <c r="R19" s="413">
        <v>87174</v>
      </c>
      <c r="S19" s="413">
        <v>87174</v>
      </c>
      <c r="T19" s="413">
        <v>87179</v>
      </c>
      <c r="U19" s="413">
        <v>87179</v>
      </c>
      <c r="V19" s="413">
        <v>87179</v>
      </c>
      <c r="W19" s="413">
        <v>87179</v>
      </c>
      <c r="X19" s="413">
        <v>87179</v>
      </c>
      <c r="Y19" s="413">
        <v>87179</v>
      </c>
      <c r="Z19" s="413">
        <v>87179</v>
      </c>
      <c r="AA19" s="413">
        <v>87179</v>
      </c>
      <c r="AB19" s="413">
        <v>87179</v>
      </c>
      <c r="AC19" s="413">
        <v>87179</v>
      </c>
      <c r="AD19" s="413">
        <v>87179</v>
      </c>
      <c r="AE19" s="413">
        <v>87179</v>
      </c>
      <c r="AF19" s="413">
        <v>87179</v>
      </c>
      <c r="AG19" s="301">
        <f t="shared" si="0"/>
        <v>166</v>
      </c>
      <c r="AH19" s="413">
        <v>87013</v>
      </c>
      <c r="AI19" s="307">
        <v>166</v>
      </c>
      <c r="AJ19" s="307"/>
      <c r="AK19" s="410"/>
    </row>
    <row r="20" spans="1:37" ht="25.5">
      <c r="A20" s="282" t="s">
        <v>2715</v>
      </c>
      <c r="B20" s="413">
        <v>8123</v>
      </c>
      <c r="C20" s="413">
        <v>8123</v>
      </c>
      <c r="D20" s="413">
        <v>8123</v>
      </c>
      <c r="E20" s="413">
        <v>8123</v>
      </c>
      <c r="F20" s="413">
        <v>8123</v>
      </c>
      <c r="G20" s="413">
        <v>8123</v>
      </c>
      <c r="H20" s="413">
        <v>8123</v>
      </c>
      <c r="I20" s="413">
        <v>8123</v>
      </c>
      <c r="J20" s="413">
        <v>8123</v>
      </c>
      <c r="K20" s="413">
        <v>8123</v>
      </c>
      <c r="L20" s="413">
        <v>8123</v>
      </c>
      <c r="M20" s="413">
        <v>8123</v>
      </c>
      <c r="N20" s="413">
        <v>8123</v>
      </c>
      <c r="O20" s="413">
        <v>8123</v>
      </c>
      <c r="P20" s="413">
        <v>8123</v>
      </c>
      <c r="Q20" s="413">
        <v>8123</v>
      </c>
      <c r="R20" s="413">
        <v>8123</v>
      </c>
      <c r="S20" s="413">
        <v>8123</v>
      </c>
      <c r="T20" s="413">
        <v>8123</v>
      </c>
      <c r="U20" s="413">
        <v>8123</v>
      </c>
      <c r="V20" s="413">
        <v>8123</v>
      </c>
      <c r="W20" s="413">
        <v>8123</v>
      </c>
      <c r="X20" s="413">
        <v>8123</v>
      </c>
      <c r="Y20" s="413">
        <v>8123</v>
      </c>
      <c r="Z20" s="413">
        <v>8123</v>
      </c>
      <c r="AA20" s="413">
        <v>8123</v>
      </c>
      <c r="AB20" s="413">
        <v>8123</v>
      </c>
      <c r="AC20" s="413">
        <v>8123</v>
      </c>
      <c r="AD20" s="413">
        <v>8123</v>
      </c>
      <c r="AE20" s="413">
        <v>8123</v>
      </c>
      <c r="AF20" s="413">
        <v>8123</v>
      </c>
      <c r="AG20" s="301">
        <f t="shared" si="0"/>
        <v>0</v>
      </c>
      <c r="AH20" s="413">
        <v>8123</v>
      </c>
      <c r="AI20" s="144">
        <v>0</v>
      </c>
      <c r="AJ20" s="307"/>
      <c r="AK20" s="414"/>
    </row>
    <row r="21" spans="1:37">
      <c r="A21" s="282" t="s">
        <v>72</v>
      </c>
      <c r="B21" s="409">
        <v>234567</v>
      </c>
      <c r="C21" s="409">
        <v>234615</v>
      </c>
      <c r="D21" s="409">
        <v>234667</v>
      </c>
      <c r="E21" s="409">
        <v>234715</v>
      </c>
      <c r="F21" s="409">
        <v>234761</v>
      </c>
      <c r="G21" s="409">
        <v>234761</v>
      </c>
      <c r="H21" s="409">
        <v>234761</v>
      </c>
      <c r="I21" s="409">
        <v>234912</v>
      </c>
      <c r="J21" s="409">
        <v>234968</v>
      </c>
      <c r="K21" s="409">
        <v>235073</v>
      </c>
      <c r="L21" s="409">
        <v>235121</v>
      </c>
      <c r="M21" s="409">
        <v>235167</v>
      </c>
      <c r="N21" s="409">
        <v>235200</v>
      </c>
      <c r="O21" s="409">
        <v>235264</v>
      </c>
      <c r="P21" s="409">
        <v>235306</v>
      </c>
      <c r="Q21" s="409">
        <v>235346</v>
      </c>
      <c r="R21" s="409">
        <v>235383</v>
      </c>
      <c r="S21" s="409">
        <v>235424</v>
      </c>
      <c r="T21" s="409">
        <v>235471</v>
      </c>
      <c r="U21" s="409">
        <v>235500</v>
      </c>
      <c r="V21" s="409">
        <v>235542</v>
      </c>
      <c r="W21" s="409">
        <v>235585</v>
      </c>
      <c r="X21" s="409">
        <v>235620</v>
      </c>
      <c r="Y21" s="409">
        <v>235665</v>
      </c>
      <c r="Z21" s="409">
        <v>235700</v>
      </c>
      <c r="AA21" s="409">
        <v>235745</v>
      </c>
      <c r="AB21" s="409">
        <v>235788</v>
      </c>
      <c r="AC21" s="409">
        <v>235817</v>
      </c>
      <c r="AD21" s="409">
        <v>235858</v>
      </c>
      <c r="AE21" s="409">
        <v>235899</v>
      </c>
      <c r="AF21" s="409">
        <v>235944</v>
      </c>
      <c r="AG21" s="301">
        <f t="shared" si="0"/>
        <v>1552</v>
      </c>
      <c r="AH21" s="409">
        <v>234392</v>
      </c>
      <c r="AI21" s="144">
        <v>1552</v>
      </c>
      <c r="AJ21" s="307"/>
      <c r="AK21" s="415"/>
    </row>
    <row r="22" spans="1:37">
      <c r="A22" s="282" t="s">
        <v>73</v>
      </c>
      <c r="B22" s="409">
        <v>230474</v>
      </c>
      <c r="C22" s="409">
        <v>230551</v>
      </c>
      <c r="D22" s="409">
        <v>230641</v>
      </c>
      <c r="E22" s="409">
        <v>230780</v>
      </c>
      <c r="F22" s="409">
        <v>230855</v>
      </c>
      <c r="G22" s="409">
        <v>230920</v>
      </c>
      <c r="H22" s="409">
        <v>231015</v>
      </c>
      <c r="I22" s="409">
        <v>231160</v>
      </c>
      <c r="J22" s="409">
        <v>231280</v>
      </c>
      <c r="K22" s="409">
        <v>231490</v>
      </c>
      <c r="L22" s="409">
        <v>231574</v>
      </c>
      <c r="M22" s="409">
        <v>231666</v>
      </c>
      <c r="N22" s="409">
        <v>231706</v>
      </c>
      <c r="O22" s="409">
        <v>231795</v>
      </c>
      <c r="P22" s="409">
        <v>231949</v>
      </c>
      <c r="Q22" s="409">
        <v>232027</v>
      </c>
      <c r="R22" s="409">
        <v>232121</v>
      </c>
      <c r="S22" s="409">
        <v>232121</v>
      </c>
      <c r="T22" s="409">
        <v>232272</v>
      </c>
      <c r="U22" s="409">
        <v>232310</v>
      </c>
      <c r="V22" s="409">
        <v>232372</v>
      </c>
      <c r="W22" s="409">
        <v>232498</v>
      </c>
      <c r="X22" s="409">
        <v>232586</v>
      </c>
      <c r="Y22" s="409">
        <v>232648</v>
      </c>
      <c r="Z22" s="409">
        <v>232737</v>
      </c>
      <c r="AA22" s="409">
        <v>232828</v>
      </c>
      <c r="AB22" s="409">
        <v>232882</v>
      </c>
      <c r="AC22" s="409">
        <v>232908</v>
      </c>
      <c r="AD22" s="409">
        <v>233061</v>
      </c>
      <c r="AE22" s="409">
        <v>233151</v>
      </c>
      <c r="AF22" s="409">
        <v>233211</v>
      </c>
      <c r="AG22" s="301">
        <f t="shared" si="0"/>
        <v>2970</v>
      </c>
      <c r="AH22" s="409">
        <v>230241</v>
      </c>
      <c r="AI22" s="144">
        <v>2970</v>
      </c>
      <c r="AJ22" s="307"/>
      <c r="AK22" s="414"/>
    </row>
    <row r="23" spans="1:37">
      <c r="A23" s="309" t="s">
        <v>136</v>
      </c>
      <c r="B23" s="409">
        <v>13752</v>
      </c>
      <c r="C23" s="409">
        <v>13763</v>
      </c>
      <c r="D23" s="409">
        <v>13775</v>
      </c>
      <c r="E23" s="409">
        <v>13787</v>
      </c>
      <c r="F23" s="409">
        <v>13798</v>
      </c>
      <c r="G23" s="409">
        <v>13804</v>
      </c>
      <c r="H23" s="409">
        <v>13808</v>
      </c>
      <c r="I23" s="409">
        <v>13817</v>
      </c>
      <c r="J23" s="409">
        <v>13832</v>
      </c>
      <c r="K23" s="409">
        <v>13845</v>
      </c>
      <c r="L23" s="409">
        <v>13861</v>
      </c>
      <c r="M23" s="409">
        <v>13874</v>
      </c>
      <c r="N23" s="409">
        <v>13884</v>
      </c>
      <c r="O23" s="409">
        <v>13888</v>
      </c>
      <c r="P23" s="409">
        <v>13898</v>
      </c>
      <c r="Q23" s="409">
        <v>13911</v>
      </c>
      <c r="R23" s="409">
        <v>13922</v>
      </c>
      <c r="S23" s="409">
        <v>13946</v>
      </c>
      <c r="T23" s="409">
        <v>13946</v>
      </c>
      <c r="U23" s="409">
        <v>13948</v>
      </c>
      <c r="V23" s="409">
        <v>13950</v>
      </c>
      <c r="W23" s="409">
        <v>13956</v>
      </c>
      <c r="X23" s="409">
        <v>13965</v>
      </c>
      <c r="Y23" s="409">
        <v>13973</v>
      </c>
      <c r="Z23" s="409">
        <v>13981</v>
      </c>
      <c r="AA23" s="409">
        <v>13988</v>
      </c>
      <c r="AB23" s="409">
        <v>13993</v>
      </c>
      <c r="AC23" s="409">
        <v>13996</v>
      </c>
      <c r="AD23" s="409">
        <v>13998</v>
      </c>
      <c r="AE23" s="409">
        <v>14006</v>
      </c>
      <c r="AF23" s="409">
        <v>14014</v>
      </c>
      <c r="AG23" s="301">
        <f t="shared" si="0"/>
        <v>265</v>
      </c>
      <c r="AH23" s="409">
        <v>13749</v>
      </c>
      <c r="AI23" s="144">
        <v>265</v>
      </c>
      <c r="AJ23" s="307"/>
      <c r="AK23" s="414"/>
    </row>
    <row r="24" spans="1:37">
      <c r="A24" s="309" t="s">
        <v>139</v>
      </c>
      <c r="B24" s="409">
        <v>9451</v>
      </c>
      <c r="C24" s="409">
        <v>9459</v>
      </c>
      <c r="D24" s="409">
        <v>9467</v>
      </c>
      <c r="E24" s="409">
        <v>9475</v>
      </c>
      <c r="F24" s="409">
        <v>9482</v>
      </c>
      <c r="G24" s="409">
        <v>9486</v>
      </c>
      <c r="H24" s="409">
        <v>9488</v>
      </c>
      <c r="I24" s="409">
        <v>9488</v>
      </c>
      <c r="J24" s="409">
        <v>9494</v>
      </c>
      <c r="K24" s="409">
        <v>9500</v>
      </c>
      <c r="L24" s="409">
        <v>9507</v>
      </c>
      <c r="M24" s="409">
        <v>9513</v>
      </c>
      <c r="N24" s="409">
        <v>9519</v>
      </c>
      <c r="O24" s="409">
        <v>9521</v>
      </c>
      <c r="P24" s="409">
        <v>9521</v>
      </c>
      <c r="Q24" s="409">
        <v>9527</v>
      </c>
      <c r="R24" s="409">
        <v>9532</v>
      </c>
      <c r="S24" s="409">
        <v>9538</v>
      </c>
      <c r="T24" s="409">
        <v>9538</v>
      </c>
      <c r="U24" s="409">
        <v>9540</v>
      </c>
      <c r="V24" s="409">
        <v>9541</v>
      </c>
      <c r="W24" s="409">
        <v>9542</v>
      </c>
      <c r="X24" s="409">
        <v>9547</v>
      </c>
      <c r="Y24" s="409">
        <v>9552</v>
      </c>
      <c r="Z24" s="409">
        <v>9558</v>
      </c>
      <c r="AA24" s="409">
        <v>9566</v>
      </c>
      <c r="AB24" s="409">
        <v>9569</v>
      </c>
      <c r="AC24" s="409">
        <v>9571</v>
      </c>
      <c r="AD24" s="409">
        <v>9571</v>
      </c>
      <c r="AE24" s="409">
        <v>9577</v>
      </c>
      <c r="AF24" s="409">
        <v>9582</v>
      </c>
      <c r="AG24" s="301">
        <f t="shared" si="0"/>
        <v>131</v>
      </c>
      <c r="AH24" s="409">
        <v>9451</v>
      </c>
      <c r="AI24" s="144">
        <v>131</v>
      </c>
      <c r="AJ24" s="307"/>
      <c r="AK24" s="414"/>
    </row>
    <row r="25" spans="1:37">
      <c r="A25" s="309" t="s">
        <v>142</v>
      </c>
      <c r="B25" s="409">
        <v>3846</v>
      </c>
      <c r="C25" s="409">
        <v>3849</v>
      </c>
      <c r="D25" s="409">
        <v>3853</v>
      </c>
      <c r="E25" s="409">
        <v>3857</v>
      </c>
      <c r="F25" s="409">
        <v>3862</v>
      </c>
      <c r="G25" s="409">
        <v>3864</v>
      </c>
      <c r="H25" s="409">
        <v>3866</v>
      </c>
      <c r="I25" s="409">
        <v>3867</v>
      </c>
      <c r="J25" s="409">
        <v>3871</v>
      </c>
      <c r="K25" s="409">
        <v>3875</v>
      </c>
      <c r="L25" s="409">
        <v>3878</v>
      </c>
      <c r="M25" s="409">
        <v>3882</v>
      </c>
      <c r="N25" s="409">
        <v>3884</v>
      </c>
      <c r="O25" s="409">
        <v>3886</v>
      </c>
      <c r="P25" s="409">
        <v>3887</v>
      </c>
      <c r="Q25" s="409">
        <v>3890</v>
      </c>
      <c r="R25" s="409">
        <v>3894</v>
      </c>
      <c r="S25" s="409">
        <v>3897</v>
      </c>
      <c r="T25" s="409">
        <v>3897</v>
      </c>
      <c r="U25" s="409">
        <v>3897</v>
      </c>
      <c r="V25" s="409">
        <v>3897</v>
      </c>
      <c r="W25" s="409">
        <v>3905</v>
      </c>
      <c r="X25" s="409">
        <v>3907</v>
      </c>
      <c r="Y25" s="409">
        <v>3910</v>
      </c>
      <c r="Z25" s="409">
        <v>3912</v>
      </c>
      <c r="AA25" s="409">
        <v>3914</v>
      </c>
      <c r="AB25" s="409">
        <v>3915</v>
      </c>
      <c r="AC25" s="409">
        <v>3916</v>
      </c>
      <c r="AD25" s="409">
        <v>3916</v>
      </c>
      <c r="AE25" s="409">
        <v>3918</v>
      </c>
      <c r="AF25" s="409">
        <v>3921</v>
      </c>
      <c r="AG25" s="301">
        <f t="shared" si="0"/>
        <v>75</v>
      </c>
      <c r="AH25" s="409">
        <v>3846</v>
      </c>
      <c r="AI25" s="144">
        <v>75</v>
      </c>
      <c r="AJ25" s="307"/>
      <c r="AK25" s="414"/>
    </row>
    <row r="26" spans="1:37">
      <c r="A26" s="309" t="s">
        <v>145</v>
      </c>
      <c r="B26" s="409">
        <v>2220</v>
      </c>
      <c r="C26" s="409">
        <v>2222</v>
      </c>
      <c r="D26" s="409">
        <v>2225</v>
      </c>
      <c r="E26" s="409">
        <v>2228</v>
      </c>
      <c r="F26" s="409">
        <v>2230</v>
      </c>
      <c r="G26" s="409">
        <v>2232</v>
      </c>
      <c r="H26" s="409">
        <v>2232</v>
      </c>
      <c r="I26" s="409">
        <v>2233</v>
      </c>
      <c r="J26" s="409">
        <v>2235</v>
      </c>
      <c r="K26" s="409">
        <v>2238</v>
      </c>
      <c r="L26" s="409">
        <v>2240</v>
      </c>
      <c r="M26" s="409">
        <v>2242</v>
      </c>
      <c r="N26" s="409">
        <v>2244</v>
      </c>
      <c r="O26" s="409">
        <v>2245</v>
      </c>
      <c r="P26" s="409">
        <v>2246</v>
      </c>
      <c r="Q26" s="409">
        <v>2246</v>
      </c>
      <c r="R26" s="409">
        <v>2251</v>
      </c>
      <c r="S26" s="409">
        <v>2254</v>
      </c>
      <c r="T26" s="409">
        <v>2254</v>
      </c>
      <c r="U26" s="409">
        <v>2255</v>
      </c>
      <c r="V26" s="409">
        <v>2256</v>
      </c>
      <c r="W26" s="409">
        <v>2260</v>
      </c>
      <c r="X26" s="409">
        <v>2262</v>
      </c>
      <c r="Y26" s="409">
        <v>2263</v>
      </c>
      <c r="Z26" s="409">
        <v>2265</v>
      </c>
      <c r="AA26" s="409">
        <v>2267</v>
      </c>
      <c r="AB26" s="409">
        <v>2268</v>
      </c>
      <c r="AC26" s="409">
        <v>2269</v>
      </c>
      <c r="AD26" s="409">
        <v>2270</v>
      </c>
      <c r="AE26" s="409">
        <v>2272</v>
      </c>
      <c r="AF26" s="409">
        <v>2273</v>
      </c>
      <c r="AG26" s="301">
        <f t="shared" si="0"/>
        <v>54</v>
      </c>
      <c r="AH26" s="409">
        <v>2219</v>
      </c>
      <c r="AI26" s="144">
        <v>54</v>
      </c>
      <c r="AJ26" s="307"/>
      <c r="AK26" s="414"/>
    </row>
    <row r="27" spans="1:37">
      <c r="A27" s="309" t="s">
        <v>148</v>
      </c>
      <c r="B27" s="409">
        <v>15230</v>
      </c>
      <c r="C27" s="409">
        <v>15245</v>
      </c>
      <c r="D27" s="409">
        <v>15258</v>
      </c>
      <c r="E27" s="409">
        <v>15270</v>
      </c>
      <c r="F27" s="409">
        <v>15281</v>
      </c>
      <c r="G27" s="409">
        <v>15290</v>
      </c>
      <c r="H27" s="409">
        <v>15294</v>
      </c>
      <c r="I27" s="409">
        <v>15297</v>
      </c>
      <c r="J27" s="409">
        <v>15309</v>
      </c>
      <c r="K27" s="409">
        <v>15320</v>
      </c>
      <c r="L27" s="409">
        <v>15330</v>
      </c>
      <c r="M27" s="409">
        <v>15341</v>
      </c>
      <c r="N27" s="409">
        <v>15350</v>
      </c>
      <c r="O27" s="409">
        <v>15353</v>
      </c>
      <c r="P27" s="409">
        <v>15356</v>
      </c>
      <c r="Q27" s="409">
        <v>15365</v>
      </c>
      <c r="R27" s="409">
        <v>15374</v>
      </c>
      <c r="S27" s="409">
        <v>15386</v>
      </c>
      <c r="T27" s="409">
        <v>15386</v>
      </c>
      <c r="U27" s="409">
        <v>15396</v>
      </c>
      <c r="V27" s="409">
        <v>15402</v>
      </c>
      <c r="W27" s="409">
        <v>15408</v>
      </c>
      <c r="X27" s="409">
        <v>15413</v>
      </c>
      <c r="Y27" s="409">
        <v>15419</v>
      </c>
      <c r="Z27" s="409">
        <v>15425</v>
      </c>
      <c r="AA27" s="409">
        <v>15432</v>
      </c>
      <c r="AB27" s="409">
        <v>15436</v>
      </c>
      <c r="AC27" s="409">
        <v>15438</v>
      </c>
      <c r="AD27" s="409">
        <v>15440</v>
      </c>
      <c r="AE27" s="409">
        <v>15447</v>
      </c>
      <c r="AF27" s="409">
        <v>15452</v>
      </c>
      <c r="AG27" s="301">
        <f t="shared" si="0"/>
        <v>229</v>
      </c>
      <c r="AH27" s="409">
        <v>15223</v>
      </c>
      <c r="AI27" s="144">
        <v>229</v>
      </c>
      <c r="AJ27" s="307"/>
      <c r="AK27" s="414"/>
    </row>
    <row r="28" spans="1:37">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409">
        <v>1339</v>
      </c>
      <c r="AG28" s="301">
        <f t="shared" si="0"/>
        <v>0</v>
      </c>
      <c r="AH28" s="409">
        <v>1339</v>
      </c>
      <c r="AI28" s="144">
        <v>0</v>
      </c>
      <c r="AJ28" s="307"/>
      <c r="AK28" s="414"/>
    </row>
    <row r="29" spans="1:37">
      <c r="A29" s="309" t="s">
        <v>154</v>
      </c>
      <c r="B29" s="409">
        <v>1083</v>
      </c>
      <c r="C29" s="409">
        <v>1085</v>
      </c>
      <c r="D29" s="409">
        <v>1086</v>
      </c>
      <c r="E29" s="409">
        <v>1088</v>
      </c>
      <c r="F29" s="409">
        <v>1089</v>
      </c>
      <c r="G29" s="409">
        <v>1089</v>
      </c>
      <c r="H29" s="409">
        <v>1089</v>
      </c>
      <c r="I29" s="409">
        <v>1091</v>
      </c>
      <c r="J29" s="409">
        <v>1093</v>
      </c>
      <c r="K29" s="409">
        <v>1094</v>
      </c>
      <c r="L29" s="409">
        <v>1096</v>
      </c>
      <c r="M29" s="409">
        <v>1097</v>
      </c>
      <c r="N29" s="409">
        <v>1099</v>
      </c>
      <c r="O29" s="409">
        <v>1101</v>
      </c>
      <c r="P29" s="409">
        <v>1102</v>
      </c>
      <c r="Q29" s="409">
        <v>1103</v>
      </c>
      <c r="R29" s="409">
        <v>1106</v>
      </c>
      <c r="S29" s="409">
        <v>1108</v>
      </c>
      <c r="T29" s="409">
        <v>1108</v>
      </c>
      <c r="U29" s="409">
        <v>1108</v>
      </c>
      <c r="V29" s="409">
        <v>1108</v>
      </c>
      <c r="W29" s="409">
        <v>1109</v>
      </c>
      <c r="X29" s="409">
        <v>1111</v>
      </c>
      <c r="Y29" s="409">
        <v>1112</v>
      </c>
      <c r="Z29" s="409">
        <v>1113</v>
      </c>
      <c r="AA29" s="409">
        <v>1114</v>
      </c>
      <c r="AB29" s="409">
        <v>1115</v>
      </c>
      <c r="AC29" s="409">
        <v>1116</v>
      </c>
      <c r="AD29" s="409">
        <v>1117</v>
      </c>
      <c r="AE29" s="409">
        <v>1118</v>
      </c>
      <c r="AF29" s="409">
        <v>1119</v>
      </c>
      <c r="AG29" s="301">
        <f t="shared" si="0"/>
        <v>38</v>
      </c>
      <c r="AH29" s="409">
        <v>1081</v>
      </c>
      <c r="AI29" s="144">
        <v>38</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16" t="s">
        <v>78</v>
      </c>
      <c r="R32" s="416" t="s">
        <v>78</v>
      </c>
      <c r="S32" s="416" t="s">
        <v>78</v>
      </c>
      <c r="T32" s="416" t="s">
        <v>78</v>
      </c>
      <c r="U32" s="416" t="s">
        <v>78</v>
      </c>
      <c r="V32" s="416" t="s">
        <v>78</v>
      </c>
      <c r="W32" s="416" t="s">
        <v>78</v>
      </c>
      <c r="X32" s="416" t="s">
        <v>78</v>
      </c>
      <c r="Y32" s="416" t="s">
        <v>78</v>
      </c>
      <c r="Z32" s="416" t="s">
        <v>78</v>
      </c>
      <c r="AA32" s="416" t="s">
        <v>78</v>
      </c>
      <c r="AB32" s="416" t="s">
        <v>78</v>
      </c>
      <c r="AC32" s="416" t="s">
        <v>78</v>
      </c>
      <c r="AD32" s="416" t="s">
        <v>78</v>
      </c>
      <c r="AE32" s="416" t="s">
        <v>78</v>
      </c>
      <c r="AF32" s="416" t="s">
        <v>78</v>
      </c>
      <c r="AG32" s="301"/>
      <c r="AH32" s="416" t="s">
        <v>78</v>
      </c>
    </row>
    <row r="33" spans="1:34" ht="25.5">
      <c r="A33" s="282" t="s">
        <v>80</v>
      </c>
      <c r="B33" s="416" t="s">
        <v>2794</v>
      </c>
      <c r="C33" s="416" t="s">
        <v>2794</v>
      </c>
      <c r="D33" s="424" t="s">
        <v>2794</v>
      </c>
      <c r="E33" s="424" t="s">
        <v>2794</v>
      </c>
      <c r="F33" s="424" t="s">
        <v>2794</v>
      </c>
      <c r="G33" s="424" t="s">
        <v>2794</v>
      </c>
      <c r="H33" s="424" t="s">
        <v>2794</v>
      </c>
      <c r="I33" s="424" t="s">
        <v>2794</v>
      </c>
      <c r="J33" s="424" t="s">
        <v>2794</v>
      </c>
      <c r="K33" s="424" t="s">
        <v>2794</v>
      </c>
      <c r="L33" s="424" t="s">
        <v>2794</v>
      </c>
      <c r="M33" s="424" t="s">
        <v>2794</v>
      </c>
      <c r="N33" s="424" t="s">
        <v>2794</v>
      </c>
      <c r="O33" s="424" t="s">
        <v>2794</v>
      </c>
      <c r="P33" s="424" t="s">
        <v>2794</v>
      </c>
      <c r="Q33" s="424" t="s">
        <v>2794</v>
      </c>
      <c r="R33" s="424" t="s">
        <v>2794</v>
      </c>
      <c r="S33" s="424" t="s">
        <v>2794</v>
      </c>
      <c r="T33" s="424" t="s">
        <v>2794</v>
      </c>
      <c r="U33" s="424" t="s">
        <v>2794</v>
      </c>
      <c r="V33" s="424" t="s">
        <v>2794</v>
      </c>
      <c r="W33" s="424" t="s">
        <v>2794</v>
      </c>
      <c r="X33" s="424" t="s">
        <v>2794</v>
      </c>
      <c r="Y33" s="424" t="s">
        <v>2794</v>
      </c>
      <c r="Z33" s="424" t="s">
        <v>2794</v>
      </c>
      <c r="AA33" s="424" t="s">
        <v>2794</v>
      </c>
      <c r="AB33" s="424" t="s">
        <v>2794</v>
      </c>
      <c r="AC33" s="424" t="s">
        <v>2794</v>
      </c>
      <c r="AD33" s="424" t="s">
        <v>2794</v>
      </c>
      <c r="AE33" s="424" t="s">
        <v>2794</v>
      </c>
      <c r="AF33" s="424" t="s">
        <v>2794</v>
      </c>
      <c r="AG33" s="301"/>
      <c r="AH33" s="416" t="s">
        <v>2794</v>
      </c>
    </row>
    <row r="34" spans="1:34" ht="15.75" thickBot="1">
      <c r="A34" s="310" t="s">
        <v>81</v>
      </c>
      <c r="B34" s="417" t="s">
        <v>2812</v>
      </c>
      <c r="C34" s="417" t="s">
        <v>2812</v>
      </c>
      <c r="D34" s="417" t="s">
        <v>2812</v>
      </c>
      <c r="E34" s="417" t="s">
        <v>2812</v>
      </c>
      <c r="F34" s="417" t="s">
        <v>2812</v>
      </c>
      <c r="G34" s="417" t="s">
        <v>2812</v>
      </c>
      <c r="H34" s="417" t="s">
        <v>2812</v>
      </c>
      <c r="I34" s="417" t="s">
        <v>2812</v>
      </c>
      <c r="J34" s="417" t="s">
        <v>2812</v>
      </c>
      <c r="K34" s="417" t="s">
        <v>2812</v>
      </c>
      <c r="L34" s="417" t="s">
        <v>2812</v>
      </c>
      <c r="M34" s="417" t="s">
        <v>2812</v>
      </c>
      <c r="N34" s="417" t="s">
        <v>2812</v>
      </c>
      <c r="O34" s="417" t="s">
        <v>2812</v>
      </c>
      <c r="P34" s="417" t="s">
        <v>2812</v>
      </c>
      <c r="Q34" s="417" t="s">
        <v>2812</v>
      </c>
      <c r="R34" s="417" t="s">
        <v>2812</v>
      </c>
      <c r="S34" s="417" t="s">
        <v>2812</v>
      </c>
      <c r="T34" s="417" t="s">
        <v>2812</v>
      </c>
      <c r="U34" s="417" t="s">
        <v>2812</v>
      </c>
      <c r="V34" s="417" t="s">
        <v>2812</v>
      </c>
      <c r="W34" s="417" t="s">
        <v>2812</v>
      </c>
      <c r="X34" s="417" t="s">
        <v>2812</v>
      </c>
      <c r="Y34" s="417" t="s">
        <v>2812</v>
      </c>
      <c r="Z34" s="417" t="s">
        <v>2812</v>
      </c>
      <c r="AA34" s="417" t="s">
        <v>2812</v>
      </c>
      <c r="AB34" s="417" t="s">
        <v>2812</v>
      </c>
      <c r="AC34" s="417" t="s">
        <v>2812</v>
      </c>
      <c r="AD34" s="417" t="s">
        <v>2812</v>
      </c>
      <c r="AE34" s="417" t="s">
        <v>2812</v>
      </c>
      <c r="AF34" s="417" t="s">
        <v>2812</v>
      </c>
      <c r="AG34" s="301"/>
      <c r="AH34" s="417" t="s">
        <v>2812</v>
      </c>
    </row>
    <row r="35" spans="1:34">
      <c r="AG35" s="211"/>
    </row>
    <row r="36" spans="1:34">
      <c r="AG36" s="211"/>
    </row>
  </sheetData>
  <mergeCells count="1">
    <mergeCell ref="A1:AH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B3A1-F50F-44B9-87B4-A62C73C91933}">
  <dimension ref="A1:AK36"/>
  <sheetViews>
    <sheetView topLeftCell="J5" workbookViewId="0">
      <selection activeCell="AI22" sqref="AI22"/>
    </sheetView>
  </sheetViews>
  <sheetFormatPr defaultColWidth="9.140625" defaultRowHeight="15"/>
  <cols>
    <col min="1" max="1" width="34.42578125" style="144" customWidth="1"/>
    <col min="2" max="2" width="13" style="144" customWidth="1"/>
    <col min="3"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5" customHeight="1"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4.45" customHeight="1">
      <c r="A2" s="280"/>
      <c r="B2" s="281">
        <v>45658</v>
      </c>
      <c r="C2" s="281">
        <v>45659</v>
      </c>
      <c r="D2" s="281">
        <v>45660</v>
      </c>
      <c r="E2" s="281">
        <v>45661</v>
      </c>
      <c r="F2" s="281">
        <v>45662</v>
      </c>
      <c r="G2" s="281">
        <v>45663</v>
      </c>
      <c r="H2" s="281">
        <v>45664</v>
      </c>
      <c r="I2" s="281">
        <v>45665</v>
      </c>
      <c r="J2" s="281">
        <v>45666</v>
      </c>
      <c r="K2" s="281">
        <v>45667</v>
      </c>
      <c r="L2" s="281">
        <v>45668</v>
      </c>
      <c r="M2" s="281">
        <v>45669</v>
      </c>
      <c r="N2" s="281">
        <v>45670</v>
      </c>
      <c r="O2" s="281">
        <v>45671</v>
      </c>
      <c r="P2" s="281">
        <v>45672</v>
      </c>
      <c r="Q2" s="281">
        <v>45673</v>
      </c>
      <c r="R2" s="281">
        <v>45674</v>
      </c>
      <c r="S2" s="281">
        <v>45675</v>
      </c>
      <c r="T2" s="281">
        <v>45676</v>
      </c>
      <c r="U2" s="281">
        <v>45677</v>
      </c>
      <c r="V2" s="281">
        <v>45678</v>
      </c>
      <c r="W2" s="281">
        <v>45679</v>
      </c>
      <c r="X2" s="281">
        <v>45680</v>
      </c>
      <c r="Y2" s="281">
        <v>45681</v>
      </c>
      <c r="Z2" s="281">
        <v>45682</v>
      </c>
      <c r="AA2" s="281">
        <v>45683</v>
      </c>
      <c r="AB2" s="281">
        <v>45684</v>
      </c>
      <c r="AC2" s="281">
        <v>45685</v>
      </c>
      <c r="AD2" s="281">
        <v>45686</v>
      </c>
      <c r="AE2" s="281">
        <v>45687</v>
      </c>
      <c r="AF2" s="281">
        <v>45688</v>
      </c>
      <c r="AG2" s="281"/>
      <c r="AH2" s="281">
        <v>45657</v>
      </c>
    </row>
    <row r="3" spans="1:37" ht="27" customHeight="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449293</v>
      </c>
      <c r="C4" s="420">
        <v>449523</v>
      </c>
      <c r="D4" s="420">
        <v>449757</v>
      </c>
      <c r="E4" s="420">
        <v>449972</v>
      </c>
      <c r="F4" s="420">
        <v>450185</v>
      </c>
      <c r="G4" s="420">
        <v>450406</v>
      </c>
      <c r="H4" s="420">
        <v>450639</v>
      </c>
      <c r="I4" s="420">
        <v>450869</v>
      </c>
      <c r="J4" s="420">
        <v>451095</v>
      </c>
      <c r="K4" s="420">
        <v>451331</v>
      </c>
      <c r="L4" s="420">
        <v>451545</v>
      </c>
      <c r="M4" s="420">
        <v>451759</v>
      </c>
      <c r="N4" s="420">
        <v>451987</v>
      </c>
      <c r="O4" s="420">
        <v>452241</v>
      </c>
      <c r="P4" s="420">
        <v>452449</v>
      </c>
      <c r="Q4" s="420">
        <v>452673</v>
      </c>
      <c r="R4" s="420">
        <v>452912</v>
      </c>
      <c r="S4" s="420">
        <v>453115</v>
      </c>
      <c r="T4" s="420">
        <v>453336</v>
      </c>
      <c r="U4" s="420">
        <v>453562</v>
      </c>
      <c r="V4" s="420">
        <v>453800</v>
      </c>
      <c r="W4" s="420">
        <v>454021</v>
      </c>
      <c r="X4" s="420">
        <v>454254</v>
      </c>
      <c r="Y4" s="420">
        <v>454476</v>
      </c>
      <c r="Z4" s="420">
        <v>454677</v>
      </c>
      <c r="AA4" s="420">
        <v>454901</v>
      </c>
      <c r="AB4" s="420">
        <v>455128</v>
      </c>
      <c r="AC4" s="420">
        <v>455365</v>
      </c>
      <c r="AD4" s="420">
        <v>455582</v>
      </c>
      <c r="AE4" s="420">
        <v>455809</v>
      </c>
      <c r="AF4" s="420">
        <v>455919</v>
      </c>
      <c r="AG4" s="290"/>
      <c r="AH4" s="420">
        <v>449050</v>
      </c>
      <c r="AI4" s="288"/>
    </row>
    <row r="5" spans="1:37" ht="20.100000000000001" customHeight="1">
      <c r="A5" s="285" t="s">
        <v>55</v>
      </c>
      <c r="B5" s="420">
        <v>12579226</v>
      </c>
      <c r="C5" s="420">
        <v>12585906</v>
      </c>
      <c r="D5" s="420">
        <v>12592638</v>
      </c>
      <c r="E5" s="420">
        <v>12598723</v>
      </c>
      <c r="F5" s="420">
        <v>12604711</v>
      </c>
      <c r="G5" s="420">
        <v>12610902</v>
      </c>
      <c r="H5" s="420">
        <v>12617528</v>
      </c>
      <c r="I5" s="420">
        <v>12624033</v>
      </c>
      <c r="J5" s="420">
        <v>12630819</v>
      </c>
      <c r="K5" s="420">
        <v>12637735</v>
      </c>
      <c r="L5" s="420">
        <v>12643601</v>
      </c>
      <c r="M5" s="420">
        <v>12649466</v>
      </c>
      <c r="N5" s="420">
        <v>12656072</v>
      </c>
      <c r="O5" s="420">
        <v>12663656</v>
      </c>
      <c r="P5" s="420">
        <v>12669726</v>
      </c>
      <c r="Q5" s="420">
        <v>12676063</v>
      </c>
      <c r="R5" s="420">
        <v>12682967</v>
      </c>
      <c r="S5" s="420">
        <v>12688642</v>
      </c>
      <c r="T5" s="420">
        <v>12694945</v>
      </c>
      <c r="U5" s="420">
        <v>12701499</v>
      </c>
      <c r="V5" s="420">
        <v>12708528</v>
      </c>
      <c r="W5" s="420">
        <v>12715204</v>
      </c>
      <c r="X5" s="420">
        <v>12722306</v>
      </c>
      <c r="Y5" s="420">
        <v>12728759</v>
      </c>
      <c r="Z5" s="420">
        <v>12734211</v>
      </c>
      <c r="AA5" s="420">
        <v>12740333</v>
      </c>
      <c r="AB5" s="420">
        <v>12747079</v>
      </c>
      <c r="AC5" s="420">
        <v>12754086</v>
      </c>
      <c r="AD5" s="420">
        <v>12760560</v>
      </c>
      <c r="AE5" s="420">
        <v>12767535</v>
      </c>
      <c r="AF5" s="420">
        <v>12773535</v>
      </c>
      <c r="AG5" s="290"/>
      <c r="AH5" s="420">
        <v>12572192</v>
      </c>
      <c r="AI5" s="288"/>
    </row>
    <row r="6" spans="1:37" ht="20.100000000000001" customHeight="1">
      <c r="A6" s="285" t="s">
        <v>56</v>
      </c>
      <c r="B6" s="420">
        <v>5869027</v>
      </c>
      <c r="C6" s="420">
        <v>5872072</v>
      </c>
      <c r="D6" s="420">
        <v>5875025</v>
      </c>
      <c r="E6" s="420">
        <v>5877526</v>
      </c>
      <c r="F6" s="420">
        <v>5880235</v>
      </c>
      <c r="G6" s="420">
        <v>5883164</v>
      </c>
      <c r="H6" s="420">
        <v>5886066</v>
      </c>
      <c r="I6" s="420">
        <v>5888827</v>
      </c>
      <c r="J6" s="420">
        <v>5891757</v>
      </c>
      <c r="K6" s="420">
        <v>5894506</v>
      </c>
      <c r="L6" s="420">
        <v>5896830</v>
      </c>
      <c r="M6" s="420">
        <v>5899153</v>
      </c>
      <c r="N6" s="420">
        <v>5901882</v>
      </c>
      <c r="O6" s="420">
        <v>5904958</v>
      </c>
      <c r="P6" s="420">
        <v>5907386</v>
      </c>
      <c r="Q6" s="420">
        <v>5910048</v>
      </c>
      <c r="R6" s="420">
        <v>5912779</v>
      </c>
      <c r="S6" s="420">
        <v>5914849</v>
      </c>
      <c r="T6" s="420">
        <v>5917365</v>
      </c>
      <c r="U6" s="420">
        <v>5920171</v>
      </c>
      <c r="V6" s="420">
        <v>5923116</v>
      </c>
      <c r="W6" s="420">
        <v>5925926</v>
      </c>
      <c r="X6" s="420">
        <v>5929128</v>
      </c>
      <c r="Y6" s="420">
        <v>5931752</v>
      </c>
      <c r="Z6" s="420">
        <v>5933839</v>
      </c>
      <c r="AA6" s="420">
        <v>5936474</v>
      </c>
      <c r="AB6" s="420">
        <v>5939332</v>
      </c>
      <c r="AC6" s="420">
        <v>5942379</v>
      </c>
      <c r="AD6" s="420">
        <v>5945124</v>
      </c>
      <c r="AE6" s="420">
        <v>5948028</v>
      </c>
      <c r="AF6" s="420">
        <v>5950528</v>
      </c>
      <c r="AG6" s="290"/>
      <c r="AH6" s="420">
        <v>5865858</v>
      </c>
      <c r="AI6" s="288"/>
    </row>
    <row r="7" spans="1:37" ht="20.100000000000001" customHeight="1">
      <c r="A7" s="285" t="s">
        <v>57</v>
      </c>
      <c r="B7" s="420">
        <v>241736</v>
      </c>
      <c r="C7" s="420">
        <v>247660</v>
      </c>
      <c r="D7" s="420">
        <v>253633</v>
      </c>
      <c r="E7" s="420">
        <v>259235</v>
      </c>
      <c r="F7" s="420">
        <v>264558</v>
      </c>
      <c r="G7" s="420">
        <v>270028</v>
      </c>
      <c r="H7" s="420">
        <v>275749</v>
      </c>
      <c r="I7" s="420">
        <v>281399</v>
      </c>
      <c r="J7" s="420">
        <v>287092</v>
      </c>
      <c r="K7" s="420">
        <v>293088</v>
      </c>
      <c r="L7" s="420">
        <v>295699</v>
      </c>
      <c r="M7" s="420">
        <v>298310</v>
      </c>
      <c r="N7" s="420">
        <v>298390</v>
      </c>
      <c r="O7" s="420">
        <v>298481</v>
      </c>
      <c r="P7" s="420">
        <v>298557</v>
      </c>
      <c r="Q7" s="420">
        <v>298637</v>
      </c>
      <c r="R7" s="420">
        <v>298723</v>
      </c>
      <c r="S7" s="420">
        <v>298801</v>
      </c>
      <c r="T7" s="420">
        <v>298885</v>
      </c>
      <c r="U7" s="420">
        <v>298966</v>
      </c>
      <c r="V7" s="420">
        <v>299761</v>
      </c>
      <c r="W7" s="420">
        <v>299841</v>
      </c>
      <c r="X7" s="420">
        <v>299926</v>
      </c>
      <c r="Y7" s="420">
        <v>300008</v>
      </c>
      <c r="Z7" s="420">
        <v>300160</v>
      </c>
      <c r="AA7" s="420">
        <v>305949</v>
      </c>
      <c r="AB7" s="420">
        <v>311763</v>
      </c>
      <c r="AC7" s="420">
        <v>317946</v>
      </c>
      <c r="AD7" s="420">
        <v>323551</v>
      </c>
      <c r="AE7" s="420">
        <v>329517</v>
      </c>
      <c r="AF7" s="420">
        <v>334517</v>
      </c>
      <c r="AG7" s="290"/>
      <c r="AH7" s="420">
        <v>230376</v>
      </c>
      <c r="AI7" s="288"/>
    </row>
    <row r="8" spans="1:37" ht="20.100000000000001" customHeight="1">
      <c r="A8" s="285" t="s">
        <v>58</v>
      </c>
      <c r="B8" s="420">
        <v>284603</v>
      </c>
      <c r="C8" s="420">
        <v>284696</v>
      </c>
      <c r="D8" s="420">
        <v>284791</v>
      </c>
      <c r="E8" s="420">
        <v>284884</v>
      </c>
      <c r="F8" s="420">
        <v>284972</v>
      </c>
      <c r="G8" s="420">
        <v>285061</v>
      </c>
      <c r="H8" s="420">
        <v>285155</v>
      </c>
      <c r="I8" s="420">
        <v>285245</v>
      </c>
      <c r="J8" s="420">
        <v>285335</v>
      </c>
      <c r="K8" s="420">
        <v>285429</v>
      </c>
      <c r="L8" s="420">
        <v>287973</v>
      </c>
      <c r="M8" s="420">
        <v>290517</v>
      </c>
      <c r="N8" s="420">
        <v>295908</v>
      </c>
      <c r="O8" s="420">
        <v>301984</v>
      </c>
      <c r="P8" s="420">
        <v>306782</v>
      </c>
      <c r="Q8" s="420">
        <v>311844</v>
      </c>
      <c r="R8" s="420">
        <v>317373</v>
      </c>
      <c r="S8" s="420">
        <v>321946</v>
      </c>
      <c r="T8" s="420">
        <v>327372</v>
      </c>
      <c r="U8" s="420">
        <v>332755</v>
      </c>
      <c r="V8" s="420">
        <v>337869</v>
      </c>
      <c r="W8" s="420">
        <v>343285</v>
      </c>
      <c r="X8" s="420">
        <v>349055</v>
      </c>
      <c r="Y8" s="420">
        <v>354130</v>
      </c>
      <c r="Z8" s="420">
        <v>359069</v>
      </c>
      <c r="AA8" s="420">
        <v>359161</v>
      </c>
      <c r="AB8" s="420">
        <v>359251</v>
      </c>
      <c r="AC8" s="420">
        <v>359345</v>
      </c>
      <c r="AD8" s="420">
        <v>359431</v>
      </c>
      <c r="AE8" s="420">
        <v>359522</v>
      </c>
      <c r="AF8" s="420">
        <v>359617</v>
      </c>
      <c r="AG8" s="290"/>
      <c r="AH8" s="421">
        <v>289284</v>
      </c>
      <c r="AI8" s="288"/>
    </row>
    <row r="9" spans="1:37" ht="20.100000000000001" customHeight="1">
      <c r="A9" s="285" t="s">
        <v>59</v>
      </c>
      <c r="B9" s="420">
        <v>396991</v>
      </c>
      <c r="C9" s="420">
        <v>401869</v>
      </c>
      <c r="D9" s="420">
        <v>406858</v>
      </c>
      <c r="E9" s="420">
        <v>411667</v>
      </c>
      <c r="F9" s="420">
        <v>416187</v>
      </c>
      <c r="G9" s="420">
        <v>420713</v>
      </c>
      <c r="H9" s="420">
        <v>425630</v>
      </c>
      <c r="I9" s="420">
        <v>430435</v>
      </c>
      <c r="J9" s="420">
        <v>435308</v>
      </c>
      <c r="K9" s="420">
        <v>440549</v>
      </c>
      <c r="L9" s="420">
        <v>445331</v>
      </c>
      <c r="M9" s="420">
        <v>450114</v>
      </c>
      <c r="N9" s="420">
        <v>455168</v>
      </c>
      <c r="O9" s="420">
        <v>460821</v>
      </c>
      <c r="P9" s="420">
        <v>465287</v>
      </c>
      <c r="Q9" s="420">
        <v>470116</v>
      </c>
      <c r="R9" s="420">
        <v>475377</v>
      </c>
      <c r="S9" s="420">
        <v>479965</v>
      </c>
      <c r="T9" s="420">
        <v>484677</v>
      </c>
      <c r="U9" s="420">
        <v>489807</v>
      </c>
      <c r="V9" s="420">
        <v>495075</v>
      </c>
      <c r="W9" s="420">
        <v>499930</v>
      </c>
      <c r="X9" s="420">
        <v>505102</v>
      </c>
      <c r="Y9" s="420">
        <v>510253</v>
      </c>
      <c r="Z9" s="420">
        <v>514818</v>
      </c>
      <c r="AA9" s="420">
        <v>519901</v>
      </c>
      <c r="AB9" s="420">
        <v>525051</v>
      </c>
      <c r="AC9" s="420">
        <v>530516</v>
      </c>
      <c r="AD9" s="420">
        <v>535505</v>
      </c>
      <c r="AE9" s="420">
        <v>540556</v>
      </c>
      <c r="AF9" s="420">
        <v>545056</v>
      </c>
      <c r="AG9" s="290"/>
      <c r="AH9" s="421">
        <v>391955</v>
      </c>
      <c r="AI9" s="288"/>
    </row>
    <row r="10" spans="1:37" ht="20.100000000000001" customHeight="1">
      <c r="A10" s="285" t="s">
        <v>60</v>
      </c>
      <c r="B10" s="420">
        <v>8220812</v>
      </c>
      <c r="C10" s="420">
        <v>8224386</v>
      </c>
      <c r="D10" s="420">
        <v>8227840</v>
      </c>
      <c r="E10" s="420">
        <v>8230822</v>
      </c>
      <c r="F10" s="420">
        <v>8233812</v>
      </c>
      <c r="G10" s="420">
        <v>8236899</v>
      </c>
      <c r="H10" s="420">
        <v>8240371</v>
      </c>
      <c r="I10" s="420">
        <v>8243864</v>
      </c>
      <c r="J10" s="420">
        <v>8247284</v>
      </c>
      <c r="K10" s="420">
        <v>8250752</v>
      </c>
      <c r="L10" s="420">
        <v>8253597</v>
      </c>
      <c r="M10" s="420">
        <v>8256441</v>
      </c>
      <c r="N10" s="420">
        <v>8260220</v>
      </c>
      <c r="O10" s="420">
        <v>8264258</v>
      </c>
      <c r="P10" s="420">
        <v>8267344</v>
      </c>
      <c r="Q10" s="420">
        <v>8270732</v>
      </c>
      <c r="R10" s="420">
        <v>8274258</v>
      </c>
      <c r="S10" s="420">
        <v>8277007</v>
      </c>
      <c r="T10" s="420">
        <v>8280141</v>
      </c>
      <c r="U10" s="420">
        <v>8283686</v>
      </c>
      <c r="V10" s="420">
        <v>8287377</v>
      </c>
      <c r="W10" s="420">
        <v>8290844</v>
      </c>
      <c r="X10" s="420">
        <v>8294463</v>
      </c>
      <c r="Y10" s="420">
        <v>8297797</v>
      </c>
      <c r="Z10" s="420">
        <v>8300525</v>
      </c>
      <c r="AA10" s="420">
        <v>8303672</v>
      </c>
      <c r="AB10" s="420">
        <v>8307238</v>
      </c>
      <c r="AC10" s="420">
        <v>8310921</v>
      </c>
      <c r="AD10" s="420">
        <v>8314293</v>
      </c>
      <c r="AE10" s="420">
        <v>8317854</v>
      </c>
      <c r="AF10" s="420">
        <v>8320454</v>
      </c>
      <c r="AG10" s="290"/>
      <c r="AH10" s="421">
        <v>8217271</v>
      </c>
      <c r="AI10" s="288"/>
    </row>
    <row r="11" spans="1:37" ht="22.5" customHeight="1">
      <c r="A11" s="285" t="s">
        <v>61</v>
      </c>
      <c r="B11" s="420">
        <v>315921</v>
      </c>
      <c r="C11" s="420">
        <v>316037</v>
      </c>
      <c r="D11" s="420">
        <v>316148</v>
      </c>
      <c r="E11" s="420">
        <v>316239</v>
      </c>
      <c r="F11" s="420">
        <v>316337</v>
      </c>
      <c r="G11" s="420">
        <v>316450</v>
      </c>
      <c r="H11" s="420">
        <v>316572</v>
      </c>
      <c r="I11" s="420">
        <v>316696</v>
      </c>
      <c r="J11" s="420">
        <v>316820</v>
      </c>
      <c r="K11" s="420">
        <v>316946</v>
      </c>
      <c r="L11" s="420">
        <v>317049</v>
      </c>
      <c r="M11" s="420">
        <v>317153</v>
      </c>
      <c r="N11" s="420">
        <v>317280</v>
      </c>
      <c r="O11" s="420">
        <v>317426</v>
      </c>
      <c r="P11" s="420">
        <v>317538</v>
      </c>
      <c r="Q11" s="420">
        <v>317665</v>
      </c>
      <c r="R11" s="420">
        <v>317796</v>
      </c>
      <c r="S11" s="420">
        <v>317891</v>
      </c>
      <c r="T11" s="420">
        <v>318006</v>
      </c>
      <c r="U11" s="420">
        <v>318137</v>
      </c>
      <c r="V11" s="420">
        <v>318277</v>
      </c>
      <c r="W11" s="420">
        <v>318405</v>
      </c>
      <c r="X11" s="420">
        <v>318540</v>
      </c>
      <c r="Y11" s="420">
        <v>318660</v>
      </c>
      <c r="Z11" s="420">
        <v>318751</v>
      </c>
      <c r="AA11" s="420">
        <v>318862</v>
      </c>
      <c r="AB11" s="420">
        <v>318993</v>
      </c>
      <c r="AC11" s="420">
        <v>319132</v>
      </c>
      <c r="AD11" s="420">
        <v>319254</v>
      </c>
      <c r="AE11" s="420">
        <v>319383</v>
      </c>
      <c r="AF11" s="420">
        <v>319498</v>
      </c>
      <c r="AG11" s="290"/>
      <c r="AH11" s="421">
        <v>315800</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20"/>
    </row>
    <row r="13" spans="1:37" ht="36.6" customHeight="1">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ht="26.1" customHeight="1">
      <c r="A14" s="282" t="s">
        <v>995</v>
      </c>
      <c r="B14" s="409">
        <v>20344</v>
      </c>
      <c r="C14" s="409">
        <v>20406</v>
      </c>
      <c r="D14" s="409">
        <v>20466</v>
      </c>
      <c r="E14" s="409">
        <v>20484</v>
      </c>
      <c r="F14" s="409">
        <v>20536</v>
      </c>
      <c r="G14" s="409">
        <v>20601</v>
      </c>
      <c r="H14" s="409">
        <v>20665</v>
      </c>
      <c r="I14" s="409">
        <v>20732</v>
      </c>
      <c r="J14" s="409">
        <v>20803</v>
      </c>
      <c r="K14" s="409">
        <v>20803</v>
      </c>
      <c r="L14" s="409">
        <v>20908</v>
      </c>
      <c r="M14" s="409">
        <v>20964</v>
      </c>
      <c r="N14" s="409">
        <v>21036</v>
      </c>
      <c r="O14" s="409">
        <v>21105</v>
      </c>
      <c r="P14" s="409">
        <v>21178</v>
      </c>
      <c r="Q14" s="409">
        <v>21242</v>
      </c>
      <c r="R14" s="423">
        <v>21288</v>
      </c>
      <c r="S14" s="409">
        <v>21333</v>
      </c>
      <c r="T14" s="409">
        <v>21378</v>
      </c>
      <c r="U14" s="409">
        <v>21450</v>
      </c>
      <c r="V14" s="409">
        <v>21518</v>
      </c>
      <c r="W14" s="409">
        <v>21581</v>
      </c>
      <c r="X14" s="409">
        <v>21611</v>
      </c>
      <c r="Y14" s="21">
        <v>21676</v>
      </c>
      <c r="Z14" s="409">
        <v>21743</v>
      </c>
      <c r="AA14" s="409">
        <v>21794</v>
      </c>
      <c r="AB14" s="409">
        <v>21870</v>
      </c>
      <c r="AC14" s="409">
        <v>21940</v>
      </c>
      <c r="AD14" s="409">
        <v>22019</v>
      </c>
      <c r="AE14" s="409">
        <v>22087</v>
      </c>
      <c r="AF14" s="409">
        <v>22129</v>
      </c>
      <c r="AG14" s="301">
        <f>AF14-AH14</f>
        <v>1862</v>
      </c>
      <c r="AH14" s="409">
        <v>20267</v>
      </c>
      <c r="AI14" s="299">
        <v>1862</v>
      </c>
      <c r="AJ14" s="299"/>
      <c r="AK14" s="410"/>
    </row>
    <row r="15" spans="1:37" ht="26.1" customHeight="1">
      <c r="A15" s="282" t="s">
        <v>67</v>
      </c>
      <c r="B15" s="409">
        <v>8618</v>
      </c>
      <c r="C15" s="409">
        <v>8618</v>
      </c>
      <c r="D15" s="409">
        <v>8618</v>
      </c>
      <c r="E15" s="409">
        <v>8618</v>
      </c>
      <c r="F15" s="409">
        <v>8618</v>
      </c>
      <c r="G15" s="409">
        <v>8618</v>
      </c>
      <c r="H15" s="409">
        <v>8618</v>
      </c>
      <c r="I15" s="409">
        <v>8618</v>
      </c>
      <c r="J15" s="409">
        <v>8618</v>
      </c>
      <c r="K15" s="409">
        <v>8618</v>
      </c>
      <c r="L15" s="409">
        <v>8618</v>
      </c>
      <c r="M15" s="409">
        <v>8618</v>
      </c>
      <c r="N15" s="409">
        <v>8618</v>
      </c>
      <c r="O15" s="409">
        <v>8618</v>
      </c>
      <c r="P15" s="409">
        <v>8618</v>
      </c>
      <c r="Q15" s="409">
        <v>8618</v>
      </c>
      <c r="R15" s="423">
        <v>8618</v>
      </c>
      <c r="S15" s="409">
        <v>8618</v>
      </c>
      <c r="T15" s="409">
        <v>8618</v>
      </c>
      <c r="U15" s="409">
        <v>8618</v>
      </c>
      <c r="V15" s="409">
        <v>8618</v>
      </c>
      <c r="W15" s="409">
        <v>8618</v>
      </c>
      <c r="X15" s="409">
        <v>8618</v>
      </c>
      <c r="Y15" s="21">
        <v>8618</v>
      </c>
      <c r="Z15" s="409">
        <v>8618</v>
      </c>
      <c r="AA15" s="409">
        <v>8618</v>
      </c>
      <c r="AB15" s="409">
        <v>8618</v>
      </c>
      <c r="AC15" s="409">
        <v>8618</v>
      </c>
      <c r="AD15" s="409">
        <v>8618</v>
      </c>
      <c r="AE15" s="409">
        <v>8618</v>
      </c>
      <c r="AF15" s="409">
        <v>8618</v>
      </c>
      <c r="AG15" s="301">
        <f t="shared" ref="AG15:AG29" si="0">AF15-AH15</f>
        <v>0</v>
      </c>
      <c r="AH15" s="409">
        <v>8618</v>
      </c>
      <c r="AI15" s="144">
        <v>0</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23">
        <v>12874</v>
      </c>
      <c r="S16" s="409">
        <v>12874</v>
      </c>
      <c r="T16" s="409">
        <v>12874</v>
      </c>
      <c r="U16" s="409">
        <v>12874</v>
      </c>
      <c r="V16" s="409">
        <v>12874</v>
      </c>
      <c r="W16" s="409">
        <v>12874</v>
      </c>
      <c r="X16" s="409">
        <v>12874</v>
      </c>
      <c r="Y16" s="21">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06"/>
      <c r="C17" s="406"/>
      <c r="D17" s="406"/>
      <c r="E17" s="406"/>
      <c r="F17" s="406"/>
      <c r="G17" s="406"/>
      <c r="H17" s="406"/>
      <c r="I17" s="406"/>
      <c r="J17" s="406"/>
      <c r="K17" s="406"/>
      <c r="L17" s="406"/>
      <c r="M17" s="406"/>
      <c r="N17" s="406"/>
      <c r="O17" s="406"/>
      <c r="P17" s="406"/>
      <c r="Q17" s="406"/>
      <c r="R17" s="423"/>
      <c r="S17" s="406"/>
      <c r="T17" s="406"/>
      <c r="U17" s="406"/>
      <c r="V17" s="406"/>
      <c r="W17" s="406"/>
      <c r="X17" s="406"/>
      <c r="Y17" s="21"/>
      <c r="Z17" s="406"/>
      <c r="AA17" s="406"/>
      <c r="AB17" s="406"/>
      <c r="AC17" s="406"/>
      <c r="AD17" s="406"/>
      <c r="AE17" s="406"/>
      <c r="AF17" s="406"/>
      <c r="AG17" s="301"/>
      <c r="AH17" s="406"/>
      <c r="AK17" s="411"/>
    </row>
    <row r="18" spans="1:37" ht="21.6" customHeight="1">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21"/>
      <c r="Z18" s="408" t="s">
        <v>64</v>
      </c>
      <c r="AA18" s="408" t="s">
        <v>64</v>
      </c>
      <c r="AB18" s="408" t="s">
        <v>64</v>
      </c>
      <c r="AC18" s="408" t="s">
        <v>64</v>
      </c>
      <c r="AD18" s="408" t="s">
        <v>64</v>
      </c>
      <c r="AE18" s="408" t="s">
        <v>64</v>
      </c>
      <c r="AF18" s="408" t="s">
        <v>64</v>
      </c>
      <c r="AG18" s="301"/>
      <c r="AH18" s="408" t="s">
        <v>64</v>
      </c>
      <c r="AK18" s="412"/>
    </row>
    <row r="19" spans="1:37" ht="26.1" customHeight="1">
      <c r="A19" s="282" t="s">
        <v>70</v>
      </c>
      <c r="B19" s="413">
        <v>87179</v>
      </c>
      <c r="C19" s="413">
        <v>87179</v>
      </c>
      <c r="D19" s="413">
        <v>87179</v>
      </c>
      <c r="E19" s="413">
        <v>87179</v>
      </c>
      <c r="F19" s="413">
        <v>87179</v>
      </c>
      <c r="G19" s="413">
        <v>87179</v>
      </c>
      <c r="H19" s="413">
        <v>87179</v>
      </c>
      <c r="I19" s="413">
        <v>87179</v>
      </c>
      <c r="J19" s="413">
        <v>87179</v>
      </c>
      <c r="K19" s="413">
        <v>87179</v>
      </c>
      <c r="L19" s="413">
        <v>87179</v>
      </c>
      <c r="M19" s="413">
        <v>87179</v>
      </c>
      <c r="N19" s="413">
        <v>87179</v>
      </c>
      <c r="O19" s="413">
        <v>87179</v>
      </c>
      <c r="P19" s="413">
        <v>87179</v>
      </c>
      <c r="Q19" s="413">
        <v>87179</v>
      </c>
      <c r="R19" s="423">
        <v>87179</v>
      </c>
      <c r="S19" s="413">
        <v>87179</v>
      </c>
      <c r="T19" s="413">
        <v>87179</v>
      </c>
      <c r="U19" s="413">
        <v>87179</v>
      </c>
      <c r="V19" s="413">
        <v>87179</v>
      </c>
      <c r="W19" s="413">
        <v>87179</v>
      </c>
      <c r="X19" s="413">
        <v>87179</v>
      </c>
      <c r="Y19" s="21">
        <v>87179</v>
      </c>
      <c r="Z19" s="413">
        <v>87179</v>
      </c>
      <c r="AA19" s="413">
        <v>87179</v>
      </c>
      <c r="AB19" s="413">
        <v>87179</v>
      </c>
      <c r="AC19" s="413">
        <v>87179</v>
      </c>
      <c r="AD19" s="413">
        <v>87179</v>
      </c>
      <c r="AE19" s="413">
        <v>87179</v>
      </c>
      <c r="AF19" s="413">
        <v>87179</v>
      </c>
      <c r="AG19" s="301">
        <f t="shared" si="0"/>
        <v>0</v>
      </c>
      <c r="AH19" s="413">
        <v>87179</v>
      </c>
      <c r="AI19" s="307">
        <v>0</v>
      </c>
      <c r="AJ19" s="307"/>
      <c r="AK19" s="410"/>
    </row>
    <row r="20" spans="1:37" ht="39" customHeight="1">
      <c r="A20" s="282" t="s">
        <v>2715</v>
      </c>
      <c r="B20" s="413">
        <v>8123</v>
      </c>
      <c r="C20" s="413">
        <v>8123</v>
      </c>
      <c r="D20" s="413">
        <v>8123</v>
      </c>
      <c r="E20" s="413">
        <v>8123</v>
      </c>
      <c r="F20" s="413">
        <v>8123</v>
      </c>
      <c r="G20" s="413">
        <v>8123</v>
      </c>
      <c r="H20" s="413">
        <v>8123</v>
      </c>
      <c r="I20" s="413">
        <v>8123</v>
      </c>
      <c r="J20" s="413">
        <v>8123</v>
      </c>
      <c r="K20" s="413">
        <v>8123</v>
      </c>
      <c r="L20" s="413">
        <v>8123</v>
      </c>
      <c r="M20" s="413">
        <v>8123</v>
      </c>
      <c r="N20" s="413">
        <v>8123</v>
      </c>
      <c r="O20" s="413">
        <v>8123</v>
      </c>
      <c r="P20" s="413">
        <v>8123</v>
      </c>
      <c r="Q20" s="413">
        <v>8123</v>
      </c>
      <c r="R20" s="423">
        <v>8123</v>
      </c>
      <c r="S20" s="413">
        <v>8123</v>
      </c>
      <c r="T20" s="413">
        <v>8123</v>
      </c>
      <c r="U20" s="413">
        <v>8123</v>
      </c>
      <c r="V20" s="413">
        <v>8123</v>
      </c>
      <c r="W20" s="413">
        <v>8123</v>
      </c>
      <c r="X20" s="413">
        <v>8123</v>
      </c>
      <c r="Y20" s="21">
        <v>8123</v>
      </c>
      <c r="Z20" s="413">
        <v>8123</v>
      </c>
      <c r="AA20" s="413">
        <v>8123</v>
      </c>
      <c r="AB20" s="413">
        <v>8123</v>
      </c>
      <c r="AC20" s="413">
        <v>8123</v>
      </c>
      <c r="AD20" s="413">
        <v>8123</v>
      </c>
      <c r="AE20" s="413">
        <v>8123</v>
      </c>
      <c r="AF20" s="413">
        <v>8123</v>
      </c>
      <c r="AG20" s="301">
        <f t="shared" si="0"/>
        <v>0</v>
      </c>
      <c r="AH20" s="413">
        <v>8123</v>
      </c>
      <c r="AI20" s="144">
        <v>0</v>
      </c>
      <c r="AJ20" s="307"/>
      <c r="AK20" s="414"/>
    </row>
    <row r="21" spans="1:37" ht="26.1" customHeight="1">
      <c r="A21" s="282" t="s">
        <v>72</v>
      </c>
      <c r="B21" s="409">
        <v>236005</v>
      </c>
      <c r="C21" s="409">
        <v>236037</v>
      </c>
      <c r="D21" s="409">
        <v>236087</v>
      </c>
      <c r="E21" s="409">
        <v>236124</v>
      </c>
      <c r="F21" s="409">
        <v>236148</v>
      </c>
      <c r="G21" s="409">
        <v>236193</v>
      </c>
      <c r="H21" s="409">
        <v>236225</v>
      </c>
      <c r="I21" s="409">
        <v>236258</v>
      </c>
      <c r="J21" s="409">
        <v>236305</v>
      </c>
      <c r="K21" s="409">
        <v>236338</v>
      </c>
      <c r="L21" s="409">
        <v>236375</v>
      </c>
      <c r="M21" s="409">
        <v>236416</v>
      </c>
      <c r="N21" s="409">
        <v>236454</v>
      </c>
      <c r="O21" s="409">
        <v>236498</v>
      </c>
      <c r="P21" s="409">
        <v>236545</v>
      </c>
      <c r="Q21" s="409">
        <v>236575</v>
      </c>
      <c r="R21" s="423">
        <v>234578</v>
      </c>
      <c r="S21" s="409">
        <v>234622</v>
      </c>
      <c r="T21" s="409">
        <v>234781</v>
      </c>
      <c r="U21" s="409">
        <v>234781</v>
      </c>
      <c r="V21" s="409">
        <v>234928</v>
      </c>
      <c r="W21" s="409">
        <v>235020</v>
      </c>
      <c r="X21" s="409">
        <v>235065</v>
      </c>
      <c r="Y21" s="21">
        <v>235160</v>
      </c>
      <c r="Z21" s="409">
        <v>235258</v>
      </c>
      <c r="AA21" s="409">
        <v>235373</v>
      </c>
      <c r="AB21" s="409">
        <v>235485</v>
      </c>
      <c r="AC21" s="409">
        <v>235566</v>
      </c>
      <c r="AD21" s="409">
        <v>235690</v>
      </c>
      <c r="AE21" s="409">
        <v>235752</v>
      </c>
      <c r="AF21" s="409">
        <v>235785</v>
      </c>
      <c r="AG21" s="301">
        <f t="shared" si="0"/>
        <v>159</v>
      </c>
      <c r="AH21" s="409">
        <v>235626</v>
      </c>
      <c r="AI21" s="144">
        <v>159</v>
      </c>
      <c r="AJ21" s="307"/>
      <c r="AK21" s="415"/>
    </row>
    <row r="22" spans="1:37">
      <c r="A22" s="282" t="s">
        <v>73</v>
      </c>
      <c r="B22" s="409">
        <v>233316</v>
      </c>
      <c r="C22" s="409">
        <v>233427</v>
      </c>
      <c r="D22" s="409">
        <v>233468</v>
      </c>
      <c r="E22" s="409">
        <v>233519</v>
      </c>
      <c r="F22" s="409">
        <v>233641</v>
      </c>
      <c r="G22" s="409">
        <v>233730</v>
      </c>
      <c r="H22" s="409">
        <v>233817</v>
      </c>
      <c r="I22" s="409">
        <v>233877</v>
      </c>
      <c r="J22" s="409">
        <v>233959</v>
      </c>
      <c r="K22" s="409">
        <v>233959</v>
      </c>
      <c r="L22" s="409">
        <v>234079</v>
      </c>
      <c r="M22" s="409">
        <v>234183</v>
      </c>
      <c r="N22" s="409">
        <v>234295</v>
      </c>
      <c r="O22" s="409">
        <v>234357</v>
      </c>
      <c r="P22" s="409">
        <v>234452</v>
      </c>
      <c r="Q22" s="409">
        <v>234537</v>
      </c>
      <c r="R22" s="423">
        <v>236610</v>
      </c>
      <c r="S22" s="409">
        <v>236652</v>
      </c>
      <c r="T22" s="409">
        <v>236690</v>
      </c>
      <c r="U22" s="409">
        <v>236735</v>
      </c>
      <c r="V22" s="409">
        <v>236773</v>
      </c>
      <c r="W22" s="409">
        <v>236773</v>
      </c>
      <c r="X22" s="409">
        <v>236863</v>
      </c>
      <c r="Y22" s="21">
        <v>236908</v>
      </c>
      <c r="Z22" s="409">
        <v>236958</v>
      </c>
      <c r="AA22" s="409">
        <v>237002</v>
      </c>
      <c r="AB22" s="409">
        <v>237031</v>
      </c>
      <c r="AC22" s="409">
        <v>237077</v>
      </c>
      <c r="AD22" s="409">
        <v>237115</v>
      </c>
      <c r="AE22" s="409">
        <v>237155</v>
      </c>
      <c r="AF22" s="409">
        <v>237179</v>
      </c>
      <c r="AG22" s="301">
        <f t="shared" si="0"/>
        <v>3968</v>
      </c>
      <c r="AH22" s="409">
        <v>233211</v>
      </c>
      <c r="AI22" s="144">
        <v>3968</v>
      </c>
      <c r="AJ22" s="307"/>
      <c r="AK22" s="415"/>
    </row>
    <row r="23" spans="1:37">
      <c r="A23" s="309" t="s">
        <v>136</v>
      </c>
      <c r="B23" s="409">
        <v>14020</v>
      </c>
      <c r="C23" s="409">
        <v>14027</v>
      </c>
      <c r="D23" s="409">
        <v>14031</v>
      </c>
      <c r="E23" s="409">
        <v>14034</v>
      </c>
      <c r="F23" s="409">
        <v>14039</v>
      </c>
      <c r="G23" s="409">
        <v>14049</v>
      </c>
      <c r="H23" s="409">
        <v>14058</v>
      </c>
      <c r="I23" s="409">
        <v>14068</v>
      </c>
      <c r="J23" s="409">
        <v>14078</v>
      </c>
      <c r="K23" s="409">
        <v>14083</v>
      </c>
      <c r="L23" s="409">
        <v>14087</v>
      </c>
      <c r="M23" s="409">
        <v>14091</v>
      </c>
      <c r="N23" s="409">
        <v>14103</v>
      </c>
      <c r="O23" s="409">
        <v>14113</v>
      </c>
      <c r="P23" s="409">
        <v>14123</v>
      </c>
      <c r="Q23" s="409">
        <v>14133</v>
      </c>
      <c r="R23" s="423">
        <v>14139</v>
      </c>
      <c r="S23" s="409">
        <v>14144</v>
      </c>
      <c r="T23" s="409">
        <v>14147</v>
      </c>
      <c r="U23" s="409">
        <v>14160</v>
      </c>
      <c r="V23" s="409">
        <v>14171</v>
      </c>
      <c r="W23" s="409">
        <v>14182</v>
      </c>
      <c r="X23" s="409">
        <v>14193</v>
      </c>
      <c r="Y23" s="21">
        <v>14198</v>
      </c>
      <c r="Z23" s="409">
        <v>14203</v>
      </c>
      <c r="AA23" s="409">
        <v>14205</v>
      </c>
      <c r="AB23" s="409">
        <v>14217</v>
      </c>
      <c r="AC23" s="409">
        <v>14228</v>
      </c>
      <c r="AD23" s="409">
        <v>14239</v>
      </c>
      <c r="AE23" s="409">
        <v>14250</v>
      </c>
      <c r="AF23" s="409">
        <v>14254</v>
      </c>
      <c r="AG23" s="301">
        <f t="shared" si="0"/>
        <v>240</v>
      </c>
      <c r="AH23" s="409">
        <v>14014</v>
      </c>
      <c r="AI23" s="144">
        <v>240</v>
      </c>
      <c r="AJ23" s="307"/>
      <c r="AK23" s="414"/>
    </row>
    <row r="24" spans="1:37">
      <c r="A24" s="309" t="s">
        <v>139</v>
      </c>
      <c r="B24" s="409">
        <v>9591</v>
      </c>
      <c r="C24" s="409">
        <v>9599</v>
      </c>
      <c r="D24" s="409">
        <v>9603</v>
      </c>
      <c r="E24" s="409">
        <v>9605</v>
      </c>
      <c r="F24" s="409">
        <v>9606</v>
      </c>
      <c r="G24" s="409">
        <v>9606</v>
      </c>
      <c r="H24" s="409">
        <v>9618</v>
      </c>
      <c r="I24" s="409">
        <v>9625</v>
      </c>
      <c r="J24" s="409">
        <v>9641</v>
      </c>
      <c r="K24" s="409">
        <v>9636</v>
      </c>
      <c r="L24" s="409">
        <v>9640</v>
      </c>
      <c r="M24" s="409">
        <v>9640</v>
      </c>
      <c r="N24" s="409">
        <v>9647</v>
      </c>
      <c r="O24" s="409">
        <v>9653</v>
      </c>
      <c r="P24" s="409">
        <v>9659</v>
      </c>
      <c r="Q24" s="409">
        <v>9664</v>
      </c>
      <c r="R24" s="423">
        <v>9667</v>
      </c>
      <c r="S24" s="409">
        <v>9670</v>
      </c>
      <c r="T24" s="409">
        <v>9670</v>
      </c>
      <c r="U24" s="409">
        <v>9677</v>
      </c>
      <c r="V24" s="409">
        <v>9684</v>
      </c>
      <c r="W24" s="409">
        <v>9690</v>
      </c>
      <c r="X24" s="409">
        <v>9697</v>
      </c>
      <c r="Y24" s="21">
        <v>9700</v>
      </c>
      <c r="Z24" s="409">
        <v>9703</v>
      </c>
      <c r="AA24" s="409">
        <v>9704</v>
      </c>
      <c r="AB24" s="409">
        <v>9711</v>
      </c>
      <c r="AC24" s="409">
        <v>9718</v>
      </c>
      <c r="AD24" s="409">
        <v>9727</v>
      </c>
      <c r="AE24" s="409">
        <v>9733</v>
      </c>
      <c r="AF24" s="409">
        <v>9738</v>
      </c>
      <c r="AG24" s="301">
        <f t="shared" si="0"/>
        <v>156</v>
      </c>
      <c r="AH24" s="409">
        <v>9582</v>
      </c>
      <c r="AI24" s="144">
        <v>156</v>
      </c>
      <c r="AJ24" s="307"/>
      <c r="AK24" s="414"/>
    </row>
    <row r="25" spans="1:37">
      <c r="A25" s="309" t="s">
        <v>142</v>
      </c>
      <c r="B25" s="409">
        <v>3922</v>
      </c>
      <c r="C25" s="409">
        <v>3922</v>
      </c>
      <c r="D25" s="409">
        <v>3922</v>
      </c>
      <c r="E25" s="409">
        <v>3924</v>
      </c>
      <c r="F25" s="409">
        <v>3924</v>
      </c>
      <c r="G25" s="409">
        <v>3927</v>
      </c>
      <c r="H25" s="409">
        <v>3931</v>
      </c>
      <c r="I25" s="409">
        <v>3936</v>
      </c>
      <c r="J25" s="409">
        <v>3936</v>
      </c>
      <c r="K25" s="409">
        <v>3943</v>
      </c>
      <c r="L25" s="409">
        <v>3945</v>
      </c>
      <c r="M25" s="409">
        <v>3945</v>
      </c>
      <c r="N25" s="409">
        <v>3952</v>
      </c>
      <c r="O25" s="409">
        <v>3958</v>
      </c>
      <c r="P25" s="409">
        <v>3962</v>
      </c>
      <c r="Q25" s="409">
        <v>3966</v>
      </c>
      <c r="R25" s="423">
        <v>3968</v>
      </c>
      <c r="S25" s="409">
        <v>3970</v>
      </c>
      <c r="T25" s="409">
        <v>3971</v>
      </c>
      <c r="U25" s="409">
        <v>3972</v>
      </c>
      <c r="V25" s="409">
        <v>3978</v>
      </c>
      <c r="W25" s="409">
        <v>3982</v>
      </c>
      <c r="X25" s="409">
        <v>3987</v>
      </c>
      <c r="Y25" s="21">
        <v>3990</v>
      </c>
      <c r="Z25" s="409">
        <v>3993</v>
      </c>
      <c r="AA25" s="409">
        <v>3993</v>
      </c>
      <c r="AB25" s="409">
        <v>3998</v>
      </c>
      <c r="AC25" s="409">
        <v>4002</v>
      </c>
      <c r="AD25" s="409">
        <v>4007</v>
      </c>
      <c r="AE25" s="409">
        <v>4015</v>
      </c>
      <c r="AF25" s="409">
        <v>4015</v>
      </c>
      <c r="AG25" s="301">
        <f t="shared" si="0"/>
        <v>94</v>
      </c>
      <c r="AH25" s="409">
        <v>3921</v>
      </c>
      <c r="AI25" s="144">
        <v>94</v>
      </c>
      <c r="AJ25" s="307"/>
      <c r="AK25" s="414"/>
    </row>
    <row r="26" spans="1:37">
      <c r="A26" s="309" t="s">
        <v>145</v>
      </c>
      <c r="B26" s="409">
        <v>2276</v>
      </c>
      <c r="C26" s="409">
        <v>2278</v>
      </c>
      <c r="D26" s="409">
        <v>2279</v>
      </c>
      <c r="E26" s="409">
        <v>2280</v>
      </c>
      <c r="F26" s="409">
        <v>2280</v>
      </c>
      <c r="G26" s="409">
        <v>2282</v>
      </c>
      <c r="H26" s="409">
        <v>2285</v>
      </c>
      <c r="I26" s="409">
        <v>2287</v>
      </c>
      <c r="J26" s="409">
        <v>2289</v>
      </c>
      <c r="K26" s="409">
        <v>2290</v>
      </c>
      <c r="L26" s="409">
        <v>2291</v>
      </c>
      <c r="M26" s="409">
        <v>2293</v>
      </c>
      <c r="N26" s="409">
        <v>2295</v>
      </c>
      <c r="O26" s="409">
        <v>2298</v>
      </c>
      <c r="P26" s="409">
        <v>2300</v>
      </c>
      <c r="Q26" s="409">
        <v>2302</v>
      </c>
      <c r="R26" s="423">
        <v>2303</v>
      </c>
      <c r="S26" s="409">
        <v>2304</v>
      </c>
      <c r="T26" s="409">
        <v>2305</v>
      </c>
      <c r="U26" s="409">
        <v>2308</v>
      </c>
      <c r="V26" s="409">
        <v>2311</v>
      </c>
      <c r="W26" s="409">
        <v>2313</v>
      </c>
      <c r="X26" s="409">
        <v>2316</v>
      </c>
      <c r="Y26" s="21">
        <v>2317</v>
      </c>
      <c r="Z26" s="409">
        <v>2318</v>
      </c>
      <c r="AA26" s="409">
        <v>2318</v>
      </c>
      <c r="AB26" s="409">
        <v>2321</v>
      </c>
      <c r="AC26" s="409">
        <v>2323</v>
      </c>
      <c r="AD26" s="409">
        <v>2326</v>
      </c>
      <c r="AE26" s="409">
        <v>2328</v>
      </c>
      <c r="AF26" s="409">
        <v>2329</v>
      </c>
      <c r="AG26" s="301">
        <f t="shared" si="0"/>
        <v>56</v>
      </c>
      <c r="AH26" s="409">
        <v>2273</v>
      </c>
      <c r="AI26" s="144">
        <v>56</v>
      </c>
      <c r="AJ26" s="307"/>
      <c r="AK26" s="414"/>
    </row>
    <row r="27" spans="1:37">
      <c r="A27" s="309" t="s">
        <v>148</v>
      </c>
      <c r="B27" s="409">
        <v>15461</v>
      </c>
      <c r="C27" s="409">
        <v>15468</v>
      </c>
      <c r="D27" s="409">
        <v>15474</v>
      </c>
      <c r="E27" s="409">
        <v>15477</v>
      </c>
      <c r="F27" s="409">
        <v>15478</v>
      </c>
      <c r="G27" s="409">
        <v>15478</v>
      </c>
      <c r="H27" s="409">
        <v>15504</v>
      </c>
      <c r="I27" s="409">
        <v>15516</v>
      </c>
      <c r="J27" s="409">
        <v>15528</v>
      </c>
      <c r="K27" s="409">
        <v>15536</v>
      </c>
      <c r="L27" s="409">
        <v>15542</v>
      </c>
      <c r="M27" s="409">
        <v>15546</v>
      </c>
      <c r="N27" s="409">
        <v>15559</v>
      </c>
      <c r="O27" s="409">
        <v>15572</v>
      </c>
      <c r="P27" s="409">
        <v>15584</v>
      </c>
      <c r="Q27" s="409">
        <v>15595</v>
      </c>
      <c r="R27" s="423">
        <v>15601</v>
      </c>
      <c r="S27" s="409">
        <v>15606</v>
      </c>
      <c r="T27" s="409">
        <v>15609</v>
      </c>
      <c r="U27" s="409">
        <v>15620</v>
      </c>
      <c r="V27" s="409">
        <v>15631</v>
      </c>
      <c r="W27" s="409">
        <v>15642</v>
      </c>
      <c r="X27" s="409">
        <v>15653</v>
      </c>
      <c r="Y27" s="21">
        <v>15658</v>
      </c>
      <c r="Z27" s="409">
        <v>15663</v>
      </c>
      <c r="AA27" s="409">
        <v>15665</v>
      </c>
      <c r="AB27" s="409">
        <v>15676</v>
      </c>
      <c r="AC27" s="409">
        <v>15691</v>
      </c>
      <c r="AD27" s="409">
        <v>15702</v>
      </c>
      <c r="AE27" s="409">
        <v>15715</v>
      </c>
      <c r="AF27" s="409">
        <v>15720</v>
      </c>
      <c r="AG27" s="301">
        <f t="shared" si="0"/>
        <v>268</v>
      </c>
      <c r="AH27" s="409">
        <v>15452</v>
      </c>
      <c r="AI27" s="144">
        <v>268</v>
      </c>
      <c r="AJ27" s="307"/>
      <c r="AK27" s="414"/>
    </row>
    <row r="28" spans="1:37" ht="15.6" customHeight="1">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23">
        <v>1339</v>
      </c>
      <c r="S28" s="409">
        <v>1339</v>
      </c>
      <c r="T28" s="409">
        <v>1339</v>
      </c>
      <c r="U28" s="409">
        <v>1339</v>
      </c>
      <c r="V28" s="409">
        <v>1339</v>
      </c>
      <c r="W28" s="409">
        <v>1339</v>
      </c>
      <c r="X28" s="409">
        <v>1339</v>
      </c>
      <c r="Y28" s="21">
        <v>1339</v>
      </c>
      <c r="Z28" s="409">
        <v>1339</v>
      </c>
      <c r="AA28" s="409">
        <v>1339</v>
      </c>
      <c r="AB28" s="409">
        <v>1339</v>
      </c>
      <c r="AC28" s="409">
        <v>1339</v>
      </c>
      <c r="AD28" s="409">
        <v>1339</v>
      </c>
      <c r="AE28" s="409">
        <v>1339</v>
      </c>
      <c r="AF28" s="409">
        <v>1339</v>
      </c>
      <c r="AG28" s="301">
        <f t="shared" si="0"/>
        <v>0</v>
      </c>
      <c r="AH28" s="409">
        <v>1339</v>
      </c>
      <c r="AI28" s="144">
        <v>0</v>
      </c>
      <c r="AJ28" s="307"/>
      <c r="AK28" s="414"/>
    </row>
    <row r="29" spans="1:37">
      <c r="A29" s="309" t="s">
        <v>154</v>
      </c>
      <c r="B29" s="409">
        <v>1118</v>
      </c>
      <c r="C29" s="409">
        <v>1121</v>
      </c>
      <c r="D29" s="409">
        <v>1122</v>
      </c>
      <c r="E29" s="409">
        <v>1123</v>
      </c>
      <c r="F29" s="409">
        <v>1123</v>
      </c>
      <c r="G29" s="409">
        <v>1125</v>
      </c>
      <c r="H29" s="409">
        <v>1126</v>
      </c>
      <c r="I29" s="409">
        <v>1127</v>
      </c>
      <c r="J29" s="409">
        <v>1128</v>
      </c>
      <c r="K29" s="409">
        <v>1129</v>
      </c>
      <c r="L29" s="409">
        <v>1129</v>
      </c>
      <c r="M29" s="409">
        <v>1130</v>
      </c>
      <c r="N29" s="409">
        <v>1131</v>
      </c>
      <c r="O29" s="409">
        <v>1132</v>
      </c>
      <c r="P29" s="409">
        <v>1134</v>
      </c>
      <c r="Q29" s="409">
        <v>1134</v>
      </c>
      <c r="R29" s="423">
        <v>1135</v>
      </c>
      <c r="S29" s="409">
        <v>1136</v>
      </c>
      <c r="T29" s="409">
        <v>1137</v>
      </c>
      <c r="U29" s="409">
        <v>1138</v>
      </c>
      <c r="V29" s="409">
        <v>1138</v>
      </c>
      <c r="W29" s="409">
        <v>1141</v>
      </c>
      <c r="X29" s="409">
        <v>1142</v>
      </c>
      <c r="Y29" s="21">
        <v>1142</v>
      </c>
      <c r="Z29" s="409">
        <v>1143</v>
      </c>
      <c r="AA29" s="409">
        <v>1144</v>
      </c>
      <c r="AB29" s="409">
        <v>1145</v>
      </c>
      <c r="AC29" s="409">
        <v>1147</v>
      </c>
      <c r="AD29" s="409">
        <v>1148</v>
      </c>
      <c r="AE29" s="409">
        <v>1149</v>
      </c>
      <c r="AF29" s="409">
        <v>1150</v>
      </c>
      <c r="AG29" s="301">
        <f t="shared" si="0"/>
        <v>31</v>
      </c>
      <c r="AH29" s="409">
        <v>1119</v>
      </c>
      <c r="AI29" s="144">
        <v>31</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ht="21.95" customHeight="1">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25.5">
      <c r="A32" s="282" t="s">
        <v>77</v>
      </c>
      <c r="B32" s="416" t="s">
        <v>78</v>
      </c>
      <c r="C32" s="416" t="s">
        <v>78</v>
      </c>
      <c r="D32" s="416" t="s">
        <v>78</v>
      </c>
      <c r="E32" s="416" t="s">
        <v>78</v>
      </c>
      <c r="F32" s="416" t="s">
        <v>78</v>
      </c>
      <c r="G32" s="416" t="s">
        <v>78</v>
      </c>
      <c r="H32" s="416" t="s">
        <v>78</v>
      </c>
      <c r="I32" s="416" t="s">
        <v>78</v>
      </c>
      <c r="J32" s="416" t="s">
        <v>78</v>
      </c>
      <c r="K32" s="416" t="s">
        <v>78</v>
      </c>
      <c r="L32" s="416" t="s">
        <v>78</v>
      </c>
      <c r="M32" s="416" t="s">
        <v>78</v>
      </c>
      <c r="N32" s="416" t="s">
        <v>78</v>
      </c>
      <c r="O32" s="416" t="s">
        <v>78</v>
      </c>
      <c r="P32" s="416" t="s">
        <v>78</v>
      </c>
      <c r="Q32" s="424" t="s">
        <v>2794</v>
      </c>
      <c r="R32" s="424" t="s">
        <v>2794</v>
      </c>
      <c r="S32" s="424" t="s">
        <v>2794</v>
      </c>
      <c r="T32" s="424" t="s">
        <v>2794</v>
      </c>
      <c r="U32" s="424" t="s">
        <v>2794</v>
      </c>
      <c r="V32" s="424" t="s">
        <v>2794</v>
      </c>
      <c r="W32" s="424" t="s">
        <v>2794</v>
      </c>
      <c r="X32" s="424" t="s">
        <v>2794</v>
      </c>
      <c r="Y32" s="424" t="s">
        <v>2794</v>
      </c>
      <c r="Z32" s="424" t="s">
        <v>2794</v>
      </c>
      <c r="AA32" s="424" t="s">
        <v>2794</v>
      </c>
      <c r="AB32" s="424" t="s">
        <v>2794</v>
      </c>
      <c r="AC32" s="424" t="s">
        <v>2794</v>
      </c>
      <c r="AD32" s="424" t="s">
        <v>2794</v>
      </c>
      <c r="AE32" s="424" t="s">
        <v>2794</v>
      </c>
      <c r="AF32" s="424" t="s">
        <v>2794</v>
      </c>
      <c r="AG32" s="301"/>
      <c r="AH32" s="416" t="s">
        <v>78</v>
      </c>
    </row>
    <row r="33" spans="1:34" ht="25.5">
      <c r="A33" s="282" t="s">
        <v>80</v>
      </c>
      <c r="B33" s="424" t="s">
        <v>2794</v>
      </c>
      <c r="C33" s="424" t="s">
        <v>2794</v>
      </c>
      <c r="D33" s="424" t="s">
        <v>2794</v>
      </c>
      <c r="E33" s="424" t="s">
        <v>2794</v>
      </c>
      <c r="F33" s="424" t="s">
        <v>2794</v>
      </c>
      <c r="G33" s="424" t="s">
        <v>2794</v>
      </c>
      <c r="H33" s="424" t="s">
        <v>2794</v>
      </c>
      <c r="I33" s="424" t="s">
        <v>2794</v>
      </c>
      <c r="J33" s="424" t="s">
        <v>2794</v>
      </c>
      <c r="K33" s="424" t="s">
        <v>2794</v>
      </c>
      <c r="L33" s="424" t="s">
        <v>2794</v>
      </c>
      <c r="M33" s="424" t="s">
        <v>2794</v>
      </c>
      <c r="N33" s="424" t="s">
        <v>2794</v>
      </c>
      <c r="O33" s="424" t="s">
        <v>2794</v>
      </c>
      <c r="P33" s="424" t="s">
        <v>2794</v>
      </c>
      <c r="Q33" s="424" t="s">
        <v>2794</v>
      </c>
      <c r="R33" s="424" t="s">
        <v>2794</v>
      </c>
      <c r="S33" s="424" t="s">
        <v>2794</v>
      </c>
      <c r="T33" s="424" t="s">
        <v>2794</v>
      </c>
      <c r="U33" s="424" t="s">
        <v>2794</v>
      </c>
      <c r="V33" s="424" t="s">
        <v>2794</v>
      </c>
      <c r="W33" s="424" t="s">
        <v>2794</v>
      </c>
      <c r="X33" s="424" t="s">
        <v>2794</v>
      </c>
      <c r="Y33" s="424" t="s">
        <v>2794</v>
      </c>
      <c r="Z33" s="424" t="s">
        <v>2794</v>
      </c>
      <c r="AA33" s="424" t="s">
        <v>2794</v>
      </c>
      <c r="AB33" s="424" t="s">
        <v>2794</v>
      </c>
      <c r="AC33" s="424" t="s">
        <v>2794</v>
      </c>
      <c r="AD33" s="424" t="s">
        <v>2794</v>
      </c>
      <c r="AE33" s="424" t="s">
        <v>2794</v>
      </c>
      <c r="AF33" s="424" t="s">
        <v>2794</v>
      </c>
      <c r="AG33" s="301"/>
      <c r="AH33" s="424" t="s">
        <v>2794</v>
      </c>
    </row>
    <row r="34" spans="1:34" ht="15.75" thickBot="1">
      <c r="A34" s="310" t="s">
        <v>81</v>
      </c>
      <c r="B34" s="417" t="s">
        <v>2812</v>
      </c>
      <c r="C34" s="417" t="s">
        <v>2812</v>
      </c>
      <c r="D34" s="417" t="s">
        <v>2812</v>
      </c>
      <c r="E34" s="417" t="s">
        <v>2812</v>
      </c>
      <c r="F34" s="417" t="s">
        <v>2812</v>
      </c>
      <c r="G34" s="417" t="s">
        <v>2812</v>
      </c>
      <c r="H34" s="417" t="s">
        <v>2812</v>
      </c>
      <c r="I34" s="417" t="s">
        <v>2812</v>
      </c>
      <c r="J34" s="417" t="s">
        <v>2812</v>
      </c>
      <c r="K34" s="417" t="s">
        <v>2812</v>
      </c>
      <c r="L34" s="417" t="s">
        <v>2812</v>
      </c>
      <c r="M34" s="417" t="s">
        <v>2812</v>
      </c>
      <c r="N34" s="417" t="s">
        <v>2812</v>
      </c>
      <c r="O34" s="417" t="s">
        <v>2812</v>
      </c>
      <c r="P34" s="417" t="s">
        <v>2812</v>
      </c>
      <c r="Q34" s="417" t="s">
        <v>2812</v>
      </c>
      <c r="R34" s="417" t="s">
        <v>2812</v>
      </c>
      <c r="S34" s="417" t="s">
        <v>2812</v>
      </c>
      <c r="T34" s="417" t="s">
        <v>2812</v>
      </c>
      <c r="U34" s="417" t="s">
        <v>2812</v>
      </c>
      <c r="V34" s="417" t="s">
        <v>2812</v>
      </c>
      <c r="W34" s="417" t="s">
        <v>2812</v>
      </c>
      <c r="X34" s="417" t="s">
        <v>2812</v>
      </c>
      <c r="Y34" s="417" t="s">
        <v>2812</v>
      </c>
      <c r="Z34" s="417" t="s">
        <v>2812</v>
      </c>
      <c r="AA34" s="417" t="s">
        <v>2812</v>
      </c>
      <c r="AB34" s="417" t="s">
        <v>2812</v>
      </c>
      <c r="AC34" s="417" t="s">
        <v>2812</v>
      </c>
      <c r="AD34" s="417" t="s">
        <v>2812</v>
      </c>
      <c r="AE34" s="417" t="s">
        <v>2812</v>
      </c>
      <c r="AF34" s="417" t="s">
        <v>2812</v>
      </c>
      <c r="AG34" s="301"/>
      <c r="AH34" s="417" t="s">
        <v>2812</v>
      </c>
    </row>
    <row r="35" spans="1:34">
      <c r="AG35" s="211"/>
    </row>
    <row r="36" spans="1:34">
      <c r="AG36" s="211"/>
    </row>
  </sheetData>
  <mergeCells count="1">
    <mergeCell ref="A1:AH1"/>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46E0-822F-49F2-AA8D-069FE55FC73C}">
  <dimension ref="A1:AH36"/>
  <sheetViews>
    <sheetView topLeftCell="O1" workbookViewId="0">
      <selection activeCell="AF22" sqref="AF22"/>
    </sheetView>
  </sheetViews>
  <sheetFormatPr defaultColWidth="9.140625" defaultRowHeight="15"/>
  <cols>
    <col min="1" max="1" width="34.42578125" style="144" customWidth="1"/>
    <col min="2" max="2" width="13" style="144" customWidth="1"/>
    <col min="3" max="21" width="12.85546875" style="144" customWidth="1"/>
    <col min="22" max="22" width="12.85546875" style="312" customWidth="1"/>
    <col min="23" max="29" width="12.85546875" style="144" customWidth="1"/>
    <col min="30" max="30" width="15.7109375" style="144" customWidth="1"/>
    <col min="31" max="31" width="12.85546875" style="144" customWidth="1"/>
    <col min="32" max="32" width="9.140625" style="144"/>
    <col min="33" max="33" width="10" style="144" bestFit="1" customWidth="1"/>
    <col min="34" max="34" width="13.85546875" style="144" customWidth="1"/>
    <col min="35" max="35" width="14.85546875" style="144" customWidth="1"/>
    <col min="36" max="16384" width="9.140625" style="144"/>
  </cols>
  <sheetData>
    <row r="1" spans="1:34"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row>
    <row r="2" spans="1:34" ht="15.75">
      <c r="A2" s="280"/>
      <c r="B2" s="281">
        <v>45689</v>
      </c>
      <c r="C2" s="281">
        <v>45690</v>
      </c>
      <c r="D2" s="281">
        <v>45691</v>
      </c>
      <c r="E2" s="281">
        <v>45692</v>
      </c>
      <c r="F2" s="281">
        <v>45693</v>
      </c>
      <c r="G2" s="281">
        <v>45694</v>
      </c>
      <c r="H2" s="281">
        <v>45695</v>
      </c>
      <c r="I2" s="281">
        <v>45696</v>
      </c>
      <c r="J2" s="281">
        <v>45697</v>
      </c>
      <c r="K2" s="281">
        <v>45698</v>
      </c>
      <c r="L2" s="281">
        <v>45699</v>
      </c>
      <c r="M2" s="281">
        <v>45700</v>
      </c>
      <c r="N2" s="281">
        <v>45701</v>
      </c>
      <c r="O2" s="281">
        <v>45702</v>
      </c>
      <c r="P2" s="281">
        <v>45703</v>
      </c>
      <c r="Q2" s="281">
        <v>45704</v>
      </c>
      <c r="R2" s="281">
        <v>45705</v>
      </c>
      <c r="S2" s="281">
        <v>45706</v>
      </c>
      <c r="T2" s="281">
        <v>45707</v>
      </c>
      <c r="U2" s="281">
        <v>45708</v>
      </c>
      <c r="V2" s="281">
        <v>45709</v>
      </c>
      <c r="W2" s="281">
        <v>45710</v>
      </c>
      <c r="X2" s="281">
        <v>45711</v>
      </c>
      <c r="Y2" s="281">
        <v>45712</v>
      </c>
      <c r="Z2" s="281">
        <v>45713</v>
      </c>
      <c r="AA2" s="281">
        <v>45714</v>
      </c>
      <c r="AB2" s="281">
        <v>45715</v>
      </c>
      <c r="AC2" s="281">
        <v>45716</v>
      </c>
      <c r="AD2" s="281"/>
      <c r="AE2" s="281">
        <v>45688</v>
      </c>
    </row>
    <row r="3" spans="1:34"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71"/>
      <c r="AE3" s="283" t="s">
        <v>52</v>
      </c>
    </row>
    <row r="4" spans="1:34" ht="20.100000000000001" customHeight="1">
      <c r="A4" s="285" t="s">
        <v>54</v>
      </c>
      <c r="B4" s="420">
        <v>456256</v>
      </c>
      <c r="C4" s="420">
        <v>456476</v>
      </c>
      <c r="D4" s="420">
        <v>456702</v>
      </c>
      <c r="E4" s="420">
        <v>456926</v>
      </c>
      <c r="F4" s="420">
        <v>457155</v>
      </c>
      <c r="G4" s="420">
        <v>457382</v>
      </c>
      <c r="H4" s="426">
        <v>457602</v>
      </c>
      <c r="I4" s="420">
        <v>457847</v>
      </c>
      <c r="J4" s="420">
        <v>458055</v>
      </c>
      <c r="K4" s="420">
        <v>458284</v>
      </c>
      <c r="L4" s="21">
        <v>458535</v>
      </c>
      <c r="M4" s="420">
        <v>458745</v>
      </c>
      <c r="N4" s="420">
        <v>458973</v>
      </c>
      <c r="O4" s="423">
        <v>459205</v>
      </c>
      <c r="P4" s="420">
        <v>459406</v>
      </c>
      <c r="Q4" s="420">
        <v>459633</v>
      </c>
      <c r="R4" s="420">
        <v>459858</v>
      </c>
      <c r="S4" s="420">
        <v>460088</v>
      </c>
      <c r="T4" s="420">
        <v>460309</v>
      </c>
      <c r="U4" s="420">
        <v>460546</v>
      </c>
      <c r="V4" s="423">
        <v>460747</v>
      </c>
      <c r="W4" s="420">
        <v>460977</v>
      </c>
      <c r="X4" s="420">
        <v>461198</v>
      </c>
      <c r="Y4" s="420">
        <v>461424</v>
      </c>
      <c r="Z4" s="420">
        <v>461653</v>
      </c>
      <c r="AA4" s="420">
        <v>461885</v>
      </c>
      <c r="AB4" s="420">
        <v>462120</v>
      </c>
      <c r="AC4" s="423">
        <v>462352</v>
      </c>
      <c r="AD4" s="290"/>
      <c r="AE4" s="420">
        <v>455919</v>
      </c>
      <c r="AF4" s="288"/>
    </row>
    <row r="5" spans="1:34" ht="20.100000000000001" customHeight="1">
      <c r="A5" s="285" t="s">
        <v>55</v>
      </c>
      <c r="B5" s="420">
        <v>12779888</v>
      </c>
      <c r="C5" s="420">
        <v>12785755</v>
      </c>
      <c r="D5" s="420">
        <v>12792489</v>
      </c>
      <c r="E5" s="420">
        <v>12799134</v>
      </c>
      <c r="F5" s="420">
        <v>12805812</v>
      </c>
      <c r="G5" s="420">
        <v>12812599</v>
      </c>
      <c r="H5" s="426">
        <v>12819394</v>
      </c>
      <c r="I5" s="420">
        <v>12825330</v>
      </c>
      <c r="J5" s="420">
        <v>12830875</v>
      </c>
      <c r="K5" s="420">
        <v>12837664</v>
      </c>
      <c r="L5" s="21">
        <v>12845790</v>
      </c>
      <c r="M5" s="420">
        <v>12850988</v>
      </c>
      <c r="N5" s="420">
        <v>12857937</v>
      </c>
      <c r="O5" s="423">
        <v>12864604</v>
      </c>
      <c r="P5" s="420">
        <v>12870597</v>
      </c>
      <c r="Q5" s="420">
        <v>12876982</v>
      </c>
      <c r="R5" s="420">
        <v>12883693</v>
      </c>
      <c r="S5" s="420">
        <v>12891111</v>
      </c>
      <c r="T5" s="420">
        <v>12897913</v>
      </c>
      <c r="U5" s="420">
        <v>12905232</v>
      </c>
      <c r="V5" s="423">
        <v>12912091</v>
      </c>
      <c r="W5" s="420">
        <v>12918091</v>
      </c>
      <c r="X5" s="420">
        <v>12924579</v>
      </c>
      <c r="Y5" s="420">
        <v>12931843</v>
      </c>
      <c r="Z5" s="420">
        <v>12938712</v>
      </c>
      <c r="AA5" s="420">
        <v>12945759</v>
      </c>
      <c r="AB5" s="420">
        <v>12952710</v>
      </c>
      <c r="AC5" s="423">
        <v>12959189</v>
      </c>
      <c r="AD5" s="290"/>
      <c r="AE5" s="420">
        <v>12773535</v>
      </c>
      <c r="AF5" s="288"/>
    </row>
    <row r="6" spans="1:34" ht="20.100000000000001" customHeight="1">
      <c r="A6" s="285" t="s">
        <v>56</v>
      </c>
      <c r="B6" s="420">
        <v>5953560</v>
      </c>
      <c r="C6" s="420">
        <v>5956409</v>
      </c>
      <c r="D6" s="420">
        <v>5959378</v>
      </c>
      <c r="E6" s="420">
        <v>5962209</v>
      </c>
      <c r="F6" s="420">
        <v>5965308</v>
      </c>
      <c r="G6" s="420">
        <v>5968108</v>
      </c>
      <c r="H6" s="426">
        <v>5970858</v>
      </c>
      <c r="I6" s="420">
        <v>5974140</v>
      </c>
      <c r="J6" s="420">
        <v>5976836</v>
      </c>
      <c r="K6" s="420">
        <v>5979799</v>
      </c>
      <c r="L6" s="21">
        <v>5983394</v>
      </c>
      <c r="M6" s="420">
        <v>5985594</v>
      </c>
      <c r="N6" s="420">
        <v>5988620</v>
      </c>
      <c r="O6" s="423">
        <v>5991893</v>
      </c>
      <c r="P6" s="420">
        <v>5993903</v>
      </c>
      <c r="Q6" s="420">
        <v>5996633</v>
      </c>
      <c r="R6" s="420">
        <v>5999717</v>
      </c>
      <c r="S6" s="420">
        <v>6002642</v>
      </c>
      <c r="T6" s="420">
        <v>6005450</v>
      </c>
      <c r="U6" s="420">
        <v>6008499</v>
      </c>
      <c r="V6" s="423">
        <v>6011103</v>
      </c>
      <c r="W6" s="420">
        <v>6013403</v>
      </c>
      <c r="X6" s="420">
        <v>6015970</v>
      </c>
      <c r="Y6" s="420">
        <v>6018957</v>
      </c>
      <c r="Z6" s="420">
        <v>6022053</v>
      </c>
      <c r="AA6" s="420">
        <v>6025285</v>
      </c>
      <c r="AB6" s="420">
        <v>6028533</v>
      </c>
      <c r="AC6" s="423">
        <v>6031431</v>
      </c>
      <c r="AD6" s="290"/>
      <c r="AE6" s="420">
        <v>5950528</v>
      </c>
      <c r="AF6" s="288"/>
    </row>
    <row r="7" spans="1:34" ht="20.100000000000001" customHeight="1">
      <c r="A7" s="285" t="s">
        <v>57</v>
      </c>
      <c r="B7" s="420">
        <v>341155</v>
      </c>
      <c r="C7" s="420">
        <v>346418</v>
      </c>
      <c r="D7" s="420">
        <v>352335</v>
      </c>
      <c r="E7" s="420">
        <v>358206</v>
      </c>
      <c r="F7" s="420">
        <v>364166</v>
      </c>
      <c r="G7" s="420">
        <v>370172</v>
      </c>
      <c r="H7" s="426">
        <v>376162</v>
      </c>
      <c r="I7" s="420">
        <v>382074</v>
      </c>
      <c r="J7" s="420">
        <v>382148</v>
      </c>
      <c r="K7" s="420">
        <v>382229</v>
      </c>
      <c r="L7" s="21">
        <v>382317</v>
      </c>
      <c r="M7" s="420">
        <v>382392</v>
      </c>
      <c r="N7" s="420">
        <v>382473</v>
      </c>
      <c r="O7" s="423">
        <v>382559</v>
      </c>
      <c r="P7" s="420">
        <v>382631</v>
      </c>
      <c r="Q7" s="420">
        <v>382715</v>
      </c>
      <c r="R7" s="420">
        <v>382794</v>
      </c>
      <c r="S7" s="420">
        <v>382874</v>
      </c>
      <c r="T7" s="420">
        <v>382952</v>
      </c>
      <c r="U7" s="420">
        <v>383033</v>
      </c>
      <c r="V7" s="423">
        <v>383230</v>
      </c>
      <c r="W7" s="420">
        <v>383370</v>
      </c>
      <c r="X7" s="420">
        <v>389319</v>
      </c>
      <c r="Y7" s="420">
        <v>395504</v>
      </c>
      <c r="Z7" s="420">
        <v>401484</v>
      </c>
      <c r="AA7" s="420">
        <v>407439</v>
      </c>
      <c r="AB7" s="420">
        <v>413401</v>
      </c>
      <c r="AC7" s="423">
        <v>419161</v>
      </c>
      <c r="AD7" s="290"/>
      <c r="AE7" s="420">
        <v>334517</v>
      </c>
      <c r="AF7" s="288"/>
    </row>
    <row r="8" spans="1:34" ht="20.100000000000001" customHeight="1">
      <c r="A8" s="285" t="s">
        <v>58</v>
      </c>
      <c r="B8" s="420">
        <v>359705</v>
      </c>
      <c r="C8" s="420">
        <v>360016</v>
      </c>
      <c r="D8" s="420">
        <v>360105</v>
      </c>
      <c r="E8" s="420">
        <v>360194</v>
      </c>
      <c r="F8" s="420">
        <v>360282</v>
      </c>
      <c r="G8" s="420">
        <v>360371</v>
      </c>
      <c r="H8" s="426">
        <v>360466</v>
      </c>
      <c r="I8" s="420">
        <v>361204</v>
      </c>
      <c r="J8" s="420">
        <v>365857</v>
      </c>
      <c r="K8" s="420">
        <v>371161</v>
      </c>
      <c r="L8" s="21">
        <v>376887</v>
      </c>
      <c r="M8" s="420">
        <v>381687</v>
      </c>
      <c r="N8" s="420">
        <v>387406</v>
      </c>
      <c r="O8" s="423">
        <v>393410</v>
      </c>
      <c r="P8" s="420">
        <v>398525</v>
      </c>
      <c r="Q8" s="420">
        <v>404249</v>
      </c>
      <c r="R8" s="420">
        <v>409945</v>
      </c>
      <c r="S8" s="420">
        <v>415989</v>
      </c>
      <c r="T8" s="420">
        <v>421594</v>
      </c>
      <c r="U8" s="420">
        <v>427645</v>
      </c>
      <c r="V8" s="423">
        <v>433734</v>
      </c>
      <c r="W8" s="420">
        <v>438834</v>
      </c>
      <c r="X8" s="420">
        <v>438924</v>
      </c>
      <c r="Y8" s="420">
        <v>439012</v>
      </c>
      <c r="Z8" s="420">
        <v>439102</v>
      </c>
      <c r="AA8" s="420">
        <v>439195</v>
      </c>
      <c r="AB8" s="420">
        <v>439288</v>
      </c>
      <c r="AC8" s="423">
        <v>439392</v>
      </c>
      <c r="AD8" s="290"/>
      <c r="AE8" s="420">
        <v>359617</v>
      </c>
      <c r="AF8" s="288"/>
    </row>
    <row r="9" spans="1:34" ht="20.100000000000001" customHeight="1">
      <c r="A9" s="285" t="s">
        <v>59</v>
      </c>
      <c r="B9" s="420">
        <v>550360</v>
      </c>
      <c r="C9" s="420">
        <v>555049</v>
      </c>
      <c r="D9" s="420">
        <v>560064</v>
      </c>
      <c r="E9" s="420">
        <v>565061</v>
      </c>
      <c r="F9" s="420">
        <v>570122</v>
      </c>
      <c r="G9" s="420">
        <v>575253</v>
      </c>
      <c r="H9" s="426">
        <v>580353</v>
      </c>
      <c r="I9" s="420">
        <v>585756</v>
      </c>
      <c r="J9" s="420">
        <v>590317</v>
      </c>
      <c r="K9" s="420">
        <v>595287</v>
      </c>
      <c r="L9" s="21">
        <v>600862</v>
      </c>
      <c r="M9" s="420">
        <v>605162</v>
      </c>
      <c r="N9" s="420">
        <v>610414</v>
      </c>
      <c r="O9" s="423">
        <v>615890</v>
      </c>
      <c r="P9" s="420">
        <v>620540</v>
      </c>
      <c r="Q9" s="420">
        <v>625654</v>
      </c>
      <c r="R9" s="420">
        <v>630697</v>
      </c>
      <c r="S9" s="420">
        <v>635902</v>
      </c>
      <c r="T9" s="420">
        <v>640875</v>
      </c>
      <c r="U9" s="420">
        <v>646064</v>
      </c>
      <c r="V9" s="423">
        <v>651205</v>
      </c>
      <c r="W9" s="420">
        <v>655805</v>
      </c>
      <c r="X9" s="420">
        <v>660697</v>
      </c>
      <c r="Y9" s="420">
        <v>665811</v>
      </c>
      <c r="Z9" s="420">
        <v>670698</v>
      </c>
      <c r="AA9" s="420">
        <v>675448</v>
      </c>
      <c r="AB9" s="420">
        <v>680345</v>
      </c>
      <c r="AC9" s="423">
        <v>685457</v>
      </c>
      <c r="AD9" s="290"/>
      <c r="AE9" s="420">
        <v>545056</v>
      </c>
      <c r="AF9" s="288"/>
    </row>
    <row r="10" spans="1:34" ht="20.100000000000001" customHeight="1">
      <c r="A10" s="285" t="s">
        <v>60</v>
      </c>
      <c r="B10" s="420">
        <v>8323345</v>
      </c>
      <c r="C10" s="420">
        <v>8326105</v>
      </c>
      <c r="D10" s="420">
        <v>8329631</v>
      </c>
      <c r="E10" s="420">
        <v>8333197</v>
      </c>
      <c r="F10" s="420">
        <v>8336677</v>
      </c>
      <c r="G10" s="420">
        <v>8340120</v>
      </c>
      <c r="H10" s="426">
        <v>8343470</v>
      </c>
      <c r="I10" s="420">
        <v>8345448</v>
      </c>
      <c r="J10" s="420">
        <v>8348014</v>
      </c>
      <c r="K10" s="420">
        <v>8351553</v>
      </c>
      <c r="L10" s="21">
        <v>8355128</v>
      </c>
      <c r="M10" s="420">
        <v>8358228</v>
      </c>
      <c r="N10" s="420">
        <v>8361823</v>
      </c>
      <c r="O10" s="423">
        <v>8365050</v>
      </c>
      <c r="P10" s="420">
        <v>8368030</v>
      </c>
      <c r="Q10" s="420">
        <v>8371277</v>
      </c>
      <c r="R10" s="420">
        <v>8374697</v>
      </c>
      <c r="S10" s="420">
        <v>8378196</v>
      </c>
      <c r="T10" s="420">
        <v>8381559</v>
      </c>
      <c r="U10" s="420">
        <v>8385232</v>
      </c>
      <c r="V10" s="423">
        <v>8388469</v>
      </c>
      <c r="W10" s="420">
        <v>8391369</v>
      </c>
      <c r="X10" s="420">
        <v>8394421</v>
      </c>
      <c r="Y10" s="420">
        <v>8397962</v>
      </c>
      <c r="Z10" s="420">
        <v>8401433</v>
      </c>
      <c r="AA10" s="420">
        <v>8405011</v>
      </c>
      <c r="AB10" s="420">
        <v>8408557</v>
      </c>
      <c r="AC10" s="423">
        <v>8411901</v>
      </c>
      <c r="AD10" s="290"/>
      <c r="AE10" s="420">
        <v>8320454</v>
      </c>
      <c r="AF10" s="288"/>
    </row>
    <row r="11" spans="1:34" ht="22.5" customHeight="1">
      <c r="A11" s="285" t="s">
        <v>61</v>
      </c>
      <c r="B11" s="420">
        <v>319608</v>
      </c>
      <c r="C11" s="420">
        <v>319716</v>
      </c>
      <c r="D11" s="420">
        <v>319841</v>
      </c>
      <c r="E11" s="420">
        <v>319965</v>
      </c>
      <c r="F11" s="420">
        <v>320091</v>
      </c>
      <c r="G11" s="420">
        <v>320216</v>
      </c>
      <c r="H11" s="426">
        <v>320336</v>
      </c>
      <c r="I11" s="420">
        <v>320440</v>
      </c>
      <c r="J11" s="420">
        <v>320540</v>
      </c>
      <c r="K11" s="420">
        <v>320664</v>
      </c>
      <c r="L11" s="21">
        <v>320797</v>
      </c>
      <c r="M11" s="420">
        <v>320907</v>
      </c>
      <c r="N11" s="420">
        <v>321034</v>
      </c>
      <c r="O11" s="423">
        <v>321150</v>
      </c>
      <c r="P11" s="420">
        <v>321248</v>
      </c>
      <c r="Q11" s="420">
        <v>321361</v>
      </c>
      <c r="R11" s="420">
        <v>321487</v>
      </c>
      <c r="S11" s="420">
        <v>321616</v>
      </c>
      <c r="T11" s="420">
        <v>321741</v>
      </c>
      <c r="U11" s="420">
        <v>321878</v>
      </c>
      <c r="V11" s="423">
        <v>321997</v>
      </c>
      <c r="W11" s="420">
        <v>322097</v>
      </c>
      <c r="X11" s="420">
        <v>322207</v>
      </c>
      <c r="Y11" s="420">
        <v>322337</v>
      </c>
      <c r="Z11" s="420">
        <v>322465</v>
      </c>
      <c r="AA11" s="420">
        <v>322591</v>
      </c>
      <c r="AB11" s="420">
        <v>322718</v>
      </c>
      <c r="AC11" s="423">
        <v>322837</v>
      </c>
      <c r="AD11" s="290"/>
      <c r="AE11" s="420">
        <v>319498</v>
      </c>
      <c r="AF11" s="288"/>
    </row>
    <row r="12" spans="1:34" s="294" customFormat="1" ht="18" customHeight="1">
      <c r="A12" s="291" t="s">
        <v>62</v>
      </c>
      <c r="B12" s="420"/>
      <c r="C12" s="420"/>
      <c r="D12" s="420"/>
      <c r="E12" s="420"/>
      <c r="F12" s="420"/>
      <c r="G12" s="420"/>
      <c r="H12" s="420"/>
      <c r="I12" s="420"/>
      <c r="J12" s="420"/>
      <c r="K12" s="420"/>
      <c r="L12" s="420"/>
      <c r="M12" s="420"/>
      <c r="N12" s="420"/>
      <c r="O12" s="423"/>
      <c r="P12" s="420"/>
      <c r="Q12" s="420"/>
      <c r="R12" s="420"/>
      <c r="S12" s="420"/>
      <c r="T12" s="420"/>
      <c r="U12" s="420"/>
      <c r="V12" s="420"/>
      <c r="W12" s="420"/>
      <c r="X12" s="420"/>
      <c r="Y12" s="420"/>
      <c r="Z12" s="420"/>
      <c r="AA12" s="420"/>
      <c r="AB12" s="420"/>
      <c r="AC12" s="420"/>
      <c r="AD12" s="407"/>
      <c r="AE12" s="420"/>
    </row>
    <row r="13" spans="1:34">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30" t="s">
        <v>64</v>
      </c>
      <c r="W13" s="408" t="s">
        <v>64</v>
      </c>
      <c r="X13" s="408" t="s">
        <v>64</v>
      </c>
      <c r="Y13" s="408" t="s">
        <v>64</v>
      </c>
      <c r="Z13" s="408" t="s">
        <v>64</v>
      </c>
      <c r="AA13" s="408" t="s">
        <v>64</v>
      </c>
      <c r="AB13" s="408" t="s">
        <v>64</v>
      </c>
      <c r="AC13" s="408" t="s">
        <v>64</v>
      </c>
      <c r="AD13" s="296"/>
      <c r="AE13" s="408" t="s">
        <v>64</v>
      </c>
    </row>
    <row r="14" spans="1:34">
      <c r="A14" s="282" t="s">
        <v>995</v>
      </c>
      <c r="B14" s="409">
        <v>22182</v>
      </c>
      <c r="C14" s="409">
        <v>22227</v>
      </c>
      <c r="D14" s="409">
        <v>22298</v>
      </c>
      <c r="E14" s="409">
        <v>22374</v>
      </c>
      <c r="F14" s="409">
        <v>22458</v>
      </c>
      <c r="G14" s="409">
        <v>22530</v>
      </c>
      <c r="H14" s="423">
        <v>22585</v>
      </c>
      <c r="I14" s="409">
        <v>22631</v>
      </c>
      <c r="J14" s="409">
        <v>22675</v>
      </c>
      <c r="K14" s="409">
        <v>22749</v>
      </c>
      <c r="L14" s="409">
        <v>22797</v>
      </c>
      <c r="M14" s="409">
        <v>22845</v>
      </c>
      <c r="N14" s="409">
        <v>22910</v>
      </c>
      <c r="O14" s="423">
        <v>22978</v>
      </c>
      <c r="P14" s="409">
        <v>23019</v>
      </c>
      <c r="Q14" s="409">
        <v>23074</v>
      </c>
      <c r="R14" s="409">
        <v>23149</v>
      </c>
      <c r="S14" s="409">
        <v>23228</v>
      </c>
      <c r="T14" s="409">
        <v>23308</v>
      </c>
      <c r="U14" s="409">
        <v>23382</v>
      </c>
      <c r="V14" s="423">
        <v>23435</v>
      </c>
      <c r="W14" s="409">
        <v>23480</v>
      </c>
      <c r="X14" s="409">
        <v>23534</v>
      </c>
      <c r="Y14" s="409">
        <v>23613</v>
      </c>
      <c r="Z14" s="409">
        <v>23693</v>
      </c>
      <c r="AA14" s="409">
        <v>23764</v>
      </c>
      <c r="AB14" s="409">
        <v>23854</v>
      </c>
      <c r="AC14" s="423">
        <v>23918</v>
      </c>
      <c r="AD14" s="301">
        <f>AC14-AE14</f>
        <v>1789</v>
      </c>
      <c r="AE14" s="409">
        <v>22129</v>
      </c>
      <c r="AF14" s="299">
        <v>1789</v>
      </c>
      <c r="AG14" s="299"/>
      <c r="AH14" s="410"/>
    </row>
    <row r="15" spans="1:34" ht="25.5">
      <c r="A15" s="282" t="s">
        <v>67</v>
      </c>
      <c r="B15" s="409">
        <v>8618</v>
      </c>
      <c r="C15" s="409">
        <v>8618</v>
      </c>
      <c r="D15" s="409">
        <v>8618</v>
      </c>
      <c r="E15" s="409">
        <v>8618</v>
      </c>
      <c r="F15" s="409">
        <v>8618</v>
      </c>
      <c r="G15" s="409">
        <v>8618</v>
      </c>
      <c r="H15" s="423">
        <v>8618</v>
      </c>
      <c r="I15" s="409">
        <v>8618</v>
      </c>
      <c r="J15" s="409">
        <v>8618</v>
      </c>
      <c r="K15" s="409">
        <v>8618</v>
      </c>
      <c r="L15" s="409">
        <v>8618</v>
      </c>
      <c r="M15" s="409">
        <v>8618</v>
      </c>
      <c r="N15" s="409">
        <v>8618</v>
      </c>
      <c r="O15" s="423">
        <v>8618</v>
      </c>
      <c r="P15" s="409">
        <v>8618</v>
      </c>
      <c r="Q15" s="409">
        <v>8618</v>
      </c>
      <c r="R15" s="409">
        <v>8618</v>
      </c>
      <c r="S15" s="409">
        <v>8618</v>
      </c>
      <c r="T15" s="409">
        <v>8618</v>
      </c>
      <c r="U15" s="409">
        <v>8618</v>
      </c>
      <c r="V15" s="423">
        <v>8618</v>
      </c>
      <c r="W15" s="409">
        <v>8618</v>
      </c>
      <c r="X15" s="409">
        <v>8618</v>
      </c>
      <c r="Y15" s="409">
        <v>8618</v>
      </c>
      <c r="Z15" s="409">
        <v>8618</v>
      </c>
      <c r="AA15" s="409">
        <v>8618</v>
      </c>
      <c r="AB15" s="409">
        <v>8618</v>
      </c>
      <c r="AC15" s="423">
        <v>8618</v>
      </c>
      <c r="AD15" s="301">
        <f t="shared" ref="AD15:AD29" si="0">AC15-AE15</f>
        <v>0</v>
      </c>
      <c r="AE15" s="409">
        <v>8618</v>
      </c>
      <c r="AF15" s="144">
        <v>0</v>
      </c>
      <c r="AG15" s="299"/>
      <c r="AH15" s="411"/>
    </row>
    <row r="16" spans="1:34" ht="25.5">
      <c r="A16" s="282" t="s">
        <v>68</v>
      </c>
      <c r="B16" s="409">
        <v>12874</v>
      </c>
      <c r="C16" s="409">
        <v>12874</v>
      </c>
      <c r="D16" s="409">
        <v>12874</v>
      </c>
      <c r="E16" s="409">
        <v>12874</v>
      </c>
      <c r="F16" s="409">
        <v>12874</v>
      </c>
      <c r="G16" s="409">
        <v>12874</v>
      </c>
      <c r="H16" s="423">
        <v>12874</v>
      </c>
      <c r="I16" s="409">
        <v>12874</v>
      </c>
      <c r="J16" s="409">
        <v>12874</v>
      </c>
      <c r="K16" s="409">
        <v>12874</v>
      </c>
      <c r="L16" s="409">
        <v>12874</v>
      </c>
      <c r="M16" s="409">
        <v>12874</v>
      </c>
      <c r="N16" s="409">
        <v>12874</v>
      </c>
      <c r="O16" s="423">
        <v>12874</v>
      </c>
      <c r="P16" s="409">
        <v>12874</v>
      </c>
      <c r="Q16" s="409">
        <v>12874</v>
      </c>
      <c r="R16" s="409">
        <v>12874</v>
      </c>
      <c r="S16" s="409">
        <v>12874</v>
      </c>
      <c r="T16" s="409">
        <v>12874</v>
      </c>
      <c r="U16" s="409">
        <v>12874</v>
      </c>
      <c r="V16" s="423">
        <v>12874</v>
      </c>
      <c r="W16" s="409">
        <v>12874</v>
      </c>
      <c r="X16" s="409">
        <v>12874</v>
      </c>
      <c r="Y16" s="409">
        <v>12874</v>
      </c>
      <c r="Z16" s="409">
        <v>12874</v>
      </c>
      <c r="AA16" s="409">
        <v>12874</v>
      </c>
      <c r="AB16" s="409">
        <v>12874</v>
      </c>
      <c r="AC16" s="423">
        <v>12874</v>
      </c>
      <c r="AD16" s="301">
        <f t="shared" si="0"/>
        <v>0</v>
      </c>
      <c r="AE16" s="409">
        <v>12874</v>
      </c>
      <c r="AF16" s="144">
        <v>0</v>
      </c>
      <c r="AG16" s="299"/>
      <c r="AH16" s="411"/>
    </row>
    <row r="17" spans="1:34" ht="20.100000000000001" customHeight="1">
      <c r="A17" s="303"/>
      <c r="B17" s="406"/>
      <c r="C17" s="406"/>
      <c r="D17" s="406"/>
      <c r="E17" s="406"/>
      <c r="F17" s="406"/>
      <c r="G17" s="406"/>
      <c r="H17" s="423"/>
      <c r="I17" s="406"/>
      <c r="J17" s="406"/>
      <c r="K17" s="406"/>
      <c r="L17" s="406"/>
      <c r="M17" s="406"/>
      <c r="N17" s="406"/>
      <c r="O17" s="423"/>
      <c r="P17" s="406"/>
      <c r="Q17" s="406"/>
      <c r="R17" s="406"/>
      <c r="S17" s="406"/>
      <c r="T17" s="406"/>
      <c r="U17" s="406"/>
      <c r="V17" s="429"/>
      <c r="W17" s="406"/>
      <c r="X17" s="406"/>
      <c r="Y17" s="406"/>
      <c r="Z17" s="406"/>
      <c r="AA17" s="406"/>
      <c r="AB17" s="406"/>
      <c r="AC17" s="423"/>
      <c r="AD17" s="301">
        <f t="shared" si="0"/>
        <v>0</v>
      </c>
      <c r="AE17" s="406"/>
      <c r="AH17" s="411"/>
    </row>
    <row r="18" spans="1:34">
      <c r="A18" s="282" t="s">
        <v>69</v>
      </c>
      <c r="B18" s="408" t="s">
        <v>64</v>
      </c>
      <c r="C18" s="408" t="s">
        <v>64</v>
      </c>
      <c r="D18" s="408" t="s">
        <v>64</v>
      </c>
      <c r="E18" s="408" t="s">
        <v>64</v>
      </c>
      <c r="F18" s="408" t="s">
        <v>64</v>
      </c>
      <c r="G18" s="408" t="s">
        <v>64</v>
      </c>
      <c r="H18" s="423"/>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30" t="s">
        <v>64</v>
      </c>
      <c r="W18" s="408" t="s">
        <v>64</v>
      </c>
      <c r="X18" s="408" t="s">
        <v>64</v>
      </c>
      <c r="Y18" s="408" t="s">
        <v>64</v>
      </c>
      <c r="Z18" s="408" t="s">
        <v>64</v>
      </c>
      <c r="AA18" s="408" t="s">
        <v>64</v>
      </c>
      <c r="AB18" s="408" t="s">
        <v>64</v>
      </c>
      <c r="AC18" s="430" t="s">
        <v>64</v>
      </c>
      <c r="AD18" s="301"/>
      <c r="AE18" s="408" t="s">
        <v>64</v>
      </c>
      <c r="AH18" s="412"/>
    </row>
    <row r="19" spans="1:34" ht="25.5">
      <c r="A19" s="282" t="s">
        <v>70</v>
      </c>
      <c r="B19" s="413">
        <v>87179</v>
      </c>
      <c r="C19" s="413">
        <v>87179</v>
      </c>
      <c r="D19" s="413">
        <v>87179</v>
      </c>
      <c r="E19" s="413">
        <v>87179</v>
      </c>
      <c r="F19" s="413">
        <v>87179</v>
      </c>
      <c r="G19" s="413">
        <v>87179</v>
      </c>
      <c r="H19" s="423">
        <v>87179</v>
      </c>
      <c r="I19" s="413">
        <v>87179</v>
      </c>
      <c r="J19" s="413">
        <v>87179</v>
      </c>
      <c r="K19" s="413">
        <v>87179</v>
      </c>
      <c r="L19" s="413">
        <v>87179</v>
      </c>
      <c r="M19" s="413">
        <v>87179</v>
      </c>
      <c r="N19" s="413">
        <v>87179</v>
      </c>
      <c r="O19" s="423">
        <v>87179</v>
      </c>
      <c r="P19" s="413">
        <v>87179</v>
      </c>
      <c r="Q19" s="413">
        <v>87179</v>
      </c>
      <c r="R19" s="413">
        <v>87179</v>
      </c>
      <c r="S19" s="413">
        <v>87179</v>
      </c>
      <c r="T19" s="413">
        <v>87179</v>
      </c>
      <c r="U19" s="413">
        <v>87179</v>
      </c>
      <c r="V19" s="423">
        <v>87179</v>
      </c>
      <c r="W19" s="413">
        <v>87179</v>
      </c>
      <c r="X19" s="413">
        <v>87179</v>
      </c>
      <c r="Y19" s="413">
        <v>87179</v>
      </c>
      <c r="Z19" s="413">
        <v>87179</v>
      </c>
      <c r="AA19" s="413">
        <v>87179</v>
      </c>
      <c r="AB19" s="413">
        <v>87179</v>
      </c>
      <c r="AC19" s="423">
        <v>87179</v>
      </c>
      <c r="AD19" s="301">
        <f t="shared" si="0"/>
        <v>0</v>
      </c>
      <c r="AE19" s="413">
        <v>87179</v>
      </c>
      <c r="AF19" s="307">
        <v>0</v>
      </c>
      <c r="AG19" s="307"/>
      <c r="AH19" s="410"/>
    </row>
    <row r="20" spans="1:34" ht="25.5">
      <c r="A20" s="282" t="s">
        <v>2715</v>
      </c>
      <c r="B20" s="413">
        <v>8123</v>
      </c>
      <c r="C20" s="413">
        <v>8123</v>
      </c>
      <c r="D20" s="413">
        <v>8123</v>
      </c>
      <c r="E20" s="413">
        <v>8123</v>
      </c>
      <c r="F20" s="413">
        <v>8123</v>
      </c>
      <c r="G20" s="413">
        <v>8123</v>
      </c>
      <c r="H20" s="423">
        <v>8123</v>
      </c>
      <c r="I20" s="413">
        <v>8123</v>
      </c>
      <c r="J20" s="413">
        <v>8123</v>
      </c>
      <c r="K20" s="413">
        <v>8123</v>
      </c>
      <c r="L20" s="413">
        <v>8123</v>
      </c>
      <c r="M20" s="413">
        <v>8123</v>
      </c>
      <c r="N20" s="413">
        <v>8123</v>
      </c>
      <c r="O20" s="423">
        <v>8123</v>
      </c>
      <c r="P20" s="413">
        <v>8123</v>
      </c>
      <c r="Q20" s="413">
        <v>8123</v>
      </c>
      <c r="R20" s="413">
        <v>8123</v>
      </c>
      <c r="S20" s="413">
        <v>8123</v>
      </c>
      <c r="T20" s="413">
        <v>8123</v>
      </c>
      <c r="U20" s="413">
        <v>8123</v>
      </c>
      <c r="V20" s="423">
        <v>8123</v>
      </c>
      <c r="W20" s="413">
        <v>8123</v>
      </c>
      <c r="X20" s="413">
        <v>8123</v>
      </c>
      <c r="Y20" s="413">
        <v>8123</v>
      </c>
      <c r="Z20" s="413">
        <v>8123</v>
      </c>
      <c r="AA20" s="413">
        <v>8123</v>
      </c>
      <c r="AB20" s="413">
        <v>8123</v>
      </c>
      <c r="AC20" s="423">
        <v>8123</v>
      </c>
      <c r="AD20" s="301">
        <f t="shared" si="0"/>
        <v>0</v>
      </c>
      <c r="AE20" s="413">
        <v>8123</v>
      </c>
      <c r="AF20" s="144">
        <v>0</v>
      </c>
      <c r="AG20" s="307"/>
      <c r="AH20" s="414"/>
    </row>
    <row r="21" spans="1:34">
      <c r="A21" s="282" t="s">
        <v>72</v>
      </c>
      <c r="B21" s="409">
        <v>235825</v>
      </c>
      <c r="C21" s="409">
        <v>235916</v>
      </c>
      <c r="D21" s="409">
        <v>236018</v>
      </c>
      <c r="E21" s="409">
        <v>236103</v>
      </c>
      <c r="F21" s="409">
        <v>236223</v>
      </c>
      <c r="G21" s="409">
        <v>236290</v>
      </c>
      <c r="H21" s="423">
        <v>236365</v>
      </c>
      <c r="I21" s="409">
        <v>236426</v>
      </c>
      <c r="J21" s="409">
        <v>236560</v>
      </c>
      <c r="K21" s="409">
        <v>236667</v>
      </c>
      <c r="L21" s="409">
        <v>236667</v>
      </c>
      <c r="M21" s="409">
        <v>236832</v>
      </c>
      <c r="N21" s="409">
        <v>236938</v>
      </c>
      <c r="O21" s="423">
        <v>237010</v>
      </c>
      <c r="P21" s="409">
        <v>237061</v>
      </c>
      <c r="Q21" s="409">
        <v>237197</v>
      </c>
      <c r="R21" s="409">
        <v>237312</v>
      </c>
      <c r="S21" s="409">
        <v>237382</v>
      </c>
      <c r="T21" s="409">
        <v>237526</v>
      </c>
      <c r="U21" s="409">
        <v>237603</v>
      </c>
      <c r="V21" s="423">
        <v>237668</v>
      </c>
      <c r="W21" s="409">
        <v>237717</v>
      </c>
      <c r="X21" s="409">
        <v>237885</v>
      </c>
      <c r="Y21" s="409">
        <v>238010</v>
      </c>
      <c r="Z21" s="409">
        <v>238093</v>
      </c>
      <c r="AA21" s="409">
        <v>238216</v>
      </c>
      <c r="AB21" s="409">
        <v>238290</v>
      </c>
      <c r="AC21" s="423">
        <v>238410</v>
      </c>
      <c r="AD21" s="301">
        <f t="shared" si="0"/>
        <v>2625</v>
      </c>
      <c r="AE21" s="409">
        <v>235785</v>
      </c>
      <c r="AF21" s="144">
        <v>2625</v>
      </c>
      <c r="AG21" s="307"/>
      <c r="AH21" s="415"/>
    </row>
    <row r="22" spans="1:34">
      <c r="A22" s="282" t="s">
        <v>73</v>
      </c>
      <c r="B22" s="409">
        <v>237203</v>
      </c>
      <c r="C22" s="409">
        <v>237277</v>
      </c>
      <c r="D22" s="409">
        <v>237311</v>
      </c>
      <c r="E22" s="409">
        <v>237354</v>
      </c>
      <c r="F22" s="409">
        <v>237396</v>
      </c>
      <c r="G22" s="409">
        <v>237435</v>
      </c>
      <c r="H22" s="423">
        <v>237478</v>
      </c>
      <c r="I22" s="409">
        <v>237515</v>
      </c>
      <c r="J22" s="409">
        <v>237556</v>
      </c>
      <c r="K22" s="409">
        <v>237607</v>
      </c>
      <c r="L22" s="409">
        <v>237636</v>
      </c>
      <c r="M22" s="409">
        <v>237675</v>
      </c>
      <c r="N22" s="409">
        <v>237722</v>
      </c>
      <c r="O22" s="423">
        <v>237780</v>
      </c>
      <c r="P22" s="409">
        <v>237819</v>
      </c>
      <c r="Q22" s="409">
        <v>237860</v>
      </c>
      <c r="R22" s="409">
        <v>237899</v>
      </c>
      <c r="S22" s="409">
        <v>237949</v>
      </c>
      <c r="T22" s="409">
        <v>237992</v>
      </c>
      <c r="U22" s="409">
        <v>238041</v>
      </c>
      <c r="V22" s="423">
        <v>238090</v>
      </c>
      <c r="W22" s="409">
        <v>238124</v>
      </c>
      <c r="X22" s="409">
        <v>238160</v>
      </c>
      <c r="Y22" s="409">
        <v>238213</v>
      </c>
      <c r="Z22" s="409">
        <v>238261</v>
      </c>
      <c r="AA22" s="409">
        <v>238297</v>
      </c>
      <c r="AB22" s="409">
        <v>238332</v>
      </c>
      <c r="AC22" s="423">
        <v>238395</v>
      </c>
      <c r="AD22" s="301">
        <f t="shared" si="0"/>
        <v>1216</v>
      </c>
      <c r="AE22" s="409">
        <v>237179</v>
      </c>
      <c r="AF22" s="144">
        <v>1216</v>
      </c>
      <c r="AG22" s="307"/>
      <c r="AH22" s="415"/>
    </row>
    <row r="23" spans="1:34">
      <c r="A23" s="309" t="s">
        <v>136</v>
      </c>
      <c r="B23" s="409">
        <v>14260</v>
      </c>
      <c r="C23" s="409">
        <v>14262</v>
      </c>
      <c r="D23" s="409">
        <v>14274</v>
      </c>
      <c r="E23" s="409">
        <v>14285</v>
      </c>
      <c r="F23" s="409">
        <v>14296</v>
      </c>
      <c r="G23" s="409">
        <v>14307</v>
      </c>
      <c r="H23" s="423">
        <v>14312</v>
      </c>
      <c r="I23" s="409">
        <v>14317</v>
      </c>
      <c r="J23" s="409">
        <v>14320</v>
      </c>
      <c r="K23" s="409">
        <v>14331</v>
      </c>
      <c r="L23" s="409">
        <v>14340</v>
      </c>
      <c r="M23" s="409">
        <v>14340</v>
      </c>
      <c r="N23" s="409">
        <v>14350</v>
      </c>
      <c r="O23" s="423">
        <v>14356</v>
      </c>
      <c r="P23" s="409">
        <v>14360</v>
      </c>
      <c r="Q23" s="409">
        <v>14371</v>
      </c>
      <c r="R23" s="409">
        <v>14375</v>
      </c>
      <c r="S23" s="409">
        <v>14388</v>
      </c>
      <c r="T23" s="409">
        <v>14399</v>
      </c>
      <c r="U23" s="409">
        <v>14412</v>
      </c>
      <c r="V23" s="423">
        <v>14418</v>
      </c>
      <c r="W23" s="409">
        <v>14423</v>
      </c>
      <c r="X23" s="409">
        <v>14425</v>
      </c>
      <c r="Y23" s="409">
        <v>14436</v>
      </c>
      <c r="Z23" s="409">
        <v>14447</v>
      </c>
      <c r="AA23" s="409">
        <v>14459</v>
      </c>
      <c r="AB23" s="409">
        <v>14470</v>
      </c>
      <c r="AC23" s="423">
        <v>14476</v>
      </c>
      <c r="AD23" s="301">
        <f t="shared" si="0"/>
        <v>222</v>
      </c>
      <c r="AE23" s="409">
        <v>14254</v>
      </c>
      <c r="AF23" s="144">
        <v>222</v>
      </c>
      <c r="AG23" s="307"/>
      <c r="AH23" s="414"/>
    </row>
    <row r="24" spans="1:34">
      <c r="A24" s="309" t="s">
        <v>139</v>
      </c>
      <c r="B24" s="409">
        <v>9742</v>
      </c>
      <c r="C24" s="409">
        <v>9743</v>
      </c>
      <c r="D24" s="409">
        <v>9750</v>
      </c>
      <c r="E24" s="409">
        <v>9757</v>
      </c>
      <c r="F24" s="409">
        <v>9766</v>
      </c>
      <c r="G24" s="409">
        <v>9772</v>
      </c>
      <c r="H24" s="423">
        <v>9775</v>
      </c>
      <c r="I24" s="409">
        <v>9778</v>
      </c>
      <c r="J24" s="409">
        <v>9778</v>
      </c>
      <c r="K24" s="409">
        <v>9787</v>
      </c>
      <c r="L24" s="409">
        <v>9794</v>
      </c>
      <c r="M24" s="409">
        <v>9794</v>
      </c>
      <c r="N24" s="409">
        <v>9801</v>
      </c>
      <c r="O24" s="423">
        <v>9805</v>
      </c>
      <c r="P24" s="409">
        <v>9808</v>
      </c>
      <c r="Q24" s="409">
        <v>9817</v>
      </c>
      <c r="R24" s="409">
        <v>9818</v>
      </c>
      <c r="S24" s="409">
        <v>9822</v>
      </c>
      <c r="T24" s="409">
        <v>9828</v>
      </c>
      <c r="U24" s="409">
        <v>9836</v>
      </c>
      <c r="V24" s="423">
        <v>9839</v>
      </c>
      <c r="W24" s="409">
        <v>9842</v>
      </c>
      <c r="X24" s="409">
        <v>9842</v>
      </c>
      <c r="Y24" s="409">
        <v>9849</v>
      </c>
      <c r="Z24" s="409">
        <v>9857</v>
      </c>
      <c r="AA24" s="409">
        <v>9866</v>
      </c>
      <c r="AB24" s="409">
        <v>9873</v>
      </c>
      <c r="AC24" s="423">
        <v>9878</v>
      </c>
      <c r="AD24" s="301">
        <f t="shared" si="0"/>
        <v>140</v>
      </c>
      <c r="AE24" s="409">
        <v>9738</v>
      </c>
      <c r="AF24" s="144">
        <v>140</v>
      </c>
      <c r="AG24" s="307"/>
      <c r="AH24" s="414"/>
    </row>
    <row r="25" spans="1:34">
      <c r="A25" s="309" t="s">
        <v>142</v>
      </c>
      <c r="B25" s="409">
        <v>4016</v>
      </c>
      <c r="C25" s="409">
        <v>4016</v>
      </c>
      <c r="D25" s="409">
        <v>4017</v>
      </c>
      <c r="E25" s="409">
        <v>4018</v>
      </c>
      <c r="F25" s="409">
        <v>4018</v>
      </c>
      <c r="G25" s="409">
        <v>4018</v>
      </c>
      <c r="H25" s="423">
        <v>4018</v>
      </c>
      <c r="I25" s="409">
        <v>4018</v>
      </c>
      <c r="J25" s="409">
        <v>4018</v>
      </c>
      <c r="K25" s="409">
        <v>4018</v>
      </c>
      <c r="L25" s="409">
        <v>4018</v>
      </c>
      <c r="M25" s="409">
        <v>4018</v>
      </c>
      <c r="N25" s="409">
        <v>4018</v>
      </c>
      <c r="O25" s="423">
        <v>4018</v>
      </c>
      <c r="P25" s="409">
        <v>4018</v>
      </c>
      <c r="Q25" s="409">
        <v>4018</v>
      </c>
      <c r="R25" s="409">
        <v>4018</v>
      </c>
      <c r="S25" s="409">
        <v>4018</v>
      </c>
      <c r="T25" s="409">
        <v>4018</v>
      </c>
      <c r="U25" s="409">
        <v>4018</v>
      </c>
      <c r="V25" s="423">
        <v>4018</v>
      </c>
      <c r="W25" s="409">
        <v>4018</v>
      </c>
      <c r="X25" s="409">
        <v>4018</v>
      </c>
      <c r="Y25" s="409">
        <v>4018</v>
      </c>
      <c r="Z25" s="409">
        <v>4018</v>
      </c>
      <c r="AA25" s="409">
        <v>4018</v>
      </c>
      <c r="AB25" s="409">
        <v>4018</v>
      </c>
      <c r="AC25" s="423">
        <v>4018</v>
      </c>
      <c r="AD25" s="301">
        <f t="shared" si="0"/>
        <v>3</v>
      </c>
      <c r="AE25" s="409">
        <v>4015</v>
      </c>
      <c r="AF25" s="144">
        <v>3</v>
      </c>
      <c r="AG25" s="307"/>
      <c r="AH25" s="414"/>
    </row>
    <row r="26" spans="1:34">
      <c r="A26" s="309" t="s">
        <v>145</v>
      </c>
      <c r="B26" s="409">
        <v>2331</v>
      </c>
      <c r="C26" s="409">
        <v>2332</v>
      </c>
      <c r="D26" s="409">
        <v>2334</v>
      </c>
      <c r="E26" s="409">
        <v>2337</v>
      </c>
      <c r="F26" s="409">
        <v>2340</v>
      </c>
      <c r="G26" s="409">
        <v>2342</v>
      </c>
      <c r="H26" s="423">
        <v>2343</v>
      </c>
      <c r="I26" s="409">
        <v>2344</v>
      </c>
      <c r="J26" s="409">
        <v>2345</v>
      </c>
      <c r="K26" s="409">
        <v>2348</v>
      </c>
      <c r="L26" s="409">
        <v>2351</v>
      </c>
      <c r="M26" s="409">
        <v>2352</v>
      </c>
      <c r="N26" s="409">
        <v>2354</v>
      </c>
      <c r="O26" s="423">
        <v>2356</v>
      </c>
      <c r="P26" s="409">
        <v>2358</v>
      </c>
      <c r="Q26" s="409">
        <v>2361</v>
      </c>
      <c r="R26" s="409">
        <v>2363</v>
      </c>
      <c r="S26" s="409">
        <v>2366</v>
      </c>
      <c r="T26" s="409">
        <v>2369</v>
      </c>
      <c r="U26" s="409">
        <v>2372</v>
      </c>
      <c r="V26" s="423">
        <v>2374</v>
      </c>
      <c r="W26" s="409">
        <v>2375</v>
      </c>
      <c r="X26" s="409">
        <v>2376</v>
      </c>
      <c r="Y26" s="409">
        <v>2379</v>
      </c>
      <c r="Z26" s="409">
        <v>2385</v>
      </c>
      <c r="AA26" s="409">
        <v>2388</v>
      </c>
      <c r="AB26" s="409">
        <v>2392</v>
      </c>
      <c r="AC26" s="423">
        <v>2394</v>
      </c>
      <c r="AD26" s="301">
        <f t="shared" si="0"/>
        <v>65</v>
      </c>
      <c r="AE26" s="409">
        <v>2329</v>
      </c>
      <c r="AF26" s="144">
        <v>65</v>
      </c>
      <c r="AG26" s="307"/>
      <c r="AH26" s="414"/>
    </row>
    <row r="27" spans="1:34">
      <c r="A27" s="309" t="s">
        <v>148</v>
      </c>
      <c r="B27" s="409">
        <v>15725</v>
      </c>
      <c r="C27" s="409">
        <v>15727</v>
      </c>
      <c r="D27" s="409">
        <v>15738</v>
      </c>
      <c r="E27" s="409">
        <v>15749</v>
      </c>
      <c r="F27" s="409">
        <v>15761</v>
      </c>
      <c r="G27" s="409">
        <v>15774</v>
      </c>
      <c r="H27" s="423">
        <v>15781</v>
      </c>
      <c r="I27" s="409">
        <v>15789</v>
      </c>
      <c r="J27" s="409">
        <v>15792</v>
      </c>
      <c r="K27" s="409">
        <v>15804</v>
      </c>
      <c r="L27" s="409">
        <v>15816</v>
      </c>
      <c r="M27" s="409">
        <v>15817</v>
      </c>
      <c r="N27" s="409">
        <v>15826</v>
      </c>
      <c r="O27" s="423">
        <v>15835</v>
      </c>
      <c r="P27" s="409">
        <v>15842</v>
      </c>
      <c r="Q27" s="409">
        <v>15853</v>
      </c>
      <c r="R27" s="409">
        <v>15857</v>
      </c>
      <c r="S27" s="409">
        <v>15868</v>
      </c>
      <c r="T27" s="409">
        <v>15880</v>
      </c>
      <c r="U27" s="409">
        <v>15892</v>
      </c>
      <c r="V27" s="423">
        <v>15899</v>
      </c>
      <c r="W27" s="409">
        <v>15904</v>
      </c>
      <c r="X27" s="409">
        <v>15906</v>
      </c>
      <c r="Y27" s="409">
        <v>15917</v>
      </c>
      <c r="Z27" s="409">
        <v>15927</v>
      </c>
      <c r="AA27" s="409">
        <v>15937</v>
      </c>
      <c r="AB27" s="409">
        <v>15946</v>
      </c>
      <c r="AC27" s="423">
        <v>15951</v>
      </c>
      <c r="AD27" s="301">
        <f t="shared" si="0"/>
        <v>231</v>
      </c>
      <c r="AE27" s="409">
        <v>15720</v>
      </c>
      <c r="AF27" s="144">
        <v>231</v>
      </c>
      <c r="AG27" s="307"/>
      <c r="AH27" s="414"/>
    </row>
    <row r="28" spans="1:34">
      <c r="A28" s="309" t="s">
        <v>151</v>
      </c>
      <c r="B28" s="409">
        <v>1339</v>
      </c>
      <c r="C28" s="409">
        <v>1339</v>
      </c>
      <c r="D28" s="409">
        <v>1339</v>
      </c>
      <c r="E28" s="409">
        <v>1339</v>
      </c>
      <c r="F28" s="409">
        <v>1339</v>
      </c>
      <c r="G28" s="409">
        <v>1339</v>
      </c>
      <c r="H28" s="423">
        <v>1339</v>
      </c>
      <c r="I28" s="409">
        <v>1339</v>
      </c>
      <c r="J28" s="409">
        <v>1339</v>
      </c>
      <c r="K28" s="409">
        <v>1339</v>
      </c>
      <c r="L28" s="409">
        <v>1339</v>
      </c>
      <c r="M28" s="409">
        <v>1339</v>
      </c>
      <c r="N28" s="409">
        <v>1339</v>
      </c>
      <c r="O28" s="423">
        <v>1339</v>
      </c>
      <c r="P28" s="409">
        <v>1339</v>
      </c>
      <c r="Q28" s="409">
        <v>1339</v>
      </c>
      <c r="R28" s="409">
        <v>1339</v>
      </c>
      <c r="S28" s="409">
        <v>1339</v>
      </c>
      <c r="T28" s="409">
        <v>1339</v>
      </c>
      <c r="U28" s="409">
        <v>1339</v>
      </c>
      <c r="V28" s="423">
        <v>1339</v>
      </c>
      <c r="W28" s="409">
        <v>1339</v>
      </c>
      <c r="X28" s="409">
        <v>1339</v>
      </c>
      <c r="Y28" s="409">
        <v>1339</v>
      </c>
      <c r="Z28" s="409">
        <v>1339</v>
      </c>
      <c r="AA28" s="409">
        <v>1339</v>
      </c>
      <c r="AB28" s="409">
        <v>1339</v>
      </c>
      <c r="AC28" s="423">
        <v>1339</v>
      </c>
      <c r="AD28" s="301">
        <f t="shared" si="0"/>
        <v>0</v>
      </c>
      <c r="AE28" s="409">
        <v>1339</v>
      </c>
      <c r="AF28" s="144">
        <v>0</v>
      </c>
      <c r="AG28" s="307"/>
      <c r="AH28" s="414"/>
    </row>
    <row r="29" spans="1:34">
      <c r="A29" s="309" t="s">
        <v>154</v>
      </c>
      <c r="B29" s="409">
        <v>1151</v>
      </c>
      <c r="C29" s="409">
        <v>1152</v>
      </c>
      <c r="D29" s="409">
        <v>1153</v>
      </c>
      <c r="E29" s="409">
        <v>1154</v>
      </c>
      <c r="F29" s="409">
        <v>1155</v>
      </c>
      <c r="G29" s="409">
        <v>1156</v>
      </c>
      <c r="H29" s="423">
        <v>1157</v>
      </c>
      <c r="I29" s="409">
        <v>1158</v>
      </c>
      <c r="J29" s="409">
        <v>1158</v>
      </c>
      <c r="K29" s="409">
        <v>1160</v>
      </c>
      <c r="L29" s="409">
        <v>1161</v>
      </c>
      <c r="M29" s="409">
        <v>1162</v>
      </c>
      <c r="N29" s="409">
        <v>1163</v>
      </c>
      <c r="O29" s="423">
        <v>1163</v>
      </c>
      <c r="P29" s="409">
        <v>1164</v>
      </c>
      <c r="Q29" s="409">
        <v>1165</v>
      </c>
      <c r="R29" s="409">
        <v>1166</v>
      </c>
      <c r="S29" s="409">
        <v>1167</v>
      </c>
      <c r="T29" s="409">
        <v>1169</v>
      </c>
      <c r="U29" s="409">
        <v>1170</v>
      </c>
      <c r="V29" s="423">
        <v>1171</v>
      </c>
      <c r="W29" s="409">
        <v>1172</v>
      </c>
      <c r="X29" s="409">
        <v>1172</v>
      </c>
      <c r="Y29" s="409">
        <v>1173</v>
      </c>
      <c r="Z29" s="409">
        <v>1174</v>
      </c>
      <c r="AA29" s="409">
        <v>1176</v>
      </c>
      <c r="AB29" s="409">
        <v>1177</v>
      </c>
      <c r="AC29" s="423">
        <v>1178</v>
      </c>
      <c r="AD29" s="301">
        <f t="shared" si="0"/>
        <v>28</v>
      </c>
      <c r="AE29" s="409">
        <v>1150</v>
      </c>
      <c r="AF29" s="144">
        <v>28</v>
      </c>
      <c r="AG29" s="307"/>
      <c r="AH29" s="414"/>
    </row>
    <row r="30" spans="1:34">
      <c r="A30" s="303"/>
      <c r="B30" s="406"/>
      <c r="C30" s="406"/>
      <c r="D30" s="406"/>
      <c r="E30" s="406"/>
      <c r="F30" s="406"/>
      <c r="G30" s="406"/>
      <c r="H30" s="406"/>
      <c r="I30" s="406"/>
      <c r="J30" s="406"/>
      <c r="K30" s="406"/>
      <c r="L30" s="406"/>
      <c r="M30" s="406"/>
      <c r="N30" s="406"/>
      <c r="O30" s="428"/>
      <c r="P30" s="406"/>
      <c r="Q30" s="406"/>
      <c r="R30" s="406"/>
      <c r="S30" s="406"/>
      <c r="T30" s="406"/>
      <c r="U30" s="406"/>
      <c r="V30" s="406"/>
      <c r="W30" s="406"/>
      <c r="X30" s="406"/>
      <c r="Y30" s="406"/>
      <c r="Z30" s="406"/>
      <c r="AA30" s="406"/>
      <c r="AB30" s="406"/>
      <c r="AC30" s="406"/>
      <c r="AD30" s="301"/>
      <c r="AE30" s="406"/>
      <c r="AH30" s="414"/>
    </row>
    <row r="31" spans="1:34">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30"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301"/>
      <c r="AE31" s="408" t="s">
        <v>75</v>
      </c>
    </row>
    <row r="32" spans="1:34" ht="25.5">
      <c r="A32" s="282" t="s">
        <v>77</v>
      </c>
      <c r="B32" s="424" t="s">
        <v>2794</v>
      </c>
      <c r="C32" s="424" t="s">
        <v>2794</v>
      </c>
      <c r="D32" s="424" t="s">
        <v>2794</v>
      </c>
      <c r="E32" s="424" t="s">
        <v>2794</v>
      </c>
      <c r="F32" s="424" t="s">
        <v>2794</v>
      </c>
      <c r="G32" s="424" t="s">
        <v>2794</v>
      </c>
      <c r="H32" s="424" t="s">
        <v>2813</v>
      </c>
      <c r="I32" s="424" t="s">
        <v>2813</v>
      </c>
      <c r="J32" s="424" t="s">
        <v>2813</v>
      </c>
      <c r="K32" s="424" t="s">
        <v>2813</v>
      </c>
      <c r="L32" s="424" t="s">
        <v>2813</v>
      </c>
      <c r="M32" s="424" t="s">
        <v>2813</v>
      </c>
      <c r="N32" s="424" t="s">
        <v>2813</v>
      </c>
      <c r="O32" s="425" t="s">
        <v>2813</v>
      </c>
      <c r="P32" s="424" t="s">
        <v>2813</v>
      </c>
      <c r="Q32" s="424" t="s">
        <v>2813</v>
      </c>
      <c r="R32" s="424" t="s">
        <v>2813</v>
      </c>
      <c r="S32" s="424" t="s">
        <v>2813</v>
      </c>
      <c r="T32" s="424" t="s">
        <v>2813</v>
      </c>
      <c r="U32" s="424" t="s">
        <v>2813</v>
      </c>
      <c r="V32" s="424" t="s">
        <v>2813</v>
      </c>
      <c r="W32" s="424" t="s">
        <v>2813</v>
      </c>
      <c r="X32" s="424" t="s">
        <v>2813</v>
      </c>
      <c r="Y32" s="424" t="s">
        <v>2813</v>
      </c>
      <c r="Z32" s="424" t="s">
        <v>2813</v>
      </c>
      <c r="AA32" s="424" t="s">
        <v>2813</v>
      </c>
      <c r="AB32" s="424" t="s">
        <v>2813</v>
      </c>
      <c r="AC32" s="424" t="s">
        <v>2813</v>
      </c>
      <c r="AD32" s="301"/>
      <c r="AE32" s="424" t="s">
        <v>2794</v>
      </c>
    </row>
    <row r="33" spans="1:31" ht="25.5">
      <c r="A33" s="282" t="s">
        <v>80</v>
      </c>
      <c r="B33" s="424" t="s">
        <v>2794</v>
      </c>
      <c r="C33" s="424" t="s">
        <v>2794</v>
      </c>
      <c r="D33" s="424" t="s">
        <v>2794</v>
      </c>
      <c r="E33" s="424" t="s">
        <v>2794</v>
      </c>
      <c r="F33" s="424" t="s">
        <v>2794</v>
      </c>
      <c r="G33" s="424" t="s">
        <v>2794</v>
      </c>
      <c r="H33" s="424" t="s">
        <v>2813</v>
      </c>
      <c r="I33" s="424" t="s">
        <v>2813</v>
      </c>
      <c r="J33" s="424" t="s">
        <v>2813</v>
      </c>
      <c r="K33" s="424" t="s">
        <v>2813</v>
      </c>
      <c r="L33" s="424" t="s">
        <v>2813</v>
      </c>
      <c r="M33" s="424" t="s">
        <v>2813</v>
      </c>
      <c r="N33" s="424" t="s">
        <v>2813</v>
      </c>
      <c r="O33" s="425" t="s">
        <v>2813</v>
      </c>
      <c r="P33" s="424" t="s">
        <v>2813</v>
      </c>
      <c r="Q33" s="424" t="s">
        <v>2813</v>
      </c>
      <c r="R33" s="424" t="s">
        <v>2813</v>
      </c>
      <c r="S33" s="424" t="s">
        <v>2813</v>
      </c>
      <c r="T33" s="424" t="s">
        <v>2813</v>
      </c>
      <c r="U33" s="424" t="s">
        <v>2813</v>
      </c>
      <c r="V33" s="424" t="s">
        <v>2813</v>
      </c>
      <c r="W33" s="424" t="s">
        <v>2813</v>
      </c>
      <c r="X33" s="424" t="s">
        <v>2813</v>
      </c>
      <c r="Y33" s="424" t="s">
        <v>2813</v>
      </c>
      <c r="Z33" s="424" t="s">
        <v>2813</v>
      </c>
      <c r="AA33" s="424" t="s">
        <v>2813</v>
      </c>
      <c r="AB33" s="424" t="s">
        <v>2813</v>
      </c>
      <c r="AC33" s="424" t="s">
        <v>2813</v>
      </c>
      <c r="AD33" s="301"/>
      <c r="AE33" s="424" t="s">
        <v>2794</v>
      </c>
    </row>
    <row r="34" spans="1:31" ht="15.75" thickBot="1">
      <c r="A34" s="310" t="s">
        <v>81</v>
      </c>
      <c r="B34" s="417" t="s">
        <v>2812</v>
      </c>
      <c r="C34" s="417" t="s">
        <v>2812</v>
      </c>
      <c r="D34" s="417" t="s">
        <v>2812</v>
      </c>
      <c r="E34" s="417" t="s">
        <v>2812</v>
      </c>
      <c r="F34" s="417" t="s">
        <v>2812</v>
      </c>
      <c r="G34" s="417" t="s">
        <v>2812</v>
      </c>
      <c r="H34" s="417" t="s">
        <v>2812</v>
      </c>
      <c r="I34" s="417" t="s">
        <v>2812</v>
      </c>
      <c r="J34" s="417" t="s">
        <v>2812</v>
      </c>
      <c r="K34" s="417" t="s">
        <v>2812</v>
      </c>
      <c r="L34" s="417" t="s">
        <v>2812</v>
      </c>
      <c r="M34" s="417" t="s">
        <v>2812</v>
      </c>
      <c r="N34" s="417" t="s">
        <v>2812</v>
      </c>
      <c r="O34" s="427" t="s">
        <v>2812</v>
      </c>
      <c r="P34" s="417" t="s">
        <v>2812</v>
      </c>
      <c r="Q34" s="417" t="s">
        <v>2812</v>
      </c>
      <c r="R34" s="417" t="s">
        <v>2812</v>
      </c>
      <c r="S34" s="417" t="s">
        <v>2812</v>
      </c>
      <c r="T34" s="417" t="s">
        <v>2812</v>
      </c>
      <c r="U34" s="417" t="s">
        <v>2812</v>
      </c>
      <c r="V34" s="417" t="s">
        <v>2812</v>
      </c>
      <c r="W34" s="417" t="s">
        <v>2812</v>
      </c>
      <c r="X34" s="417" t="s">
        <v>2812</v>
      </c>
      <c r="Y34" s="417" t="s">
        <v>2812</v>
      </c>
      <c r="Z34" s="417" t="s">
        <v>2812</v>
      </c>
      <c r="AA34" s="417" t="s">
        <v>2812</v>
      </c>
      <c r="AB34" s="417" t="s">
        <v>2812</v>
      </c>
      <c r="AC34" s="417" t="s">
        <v>2812</v>
      </c>
      <c r="AD34" s="301"/>
      <c r="AE34" s="417" t="s">
        <v>2812</v>
      </c>
    </row>
    <row r="35" spans="1:31">
      <c r="AD35" s="211"/>
    </row>
    <row r="36" spans="1:31">
      <c r="AD36" s="211"/>
    </row>
  </sheetData>
  <mergeCells count="1">
    <mergeCell ref="A1:AE1"/>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24211-5FDC-4856-B036-399DBD56695B}">
  <dimension ref="A1:AK36"/>
  <sheetViews>
    <sheetView topLeftCell="P1" workbookViewId="0">
      <selection activeCell="AI22" sqref="AI22"/>
    </sheetView>
  </sheetViews>
  <sheetFormatPr defaultColWidth="9.140625" defaultRowHeight="15"/>
  <cols>
    <col min="1" max="1" width="34.4257812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45717</v>
      </c>
      <c r="C2" s="281">
        <v>45718</v>
      </c>
      <c r="D2" s="281">
        <v>45719</v>
      </c>
      <c r="E2" s="281">
        <v>45720</v>
      </c>
      <c r="F2" s="281">
        <v>45721</v>
      </c>
      <c r="G2" s="281">
        <v>45722</v>
      </c>
      <c r="H2" s="281">
        <v>45723</v>
      </c>
      <c r="I2" s="281">
        <v>45724</v>
      </c>
      <c r="J2" s="281">
        <v>45725</v>
      </c>
      <c r="K2" s="281">
        <v>45726</v>
      </c>
      <c r="L2" s="281">
        <v>45727</v>
      </c>
      <c r="M2" s="281">
        <v>45728</v>
      </c>
      <c r="N2" s="281">
        <v>45729</v>
      </c>
      <c r="O2" s="281">
        <v>45730</v>
      </c>
      <c r="P2" s="281">
        <v>45731</v>
      </c>
      <c r="Q2" s="281">
        <v>45732</v>
      </c>
      <c r="R2" s="281">
        <v>45733</v>
      </c>
      <c r="S2" s="281">
        <v>45734</v>
      </c>
      <c r="T2" s="281">
        <v>45735</v>
      </c>
      <c r="U2" s="281">
        <v>45736</v>
      </c>
      <c r="V2" s="281">
        <v>45737</v>
      </c>
      <c r="W2" s="281">
        <v>45738</v>
      </c>
      <c r="X2" s="281">
        <v>45739</v>
      </c>
      <c r="Y2" s="281">
        <v>45740</v>
      </c>
      <c r="Z2" s="281">
        <v>45741</v>
      </c>
      <c r="AA2" s="281">
        <v>45742</v>
      </c>
      <c r="AB2" s="281">
        <v>45743</v>
      </c>
      <c r="AC2" s="281">
        <v>45744</v>
      </c>
      <c r="AD2" s="281">
        <v>45745</v>
      </c>
      <c r="AE2" s="281">
        <v>45746</v>
      </c>
      <c r="AF2" s="281">
        <v>45747</v>
      </c>
      <c r="AG2" s="281"/>
      <c r="AH2" s="281">
        <v>45716</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462552</v>
      </c>
      <c r="C4" s="420">
        <v>462759</v>
      </c>
      <c r="D4" s="420">
        <v>462996</v>
      </c>
      <c r="E4" s="420">
        <v>463222</v>
      </c>
      <c r="F4" s="420">
        <v>463453</v>
      </c>
      <c r="G4" s="420">
        <v>463677</v>
      </c>
      <c r="H4" s="420">
        <v>463860</v>
      </c>
      <c r="I4" s="420">
        <v>464115</v>
      </c>
      <c r="J4" s="420">
        <v>464336</v>
      </c>
      <c r="K4" s="420">
        <v>464564</v>
      </c>
      <c r="L4" s="420">
        <v>464794</v>
      </c>
      <c r="M4" s="420">
        <v>465025</v>
      </c>
      <c r="N4" s="420">
        <v>465255</v>
      </c>
      <c r="O4" s="21">
        <v>465495</v>
      </c>
      <c r="P4" s="420">
        <v>465696</v>
      </c>
      <c r="Q4" s="420">
        <v>465934</v>
      </c>
      <c r="R4" s="420">
        <v>466161</v>
      </c>
      <c r="S4" s="420">
        <v>466399</v>
      </c>
      <c r="T4" s="420">
        <v>466624</v>
      </c>
      <c r="U4" s="420">
        <v>466858</v>
      </c>
      <c r="V4" s="420">
        <v>467107</v>
      </c>
      <c r="W4" s="420">
        <v>467307</v>
      </c>
      <c r="X4" s="420">
        <v>467572</v>
      </c>
      <c r="Y4" s="420">
        <v>467749</v>
      </c>
      <c r="Z4" s="420">
        <v>467980</v>
      </c>
      <c r="AA4" s="420">
        <v>468209</v>
      </c>
      <c r="AB4" s="420">
        <v>468438</v>
      </c>
      <c r="AC4" s="420">
        <v>468631</v>
      </c>
      <c r="AD4" s="420">
        <v>468880</v>
      </c>
      <c r="AE4" s="420">
        <v>469114</v>
      </c>
      <c r="AF4" s="420">
        <v>469427</v>
      </c>
      <c r="AG4" s="290"/>
      <c r="AH4" s="423">
        <v>462352</v>
      </c>
      <c r="AI4" s="288"/>
    </row>
    <row r="5" spans="1:37" ht="20.100000000000001" customHeight="1">
      <c r="A5" s="285" t="s">
        <v>55</v>
      </c>
      <c r="B5" s="420">
        <v>12964889</v>
      </c>
      <c r="C5" s="420">
        <v>12970453</v>
      </c>
      <c r="D5" s="420">
        <v>12977476</v>
      </c>
      <c r="E5" s="420">
        <v>12984384</v>
      </c>
      <c r="F5" s="420">
        <v>12991413</v>
      </c>
      <c r="G5" s="420">
        <v>12998442</v>
      </c>
      <c r="H5" s="420">
        <v>13004292</v>
      </c>
      <c r="I5" s="420">
        <v>13012179</v>
      </c>
      <c r="J5" s="420">
        <v>13018759</v>
      </c>
      <c r="K5" s="420">
        <v>13026147</v>
      </c>
      <c r="L5" s="420">
        <v>13033391</v>
      </c>
      <c r="M5" s="420">
        <v>13040669</v>
      </c>
      <c r="N5" s="420">
        <v>13047807</v>
      </c>
      <c r="O5" s="21">
        <v>13054995</v>
      </c>
      <c r="P5" s="420">
        <v>13060638</v>
      </c>
      <c r="Q5" s="420">
        <v>13067324</v>
      </c>
      <c r="R5" s="420">
        <v>13074154</v>
      </c>
      <c r="S5" s="420">
        <v>13081395</v>
      </c>
      <c r="T5" s="420">
        <v>13088108</v>
      </c>
      <c r="U5" s="420">
        <v>13095245</v>
      </c>
      <c r="V5" s="420">
        <v>13103086</v>
      </c>
      <c r="W5" s="420">
        <v>13108749</v>
      </c>
      <c r="X5" s="420">
        <v>13117052</v>
      </c>
      <c r="Y5" s="420">
        <v>13122417</v>
      </c>
      <c r="Z5" s="420">
        <v>13129447</v>
      </c>
      <c r="AA5" s="420">
        <v>13136371</v>
      </c>
      <c r="AB5" s="420">
        <v>13143133</v>
      </c>
      <c r="AC5" s="420">
        <v>13155384</v>
      </c>
      <c r="AD5" s="420">
        <v>13155384</v>
      </c>
      <c r="AE5" s="420">
        <v>13161741</v>
      </c>
      <c r="AF5" s="420">
        <v>13170066</v>
      </c>
      <c r="AG5" s="290"/>
      <c r="AH5" s="423">
        <v>12959189</v>
      </c>
      <c r="AI5" s="288"/>
    </row>
    <row r="6" spans="1:37" ht="20.100000000000001" customHeight="1">
      <c r="A6" s="285" t="s">
        <v>56</v>
      </c>
      <c r="B6" s="420">
        <v>6033931</v>
      </c>
      <c r="C6" s="420">
        <v>6036572</v>
      </c>
      <c r="D6" s="420">
        <v>6039818</v>
      </c>
      <c r="E6" s="420">
        <v>6042754</v>
      </c>
      <c r="F6" s="420">
        <v>6045739</v>
      </c>
      <c r="G6" s="420">
        <v>6048584</v>
      </c>
      <c r="H6" s="420">
        <v>6050856</v>
      </c>
      <c r="I6" s="420">
        <v>6053752</v>
      </c>
      <c r="J6" s="420">
        <v>6056422</v>
      </c>
      <c r="K6" s="420">
        <v>6059347</v>
      </c>
      <c r="L6" s="420">
        <v>6062285</v>
      </c>
      <c r="M6" s="420">
        <v>6065266</v>
      </c>
      <c r="N6" s="420">
        <v>6068196</v>
      </c>
      <c r="O6" s="21">
        <v>6070613</v>
      </c>
      <c r="P6" s="420">
        <v>6073571</v>
      </c>
      <c r="Q6" s="420">
        <v>6076494</v>
      </c>
      <c r="R6" s="420">
        <v>6079366</v>
      </c>
      <c r="S6" s="420">
        <v>6082699</v>
      </c>
      <c r="T6" s="420">
        <v>6085730</v>
      </c>
      <c r="U6" s="420">
        <v>6088688</v>
      </c>
      <c r="V6" s="420">
        <v>6091562</v>
      </c>
      <c r="W6" s="420">
        <v>6093486</v>
      </c>
      <c r="X6" s="420">
        <v>6096511</v>
      </c>
      <c r="Y6" s="420">
        <v>6098470</v>
      </c>
      <c r="Z6" s="420">
        <v>6098470</v>
      </c>
      <c r="AA6" s="420">
        <v>6104137</v>
      </c>
      <c r="AB6" s="420">
        <v>6107005</v>
      </c>
      <c r="AC6" s="420">
        <v>6109275</v>
      </c>
      <c r="AD6" s="420">
        <v>6111973</v>
      </c>
      <c r="AE6" s="420">
        <v>6114471</v>
      </c>
      <c r="AF6" s="420">
        <v>6117786</v>
      </c>
      <c r="AG6" s="290"/>
      <c r="AH6" s="423">
        <v>6031431</v>
      </c>
      <c r="AI6" s="288"/>
    </row>
    <row r="7" spans="1:37" ht="20.100000000000001" customHeight="1">
      <c r="A7" s="285" t="s">
        <v>57</v>
      </c>
      <c r="B7" s="420">
        <v>424411</v>
      </c>
      <c r="C7" s="420">
        <v>429616</v>
      </c>
      <c r="D7" s="420">
        <v>435569</v>
      </c>
      <c r="E7" s="420">
        <v>441361</v>
      </c>
      <c r="F7" s="420">
        <v>447386</v>
      </c>
      <c r="G7" s="420">
        <v>453260</v>
      </c>
      <c r="H7" s="420">
        <v>458124</v>
      </c>
      <c r="I7" s="420">
        <v>464670</v>
      </c>
      <c r="J7" s="420">
        <v>464750</v>
      </c>
      <c r="K7" s="420">
        <v>464829</v>
      </c>
      <c r="L7" s="420">
        <v>464907</v>
      </c>
      <c r="M7" s="420">
        <v>464987</v>
      </c>
      <c r="N7" s="420">
        <v>465065</v>
      </c>
      <c r="O7" s="21">
        <v>465159</v>
      </c>
      <c r="P7" s="420">
        <v>465224</v>
      </c>
      <c r="Q7" s="420">
        <v>465306</v>
      </c>
      <c r="R7" s="420">
        <v>465384</v>
      </c>
      <c r="S7" s="420">
        <v>465465</v>
      </c>
      <c r="T7" s="420">
        <v>465541</v>
      </c>
      <c r="U7" s="420">
        <v>465620</v>
      </c>
      <c r="V7" s="420">
        <v>465711</v>
      </c>
      <c r="W7" s="420">
        <v>466444</v>
      </c>
      <c r="X7" s="420">
        <v>474125</v>
      </c>
      <c r="Y7" s="420">
        <v>478942</v>
      </c>
      <c r="Z7" s="420">
        <v>485182</v>
      </c>
      <c r="AA7" s="420">
        <v>491340</v>
      </c>
      <c r="AB7" s="420">
        <v>497467</v>
      </c>
      <c r="AC7" s="420">
        <v>502639</v>
      </c>
      <c r="AD7" s="420">
        <v>509477</v>
      </c>
      <c r="AE7" s="420">
        <v>515999</v>
      </c>
      <c r="AF7" s="420">
        <v>524509</v>
      </c>
      <c r="AG7" s="290"/>
      <c r="AH7" s="423">
        <v>419161</v>
      </c>
      <c r="AI7" s="288"/>
    </row>
    <row r="8" spans="1:37" ht="20.100000000000001" customHeight="1">
      <c r="A8" s="285" t="s">
        <v>58</v>
      </c>
      <c r="B8" s="420">
        <v>439472</v>
      </c>
      <c r="C8" s="420">
        <v>439558</v>
      </c>
      <c r="D8" s="420">
        <v>439655</v>
      </c>
      <c r="E8" s="420">
        <v>439748</v>
      </c>
      <c r="F8" s="420">
        <v>439542</v>
      </c>
      <c r="G8" s="420">
        <v>439932</v>
      </c>
      <c r="H8" s="420">
        <v>440004</v>
      </c>
      <c r="I8" s="420">
        <v>440493</v>
      </c>
      <c r="J8" s="420">
        <v>445845</v>
      </c>
      <c r="K8" s="420">
        <v>451529</v>
      </c>
      <c r="L8" s="420">
        <v>457072</v>
      </c>
      <c r="M8" s="420">
        <v>462972</v>
      </c>
      <c r="N8" s="420">
        <v>469053</v>
      </c>
      <c r="O8" s="21">
        <v>474876</v>
      </c>
      <c r="P8" s="420">
        <v>480232</v>
      </c>
      <c r="Q8" s="420">
        <v>486266</v>
      </c>
      <c r="R8" s="420">
        <v>492217</v>
      </c>
      <c r="S8" s="420">
        <v>498594</v>
      </c>
      <c r="T8" s="420">
        <v>504660</v>
      </c>
      <c r="U8" s="420">
        <v>510927</v>
      </c>
      <c r="V8" s="420">
        <v>517948</v>
      </c>
      <c r="W8" s="420">
        <v>522466</v>
      </c>
      <c r="X8" s="420">
        <v>522570</v>
      </c>
      <c r="Y8" s="420">
        <v>522640</v>
      </c>
      <c r="Z8" s="420">
        <v>522731</v>
      </c>
      <c r="AA8" s="420">
        <v>522821</v>
      </c>
      <c r="AB8" s="420">
        <v>522913</v>
      </c>
      <c r="AC8" s="420">
        <v>522989</v>
      </c>
      <c r="AD8" s="420">
        <v>523096</v>
      </c>
      <c r="AE8" s="420">
        <v>523189</v>
      </c>
      <c r="AF8" s="420">
        <v>523309</v>
      </c>
      <c r="AG8" s="290"/>
      <c r="AH8" s="423">
        <v>439392</v>
      </c>
      <c r="AI8" s="288"/>
    </row>
    <row r="9" spans="1:37" ht="20.100000000000001" customHeight="1">
      <c r="A9" s="285" t="s">
        <v>59</v>
      </c>
      <c r="B9" s="420">
        <v>689957</v>
      </c>
      <c r="C9" s="420">
        <v>694458</v>
      </c>
      <c r="D9" s="420">
        <v>699550</v>
      </c>
      <c r="E9" s="420">
        <v>704456</v>
      </c>
      <c r="F9" s="420">
        <v>709621</v>
      </c>
      <c r="G9" s="420">
        <v>714620</v>
      </c>
      <c r="H9" s="420">
        <v>718805</v>
      </c>
      <c r="I9" s="420">
        <v>724754</v>
      </c>
      <c r="J9" s="420">
        <v>729919</v>
      </c>
      <c r="K9" s="420">
        <v>735317</v>
      </c>
      <c r="L9" s="420">
        <v>740361</v>
      </c>
      <c r="M9" s="420">
        <v>745648</v>
      </c>
      <c r="N9" s="420">
        <v>750714</v>
      </c>
      <c r="O9" s="21">
        <v>755998</v>
      </c>
      <c r="P9" s="420">
        <v>760671</v>
      </c>
      <c r="Q9" s="420">
        <v>765947</v>
      </c>
      <c r="R9" s="420">
        <v>770861</v>
      </c>
      <c r="S9" s="420">
        <v>775936</v>
      </c>
      <c r="T9" s="420">
        <v>780750</v>
      </c>
      <c r="U9" s="420">
        <v>785893</v>
      </c>
      <c r="V9" s="420">
        <v>792032</v>
      </c>
      <c r="W9" s="420">
        <v>796553</v>
      </c>
      <c r="X9" s="420">
        <v>802978</v>
      </c>
      <c r="Y9" s="420">
        <v>806886</v>
      </c>
      <c r="Z9" s="420">
        <v>812129</v>
      </c>
      <c r="AA9" s="420">
        <v>816983</v>
      </c>
      <c r="AB9" s="420">
        <v>822093</v>
      </c>
      <c r="AC9" s="420">
        <v>826569</v>
      </c>
      <c r="AD9" s="420">
        <v>832379</v>
      </c>
      <c r="AE9" s="420">
        <v>837684</v>
      </c>
      <c r="AF9" s="420">
        <v>844567</v>
      </c>
      <c r="AG9" s="290"/>
      <c r="AH9" s="423">
        <v>685457</v>
      </c>
      <c r="AI9" s="288"/>
    </row>
    <row r="10" spans="1:37" ht="20.100000000000001" customHeight="1">
      <c r="A10" s="285" t="s">
        <v>60</v>
      </c>
      <c r="B10" s="420">
        <v>8414701</v>
      </c>
      <c r="C10" s="420">
        <v>8417503</v>
      </c>
      <c r="D10" s="420">
        <v>8421071</v>
      </c>
      <c r="E10" s="420">
        <v>8424486</v>
      </c>
      <c r="F10" s="420">
        <v>8428061</v>
      </c>
      <c r="G10" s="420">
        <v>8431379</v>
      </c>
      <c r="H10" s="420">
        <v>8434067</v>
      </c>
      <c r="I10" s="420">
        <v>8437538</v>
      </c>
      <c r="J10" s="420">
        <v>8440625</v>
      </c>
      <c r="K10" s="420">
        <v>8444124</v>
      </c>
      <c r="L10" s="420">
        <v>8447535</v>
      </c>
      <c r="M10" s="420">
        <v>8451015</v>
      </c>
      <c r="N10" s="420">
        <v>8454439</v>
      </c>
      <c r="O10" s="21">
        <v>8458110</v>
      </c>
      <c r="P10" s="420">
        <v>8460845</v>
      </c>
      <c r="Q10" s="420">
        <v>8464175</v>
      </c>
      <c r="R10" s="420">
        <v>8467585</v>
      </c>
      <c r="S10" s="420">
        <v>8471411</v>
      </c>
      <c r="T10" s="420">
        <v>8474826</v>
      </c>
      <c r="U10" s="420">
        <v>8478427</v>
      </c>
      <c r="V10" s="420">
        <v>8482220</v>
      </c>
      <c r="W10" s="420">
        <v>8484800</v>
      </c>
      <c r="X10" s="420">
        <v>8488596</v>
      </c>
      <c r="Y10" s="420">
        <v>8491166</v>
      </c>
      <c r="Z10" s="420">
        <v>8491166</v>
      </c>
      <c r="AA10" s="420">
        <v>8498002</v>
      </c>
      <c r="AB10" s="420">
        <v>8501397</v>
      </c>
      <c r="AC10" s="420">
        <v>8503880</v>
      </c>
      <c r="AD10" s="420">
        <v>8506318</v>
      </c>
      <c r="AE10" s="420">
        <v>8508988</v>
      </c>
      <c r="AF10" s="420">
        <v>8512149</v>
      </c>
      <c r="AG10" s="290"/>
      <c r="AH10" s="423">
        <v>8411901</v>
      </c>
      <c r="AI10" s="288"/>
    </row>
    <row r="11" spans="1:37" ht="22.5" customHeight="1">
      <c r="A11" s="285" t="s">
        <v>61</v>
      </c>
      <c r="B11" s="420">
        <v>322927</v>
      </c>
      <c r="C11" s="420">
        <v>323027</v>
      </c>
      <c r="D11" s="420">
        <v>323153</v>
      </c>
      <c r="E11" s="420">
        <v>323275</v>
      </c>
      <c r="F11" s="420">
        <v>323401</v>
      </c>
      <c r="G11" s="420">
        <v>323517</v>
      </c>
      <c r="H11" s="420">
        <v>323612</v>
      </c>
      <c r="I11" s="420">
        <v>323726</v>
      </c>
      <c r="J11" s="420">
        <v>323833</v>
      </c>
      <c r="K11" s="420">
        <v>323953</v>
      </c>
      <c r="L11" s="420">
        <v>324072</v>
      </c>
      <c r="M11" s="420">
        <v>324196</v>
      </c>
      <c r="N11" s="420">
        <v>324316</v>
      </c>
      <c r="O11" s="21">
        <v>324451</v>
      </c>
      <c r="P11" s="420">
        <v>324529</v>
      </c>
      <c r="Q11" s="420">
        <v>324646</v>
      </c>
      <c r="R11" s="420">
        <v>324763</v>
      </c>
      <c r="S11" s="420">
        <v>324887</v>
      </c>
      <c r="T11" s="420">
        <v>325001</v>
      </c>
      <c r="U11" s="420">
        <v>325123</v>
      </c>
      <c r="V11" s="420">
        <v>325254</v>
      </c>
      <c r="W11" s="420">
        <v>325336</v>
      </c>
      <c r="X11" s="420">
        <v>325471</v>
      </c>
      <c r="Y11" s="420">
        <v>325555</v>
      </c>
      <c r="Z11" s="420">
        <v>325676</v>
      </c>
      <c r="AA11" s="420">
        <v>325794</v>
      </c>
      <c r="AB11" s="420">
        <v>325910</v>
      </c>
      <c r="AC11" s="420">
        <v>326006</v>
      </c>
      <c r="AD11" s="420">
        <v>326112</v>
      </c>
      <c r="AE11" s="420">
        <v>326215</v>
      </c>
      <c r="AF11" s="420">
        <v>326359</v>
      </c>
      <c r="AG11" s="290"/>
      <c r="AH11" s="423">
        <v>322837</v>
      </c>
      <c r="AI11" s="288"/>
    </row>
    <row r="12" spans="1:37" s="294" customFormat="1" ht="18" customHeight="1">
      <c r="A12" s="291" t="s">
        <v>62</v>
      </c>
      <c r="B12" s="420"/>
      <c r="C12" s="420"/>
      <c r="D12" s="420"/>
      <c r="E12" s="420"/>
      <c r="F12" s="420"/>
      <c r="G12" s="420"/>
      <c r="H12" s="420"/>
      <c r="I12" s="420"/>
      <c r="J12" s="420"/>
      <c r="K12" s="420"/>
      <c r="L12" s="420"/>
      <c r="M12" s="420"/>
      <c r="N12" s="420"/>
      <c r="O12" s="21"/>
      <c r="P12" s="420"/>
      <c r="Q12" s="420"/>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23968</v>
      </c>
      <c r="C14" s="409">
        <v>24006</v>
      </c>
      <c r="D14" s="423">
        <v>24068</v>
      </c>
      <c r="E14" s="409">
        <v>24141</v>
      </c>
      <c r="F14" s="409">
        <v>24188</v>
      </c>
      <c r="G14" s="409">
        <v>24238</v>
      </c>
      <c r="H14" s="409">
        <v>24282</v>
      </c>
      <c r="I14" s="409">
        <v>24319</v>
      </c>
      <c r="J14" s="409">
        <v>24399</v>
      </c>
      <c r="K14" s="409">
        <v>24472</v>
      </c>
      <c r="L14" s="409">
        <v>24525</v>
      </c>
      <c r="M14" s="409">
        <v>24588</v>
      </c>
      <c r="N14" s="409">
        <v>24618</v>
      </c>
      <c r="O14" s="21">
        <v>24716</v>
      </c>
      <c r="P14" s="409">
        <v>24811</v>
      </c>
      <c r="Q14" s="409">
        <v>24846</v>
      </c>
      <c r="R14" s="409">
        <v>24866</v>
      </c>
      <c r="S14" s="409">
        <v>24887</v>
      </c>
      <c r="T14" s="409">
        <v>25039</v>
      </c>
      <c r="U14" s="409">
        <v>25092</v>
      </c>
      <c r="V14" s="423">
        <v>25115</v>
      </c>
      <c r="W14" s="409">
        <v>25169</v>
      </c>
      <c r="X14" s="409">
        <v>25300</v>
      </c>
      <c r="Y14" s="409">
        <v>25531</v>
      </c>
      <c r="Z14" s="409">
        <v>25594</v>
      </c>
      <c r="AA14" s="409">
        <v>25634</v>
      </c>
      <c r="AB14" s="409">
        <v>25682</v>
      </c>
      <c r="AC14" s="409">
        <v>25703</v>
      </c>
      <c r="AD14" s="409">
        <v>25725</v>
      </c>
      <c r="AE14" s="409">
        <v>25753</v>
      </c>
      <c r="AF14" s="409">
        <v>25781</v>
      </c>
      <c r="AG14" s="301">
        <f>AF14-AH14</f>
        <v>1863</v>
      </c>
      <c r="AH14" s="423">
        <v>23918</v>
      </c>
      <c r="AI14" s="299">
        <v>1863</v>
      </c>
      <c r="AJ14" s="299"/>
      <c r="AK14" s="410"/>
    </row>
    <row r="15" spans="1:37" ht="25.5">
      <c r="A15" s="282" t="s">
        <v>67</v>
      </c>
      <c r="B15" s="409">
        <v>8618</v>
      </c>
      <c r="C15" s="409">
        <v>8618</v>
      </c>
      <c r="D15" s="423">
        <v>8618</v>
      </c>
      <c r="E15" s="409">
        <v>8618</v>
      </c>
      <c r="F15" s="409">
        <v>8618</v>
      </c>
      <c r="G15" s="409">
        <v>8618</v>
      </c>
      <c r="H15" s="409">
        <v>8618</v>
      </c>
      <c r="I15" s="409">
        <v>8618</v>
      </c>
      <c r="J15" s="409">
        <v>8618</v>
      </c>
      <c r="K15" s="409">
        <v>8618</v>
      </c>
      <c r="L15" s="409">
        <v>8618</v>
      </c>
      <c r="M15" s="409">
        <v>8618</v>
      </c>
      <c r="N15" s="409">
        <v>8618</v>
      </c>
      <c r="O15" s="21">
        <v>8618</v>
      </c>
      <c r="P15" s="409">
        <v>8618</v>
      </c>
      <c r="Q15" s="409">
        <v>8618</v>
      </c>
      <c r="R15" s="409">
        <v>8618</v>
      </c>
      <c r="S15" s="409">
        <v>8618</v>
      </c>
      <c r="T15" s="409">
        <v>8618</v>
      </c>
      <c r="U15" s="409">
        <v>8618</v>
      </c>
      <c r="V15" s="423">
        <v>8618</v>
      </c>
      <c r="W15" s="409">
        <v>8618</v>
      </c>
      <c r="X15" s="409">
        <v>8711</v>
      </c>
      <c r="Y15" s="409">
        <v>8808</v>
      </c>
      <c r="Z15" s="409">
        <v>8808</v>
      </c>
      <c r="AA15" s="409">
        <v>8808</v>
      </c>
      <c r="AB15" s="409">
        <v>8808</v>
      </c>
      <c r="AC15" s="409">
        <v>8808</v>
      </c>
      <c r="AD15" s="409">
        <v>8808</v>
      </c>
      <c r="AE15" s="409">
        <v>8808</v>
      </c>
      <c r="AF15" s="409">
        <v>8808</v>
      </c>
      <c r="AG15" s="301">
        <f t="shared" ref="AG15:AG29" si="0">AF15-AH15</f>
        <v>190</v>
      </c>
      <c r="AH15" s="423">
        <v>8618</v>
      </c>
      <c r="AI15" s="144">
        <v>190</v>
      </c>
      <c r="AJ15" s="299"/>
      <c r="AK15" s="411"/>
    </row>
    <row r="16" spans="1:37" ht="25.5">
      <c r="A16" s="282" t="s">
        <v>68</v>
      </c>
      <c r="B16" s="409">
        <v>12874</v>
      </c>
      <c r="C16" s="409">
        <v>12874</v>
      </c>
      <c r="D16" s="423">
        <v>12874</v>
      </c>
      <c r="E16" s="409">
        <v>12874</v>
      </c>
      <c r="F16" s="409">
        <v>12874</v>
      </c>
      <c r="G16" s="409">
        <v>12874</v>
      </c>
      <c r="H16" s="409">
        <v>12874</v>
      </c>
      <c r="I16" s="409">
        <v>12874</v>
      </c>
      <c r="J16" s="409">
        <v>12874</v>
      </c>
      <c r="K16" s="409">
        <v>12874</v>
      </c>
      <c r="L16" s="409">
        <v>12874</v>
      </c>
      <c r="M16" s="409">
        <v>12874</v>
      </c>
      <c r="N16" s="409">
        <v>12874</v>
      </c>
      <c r="O16" s="21">
        <v>12874</v>
      </c>
      <c r="P16" s="409">
        <v>12874</v>
      </c>
      <c r="Q16" s="409">
        <v>12874</v>
      </c>
      <c r="R16" s="409">
        <v>12874</v>
      </c>
      <c r="S16" s="409">
        <v>12874</v>
      </c>
      <c r="T16" s="409">
        <v>12874</v>
      </c>
      <c r="U16" s="409">
        <v>12874</v>
      </c>
      <c r="V16" s="423">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23">
        <v>12874</v>
      </c>
      <c r="AI16" s="144">
        <v>0</v>
      </c>
      <c r="AJ16" s="299"/>
      <c r="AK16" s="411"/>
    </row>
    <row r="17" spans="1:37" ht="20.100000000000001" customHeight="1">
      <c r="A17" s="303"/>
      <c r="B17" s="406"/>
      <c r="C17" s="406"/>
      <c r="D17" s="423"/>
      <c r="E17" s="406"/>
      <c r="F17" s="406"/>
      <c r="G17" s="406"/>
      <c r="H17" s="406"/>
      <c r="I17" s="406"/>
      <c r="J17" s="406"/>
      <c r="K17" s="406"/>
      <c r="L17" s="406"/>
      <c r="M17" s="406"/>
      <c r="N17" s="406"/>
      <c r="O17" s="21"/>
      <c r="P17" s="406"/>
      <c r="Q17" s="406"/>
      <c r="R17" s="406"/>
      <c r="S17" s="406"/>
      <c r="T17" s="406"/>
      <c r="U17" s="406"/>
      <c r="V17" s="423"/>
      <c r="W17" s="406"/>
      <c r="X17" s="406"/>
      <c r="Y17" s="406"/>
      <c r="Z17" s="406"/>
      <c r="AA17" s="406"/>
      <c r="AB17" s="406"/>
      <c r="AC17" s="406"/>
      <c r="AD17" s="406"/>
      <c r="AE17" s="406"/>
      <c r="AF17" s="406"/>
      <c r="AG17" s="301">
        <f t="shared" si="0"/>
        <v>0</v>
      </c>
      <c r="AH17" s="423"/>
      <c r="AK17" s="411"/>
    </row>
    <row r="18" spans="1:37">
      <c r="A18" s="282" t="s">
        <v>69</v>
      </c>
      <c r="B18" s="408" t="s">
        <v>64</v>
      </c>
      <c r="C18" s="408" t="s">
        <v>64</v>
      </c>
      <c r="D18" s="430"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30" t="s">
        <v>64</v>
      </c>
      <c r="W18" s="408" t="s">
        <v>64</v>
      </c>
      <c r="X18" s="408" t="s">
        <v>64</v>
      </c>
      <c r="Y18" s="408" t="s">
        <v>64</v>
      </c>
      <c r="Z18" s="408" t="s">
        <v>64</v>
      </c>
      <c r="AA18" s="408" t="s">
        <v>64</v>
      </c>
      <c r="AB18" s="408" t="s">
        <v>64</v>
      </c>
      <c r="AC18" s="408" t="s">
        <v>64</v>
      </c>
      <c r="AD18" s="408" t="s">
        <v>64</v>
      </c>
      <c r="AE18" s="408" t="s">
        <v>64</v>
      </c>
      <c r="AF18" s="408" t="s">
        <v>64</v>
      </c>
      <c r="AG18" s="301"/>
      <c r="AH18" s="430" t="s">
        <v>64</v>
      </c>
      <c r="AK18" s="412"/>
    </row>
    <row r="19" spans="1:37" ht="25.5">
      <c r="A19" s="282" t="s">
        <v>70</v>
      </c>
      <c r="B19" s="413">
        <v>1066</v>
      </c>
      <c r="C19" s="413">
        <v>1239</v>
      </c>
      <c r="D19" s="423">
        <v>1429</v>
      </c>
      <c r="E19" s="413">
        <v>1605</v>
      </c>
      <c r="F19" s="413">
        <v>1799</v>
      </c>
      <c r="G19" s="413">
        <v>1979</v>
      </c>
      <c r="H19" s="413">
        <v>2105</v>
      </c>
      <c r="I19" s="413">
        <v>2174</v>
      </c>
      <c r="J19" s="413">
        <v>2329</v>
      </c>
      <c r="K19" s="413">
        <v>2549</v>
      </c>
      <c r="L19" s="413">
        <v>2728</v>
      </c>
      <c r="M19" s="413">
        <v>2912</v>
      </c>
      <c r="N19" s="413">
        <v>3084</v>
      </c>
      <c r="O19" s="21">
        <v>3219</v>
      </c>
      <c r="P19" s="413">
        <v>3495</v>
      </c>
      <c r="Q19" s="413">
        <v>3696</v>
      </c>
      <c r="R19" s="413">
        <v>3881</v>
      </c>
      <c r="S19" s="413">
        <v>4063</v>
      </c>
      <c r="T19" s="413">
        <v>4261</v>
      </c>
      <c r="U19" s="413">
        <v>4448</v>
      </c>
      <c r="V19" s="423">
        <v>4596</v>
      </c>
      <c r="W19" s="413">
        <v>4783</v>
      </c>
      <c r="X19" s="413">
        <v>4978</v>
      </c>
      <c r="Y19" s="413">
        <v>5166</v>
      </c>
      <c r="Z19" s="413">
        <v>5342</v>
      </c>
      <c r="AA19" s="413">
        <v>5587</v>
      </c>
      <c r="AB19" s="413">
        <v>6003</v>
      </c>
      <c r="AC19" s="413">
        <v>6150</v>
      </c>
      <c r="AD19" s="413">
        <v>6375</v>
      </c>
      <c r="AE19" s="413">
        <v>6463</v>
      </c>
      <c r="AF19" s="413">
        <v>6508</v>
      </c>
      <c r="AG19" s="301">
        <f t="shared" si="0"/>
        <v>5399</v>
      </c>
      <c r="AH19" s="423">
        <v>1109</v>
      </c>
      <c r="AI19" s="307">
        <v>5399</v>
      </c>
      <c r="AJ19" s="307"/>
      <c r="AK19" s="410"/>
    </row>
    <row r="20" spans="1:37" ht="25.5">
      <c r="A20" s="282" t="s">
        <v>2715</v>
      </c>
      <c r="B20" s="413">
        <v>8123</v>
      </c>
      <c r="C20" s="413">
        <v>8123</v>
      </c>
      <c r="D20" s="423">
        <v>8123</v>
      </c>
      <c r="E20" s="413">
        <v>8123</v>
      </c>
      <c r="F20" s="413">
        <v>8123</v>
      </c>
      <c r="G20" s="413">
        <v>8123</v>
      </c>
      <c r="H20" s="413">
        <v>8123</v>
      </c>
      <c r="I20" s="413">
        <v>8123</v>
      </c>
      <c r="J20" s="413">
        <v>8123</v>
      </c>
      <c r="K20" s="413">
        <v>8123</v>
      </c>
      <c r="L20" s="413">
        <v>8123</v>
      </c>
      <c r="M20" s="413">
        <v>8123</v>
      </c>
      <c r="N20" s="413">
        <v>8123</v>
      </c>
      <c r="O20" s="21">
        <v>8123</v>
      </c>
      <c r="P20" s="413">
        <v>8123</v>
      </c>
      <c r="Q20" s="413">
        <v>8123</v>
      </c>
      <c r="R20" s="413">
        <v>8123</v>
      </c>
      <c r="S20" s="413">
        <v>8123</v>
      </c>
      <c r="T20" s="413">
        <v>8123</v>
      </c>
      <c r="U20" s="413">
        <v>8123</v>
      </c>
      <c r="V20" s="423">
        <v>8123</v>
      </c>
      <c r="W20" s="413">
        <v>8123</v>
      </c>
      <c r="X20" s="413">
        <v>8123</v>
      </c>
      <c r="Y20" s="413">
        <v>8123</v>
      </c>
      <c r="Z20" s="413">
        <v>8123</v>
      </c>
      <c r="AA20" s="413">
        <v>8123</v>
      </c>
      <c r="AB20" s="413">
        <v>8123</v>
      </c>
      <c r="AC20" s="413">
        <v>8123</v>
      </c>
      <c r="AD20" s="413">
        <v>8123</v>
      </c>
      <c r="AE20" s="413">
        <v>8123</v>
      </c>
      <c r="AF20" s="413">
        <v>8123</v>
      </c>
      <c r="AG20" s="301">
        <f t="shared" si="0"/>
        <v>0</v>
      </c>
      <c r="AH20" s="423">
        <v>8123</v>
      </c>
      <c r="AI20" s="144">
        <v>0</v>
      </c>
      <c r="AJ20" s="307"/>
      <c r="AK20" s="414"/>
    </row>
    <row r="21" spans="1:37">
      <c r="A21" s="282" t="s">
        <v>72</v>
      </c>
      <c r="B21" s="409">
        <v>238478</v>
      </c>
      <c r="C21" s="409">
        <v>238584</v>
      </c>
      <c r="D21" s="239">
        <v>238654</v>
      </c>
      <c r="E21" s="413">
        <v>238721</v>
      </c>
      <c r="F21" s="409">
        <v>238808</v>
      </c>
      <c r="G21" s="409">
        <v>238890</v>
      </c>
      <c r="H21" s="409">
        <v>238901</v>
      </c>
      <c r="I21" s="409">
        <v>239009</v>
      </c>
      <c r="J21" s="409">
        <v>239143</v>
      </c>
      <c r="K21" s="409">
        <v>239239</v>
      </c>
      <c r="L21" s="409">
        <v>239334</v>
      </c>
      <c r="M21" s="409">
        <v>239408</v>
      </c>
      <c r="N21" s="409">
        <v>239489</v>
      </c>
      <c r="O21" s="21">
        <v>239575</v>
      </c>
      <c r="P21" s="409">
        <v>239641</v>
      </c>
      <c r="Q21" s="409">
        <v>239760</v>
      </c>
      <c r="R21" s="409">
        <v>239885</v>
      </c>
      <c r="S21" s="409">
        <v>239969</v>
      </c>
      <c r="T21" s="409">
        <v>240022</v>
      </c>
      <c r="U21" s="409">
        <v>240085</v>
      </c>
      <c r="V21" s="423">
        <v>240235</v>
      </c>
      <c r="W21" s="409">
        <v>240410</v>
      </c>
      <c r="X21" s="409">
        <v>240640</v>
      </c>
      <c r="Y21" s="409">
        <v>240835</v>
      </c>
      <c r="Z21" s="409">
        <v>240967</v>
      </c>
      <c r="AA21" s="409">
        <v>241055</v>
      </c>
      <c r="AB21" s="409">
        <v>241135</v>
      </c>
      <c r="AC21" s="409">
        <v>241195</v>
      </c>
      <c r="AD21" s="409">
        <v>241252</v>
      </c>
      <c r="AE21" s="409">
        <v>241397</v>
      </c>
      <c r="AF21" s="409">
        <v>241529</v>
      </c>
      <c r="AG21" s="301">
        <f t="shared" si="0"/>
        <v>3119</v>
      </c>
      <c r="AH21" s="423">
        <v>238410</v>
      </c>
      <c r="AI21" s="144">
        <v>3119</v>
      </c>
      <c r="AJ21" s="307"/>
      <c r="AK21" s="415"/>
    </row>
    <row r="22" spans="1:37">
      <c r="A22" s="282" t="s">
        <v>73</v>
      </c>
      <c r="B22" s="409">
        <v>238444</v>
      </c>
      <c r="C22" s="409">
        <v>238464</v>
      </c>
      <c r="D22" s="423">
        <v>238498</v>
      </c>
      <c r="E22" s="409">
        <v>238533</v>
      </c>
      <c r="F22" s="409">
        <v>238568</v>
      </c>
      <c r="G22" s="409">
        <v>238607</v>
      </c>
      <c r="H22" s="409">
        <v>238652</v>
      </c>
      <c r="I22" s="409">
        <v>238686</v>
      </c>
      <c r="J22" s="409">
        <v>238729</v>
      </c>
      <c r="K22" s="409">
        <v>238779</v>
      </c>
      <c r="L22" s="409">
        <v>238818</v>
      </c>
      <c r="M22" s="409">
        <v>238871</v>
      </c>
      <c r="N22" s="409">
        <v>238917</v>
      </c>
      <c r="O22" s="21">
        <v>238967</v>
      </c>
      <c r="P22" s="409">
        <v>239013</v>
      </c>
      <c r="Q22" s="409">
        <v>239066</v>
      </c>
      <c r="R22" s="409">
        <v>239116</v>
      </c>
      <c r="S22" s="409">
        <v>239182</v>
      </c>
      <c r="T22" s="409">
        <v>239232</v>
      </c>
      <c r="U22" s="409">
        <v>239283</v>
      </c>
      <c r="V22" s="423">
        <v>239335</v>
      </c>
      <c r="W22" s="409">
        <v>239409</v>
      </c>
      <c r="X22" s="409">
        <v>239459</v>
      </c>
      <c r="Y22" s="409">
        <v>239509</v>
      </c>
      <c r="Z22" s="409">
        <v>239560</v>
      </c>
      <c r="AA22" s="409">
        <v>239602</v>
      </c>
      <c r="AB22" s="409">
        <v>239688</v>
      </c>
      <c r="AC22" s="409">
        <v>239750</v>
      </c>
      <c r="AD22" s="409">
        <v>239809</v>
      </c>
      <c r="AE22" s="409">
        <v>239859</v>
      </c>
      <c r="AF22" s="409">
        <v>239915</v>
      </c>
      <c r="AG22" s="301">
        <f t="shared" si="0"/>
        <v>1520</v>
      </c>
      <c r="AH22" s="423">
        <v>238395</v>
      </c>
      <c r="AI22" s="144">
        <v>1520</v>
      </c>
      <c r="AJ22" s="307"/>
      <c r="AK22" s="415"/>
    </row>
    <row r="23" spans="1:37">
      <c r="A23" s="309" t="s">
        <v>136</v>
      </c>
      <c r="B23" s="409">
        <v>14481</v>
      </c>
      <c r="C23" s="409">
        <v>14484</v>
      </c>
      <c r="D23" s="423">
        <v>14488</v>
      </c>
      <c r="E23" s="409">
        <v>14492</v>
      </c>
      <c r="F23" s="409">
        <v>14497</v>
      </c>
      <c r="G23" s="409">
        <v>14501</v>
      </c>
      <c r="H23" s="409">
        <v>14504</v>
      </c>
      <c r="I23" s="409">
        <v>14506</v>
      </c>
      <c r="J23" s="409">
        <v>14507</v>
      </c>
      <c r="K23" s="409">
        <v>14511</v>
      </c>
      <c r="L23" s="409">
        <v>14515</v>
      </c>
      <c r="M23" s="409">
        <v>14520</v>
      </c>
      <c r="N23" s="409">
        <v>14523</v>
      </c>
      <c r="O23" s="21">
        <v>14535</v>
      </c>
      <c r="P23" s="409">
        <v>14545</v>
      </c>
      <c r="Q23" s="409">
        <v>14552</v>
      </c>
      <c r="R23" s="409">
        <v>14557</v>
      </c>
      <c r="S23" s="409">
        <v>14560</v>
      </c>
      <c r="T23" s="409">
        <v>14564</v>
      </c>
      <c r="U23" s="409">
        <v>14568</v>
      </c>
      <c r="V23" s="423">
        <v>14568</v>
      </c>
      <c r="W23" s="409">
        <v>14572</v>
      </c>
      <c r="X23" s="409">
        <v>14573</v>
      </c>
      <c r="Y23" s="409">
        <v>14577</v>
      </c>
      <c r="Z23" s="409">
        <v>14580</v>
      </c>
      <c r="AA23" s="409">
        <v>14584</v>
      </c>
      <c r="AB23" s="409">
        <v>14587</v>
      </c>
      <c r="AC23" s="409">
        <v>14595</v>
      </c>
      <c r="AD23" s="409">
        <v>14597</v>
      </c>
      <c r="AE23" s="409">
        <v>14598</v>
      </c>
      <c r="AF23" s="409">
        <v>14599</v>
      </c>
      <c r="AG23" s="301">
        <f t="shared" si="0"/>
        <v>123</v>
      </c>
      <c r="AH23" s="423">
        <v>14476</v>
      </c>
      <c r="AI23" s="144">
        <v>123</v>
      </c>
      <c r="AJ23" s="307"/>
      <c r="AK23" s="414"/>
    </row>
    <row r="24" spans="1:37">
      <c r="A24" s="309" t="s">
        <v>139</v>
      </c>
      <c r="B24" s="409">
        <v>9881</v>
      </c>
      <c r="C24" s="409">
        <v>9882</v>
      </c>
      <c r="D24" s="423">
        <v>9884</v>
      </c>
      <c r="E24" s="409">
        <v>9886</v>
      </c>
      <c r="F24" s="409">
        <v>9889</v>
      </c>
      <c r="G24" s="409">
        <v>9892</v>
      </c>
      <c r="H24" s="409">
        <v>9894</v>
      </c>
      <c r="I24" s="409">
        <v>9895</v>
      </c>
      <c r="J24" s="409">
        <v>9896</v>
      </c>
      <c r="K24" s="409">
        <v>9898</v>
      </c>
      <c r="L24" s="409">
        <v>9901</v>
      </c>
      <c r="M24" s="409">
        <v>9904</v>
      </c>
      <c r="N24" s="409">
        <v>9908</v>
      </c>
      <c r="O24" s="21">
        <v>9909</v>
      </c>
      <c r="P24" s="409">
        <v>9910</v>
      </c>
      <c r="Q24" s="409">
        <v>9918</v>
      </c>
      <c r="R24" s="409">
        <v>9920</v>
      </c>
      <c r="S24" s="409">
        <v>9922</v>
      </c>
      <c r="T24" s="409">
        <v>9924</v>
      </c>
      <c r="U24" s="409">
        <v>9926</v>
      </c>
      <c r="V24" s="423">
        <v>9926</v>
      </c>
      <c r="W24" s="409">
        <v>9928</v>
      </c>
      <c r="X24" s="409">
        <v>9928</v>
      </c>
      <c r="Y24" s="409">
        <v>9930</v>
      </c>
      <c r="Z24" s="409">
        <v>9934</v>
      </c>
      <c r="AA24" s="409">
        <v>9935</v>
      </c>
      <c r="AB24" s="409">
        <v>9936</v>
      </c>
      <c r="AC24" s="409">
        <v>9937</v>
      </c>
      <c r="AD24" s="409">
        <v>9938</v>
      </c>
      <c r="AE24" s="409">
        <v>9938</v>
      </c>
      <c r="AF24" s="409">
        <v>9938</v>
      </c>
      <c r="AG24" s="301">
        <f t="shared" si="0"/>
        <v>60</v>
      </c>
      <c r="AH24" s="423">
        <v>9878</v>
      </c>
      <c r="AI24" s="144">
        <v>60</v>
      </c>
      <c r="AJ24" s="307"/>
      <c r="AK24" s="414"/>
    </row>
    <row r="25" spans="1:37">
      <c r="A25" s="309" t="s">
        <v>142</v>
      </c>
      <c r="B25" s="409">
        <v>4018</v>
      </c>
      <c r="C25" s="409">
        <v>4018</v>
      </c>
      <c r="D25" s="423">
        <v>4018</v>
      </c>
      <c r="E25" s="409">
        <v>4018</v>
      </c>
      <c r="F25" s="409">
        <v>4018</v>
      </c>
      <c r="G25" s="409">
        <v>4018</v>
      </c>
      <c r="H25" s="409">
        <v>4018</v>
      </c>
      <c r="I25" s="409">
        <v>4018</v>
      </c>
      <c r="J25" s="409">
        <v>4018</v>
      </c>
      <c r="K25" s="409">
        <v>4018</v>
      </c>
      <c r="L25" s="409">
        <v>4018</v>
      </c>
      <c r="M25" s="409">
        <v>4018</v>
      </c>
      <c r="N25" s="409">
        <v>4020</v>
      </c>
      <c r="O25" s="21">
        <v>4021</v>
      </c>
      <c r="P25" s="409">
        <v>4022</v>
      </c>
      <c r="Q25" s="409">
        <v>4023</v>
      </c>
      <c r="R25" s="409">
        <v>4031</v>
      </c>
      <c r="S25" s="409">
        <v>4032</v>
      </c>
      <c r="T25" s="409">
        <v>4042</v>
      </c>
      <c r="U25" s="409">
        <v>4051</v>
      </c>
      <c r="V25" s="423">
        <v>4049</v>
      </c>
      <c r="W25" s="409">
        <v>4054</v>
      </c>
      <c r="X25" s="409">
        <v>4054</v>
      </c>
      <c r="Y25" s="409">
        <v>4055</v>
      </c>
      <c r="Z25" s="409">
        <v>4055</v>
      </c>
      <c r="AA25" s="409">
        <v>4055</v>
      </c>
      <c r="AB25" s="409">
        <v>4055</v>
      </c>
      <c r="AC25" s="409">
        <v>4055</v>
      </c>
      <c r="AD25" s="409">
        <v>4055</v>
      </c>
      <c r="AE25" s="409">
        <v>4055</v>
      </c>
      <c r="AF25" s="409">
        <v>4055</v>
      </c>
      <c r="AG25" s="301">
        <f t="shared" si="0"/>
        <v>37</v>
      </c>
      <c r="AH25" s="423">
        <v>4018</v>
      </c>
      <c r="AI25" s="144">
        <v>37</v>
      </c>
      <c r="AJ25" s="307"/>
      <c r="AK25" s="414"/>
    </row>
    <row r="26" spans="1:37">
      <c r="A26" s="309" t="s">
        <v>145</v>
      </c>
      <c r="B26" s="409">
        <v>2395</v>
      </c>
      <c r="C26" s="409">
        <v>2398</v>
      </c>
      <c r="D26" s="423">
        <v>2400</v>
      </c>
      <c r="E26" s="409">
        <v>2402</v>
      </c>
      <c r="F26" s="409">
        <v>2403</v>
      </c>
      <c r="G26" s="409">
        <v>2404</v>
      </c>
      <c r="H26" s="409">
        <v>2404</v>
      </c>
      <c r="I26" s="409">
        <v>2405</v>
      </c>
      <c r="J26" s="409">
        <v>2406</v>
      </c>
      <c r="K26" s="409">
        <v>2407</v>
      </c>
      <c r="L26" s="409">
        <v>2409</v>
      </c>
      <c r="M26" s="409">
        <v>2411</v>
      </c>
      <c r="N26" s="409">
        <v>2412</v>
      </c>
      <c r="O26" s="21">
        <v>2413</v>
      </c>
      <c r="P26" s="409">
        <v>2414</v>
      </c>
      <c r="Q26" s="409">
        <v>2416</v>
      </c>
      <c r="R26" s="409">
        <v>2417</v>
      </c>
      <c r="S26" s="409">
        <v>2421</v>
      </c>
      <c r="T26" s="409">
        <v>2422</v>
      </c>
      <c r="U26" s="409">
        <v>2423</v>
      </c>
      <c r="V26" s="423">
        <v>2423</v>
      </c>
      <c r="W26" s="409">
        <v>2424</v>
      </c>
      <c r="X26" s="409">
        <v>2425</v>
      </c>
      <c r="Y26" s="409">
        <v>2425</v>
      </c>
      <c r="Z26" s="409">
        <v>2426</v>
      </c>
      <c r="AA26" s="409">
        <v>2428</v>
      </c>
      <c r="AB26" s="409">
        <v>2429</v>
      </c>
      <c r="AC26" s="409">
        <v>2430</v>
      </c>
      <c r="AD26" s="409">
        <v>2431</v>
      </c>
      <c r="AE26" s="409">
        <v>2431</v>
      </c>
      <c r="AF26" s="409">
        <v>2431</v>
      </c>
      <c r="AG26" s="301">
        <f t="shared" si="0"/>
        <v>37</v>
      </c>
      <c r="AH26" s="423">
        <v>2394</v>
      </c>
      <c r="AI26" s="144">
        <v>37</v>
      </c>
      <c r="AJ26" s="307"/>
      <c r="AK26" s="414"/>
    </row>
    <row r="27" spans="1:37">
      <c r="A27" s="309" t="s">
        <v>148</v>
      </c>
      <c r="B27" s="409">
        <v>15955</v>
      </c>
      <c r="C27" s="409">
        <v>15956</v>
      </c>
      <c r="D27" s="423">
        <v>15958</v>
      </c>
      <c r="E27" s="409">
        <v>15961</v>
      </c>
      <c r="F27" s="409">
        <v>15963</v>
      </c>
      <c r="G27" s="409">
        <v>15966</v>
      </c>
      <c r="H27" s="409">
        <v>15968</v>
      </c>
      <c r="I27" s="409">
        <v>15969</v>
      </c>
      <c r="J27" s="409">
        <v>15970</v>
      </c>
      <c r="K27" s="409">
        <v>15972</v>
      </c>
      <c r="L27" s="409">
        <v>15974</v>
      </c>
      <c r="M27" s="409">
        <v>15977</v>
      </c>
      <c r="N27" s="409">
        <v>15979</v>
      </c>
      <c r="O27" s="21">
        <v>15980</v>
      </c>
      <c r="P27" s="409">
        <v>15981</v>
      </c>
      <c r="Q27" s="409">
        <v>15983</v>
      </c>
      <c r="R27" s="409">
        <v>15985</v>
      </c>
      <c r="S27" s="409">
        <v>15987</v>
      </c>
      <c r="T27" s="409">
        <v>16004</v>
      </c>
      <c r="U27" s="409">
        <v>16007</v>
      </c>
      <c r="V27" s="423">
        <v>16007</v>
      </c>
      <c r="W27" s="409">
        <v>16011</v>
      </c>
      <c r="X27" s="409">
        <v>16013</v>
      </c>
      <c r="Y27" s="409">
        <v>16017</v>
      </c>
      <c r="Z27" s="409">
        <v>16019</v>
      </c>
      <c r="AA27" s="409">
        <v>16021</v>
      </c>
      <c r="AB27" s="409">
        <v>16023</v>
      </c>
      <c r="AC27" s="409">
        <v>16023</v>
      </c>
      <c r="AD27" s="409">
        <v>16024</v>
      </c>
      <c r="AE27" s="409">
        <v>16025</v>
      </c>
      <c r="AF27" s="409">
        <v>16025</v>
      </c>
      <c r="AG27" s="301">
        <f t="shared" si="0"/>
        <v>74</v>
      </c>
      <c r="AH27" s="423">
        <v>15951</v>
      </c>
      <c r="AI27" s="144">
        <v>74</v>
      </c>
      <c r="AJ27" s="307"/>
      <c r="AK27" s="414"/>
    </row>
    <row r="28" spans="1:37">
      <c r="A28" s="309" t="s">
        <v>151</v>
      </c>
      <c r="B28" s="409">
        <v>1339</v>
      </c>
      <c r="C28" s="409">
        <v>1339</v>
      </c>
      <c r="D28" s="423">
        <v>1339</v>
      </c>
      <c r="E28" s="409">
        <v>1339</v>
      </c>
      <c r="F28" s="409">
        <v>1339</v>
      </c>
      <c r="G28" s="409">
        <v>1339</v>
      </c>
      <c r="H28" s="409">
        <v>1339</v>
      </c>
      <c r="I28" s="409">
        <v>1339</v>
      </c>
      <c r="J28" s="409">
        <v>1339</v>
      </c>
      <c r="K28" s="409">
        <v>1339</v>
      </c>
      <c r="L28" s="409">
        <v>1339</v>
      </c>
      <c r="M28" s="409">
        <v>1339</v>
      </c>
      <c r="N28" s="409">
        <v>1339</v>
      </c>
      <c r="O28" s="21">
        <v>1339</v>
      </c>
      <c r="P28" s="409">
        <v>1339</v>
      </c>
      <c r="Q28" s="409">
        <v>1339</v>
      </c>
      <c r="R28" s="409">
        <v>1339</v>
      </c>
      <c r="S28" s="409">
        <v>1339</v>
      </c>
      <c r="T28" s="409">
        <v>1339</v>
      </c>
      <c r="U28" s="409">
        <v>1339</v>
      </c>
      <c r="V28" s="423">
        <v>1339</v>
      </c>
      <c r="W28" s="409">
        <v>1339</v>
      </c>
      <c r="X28" s="409">
        <v>1339</v>
      </c>
      <c r="Y28" s="409">
        <v>1339</v>
      </c>
      <c r="Z28" s="409">
        <v>1339</v>
      </c>
      <c r="AA28" s="409">
        <v>1339</v>
      </c>
      <c r="AB28" s="409">
        <v>1339</v>
      </c>
      <c r="AC28" s="409">
        <v>1339</v>
      </c>
      <c r="AD28" s="409">
        <v>1339</v>
      </c>
      <c r="AE28" s="409">
        <v>1339</v>
      </c>
      <c r="AF28" s="409">
        <v>1339</v>
      </c>
      <c r="AG28" s="301">
        <f t="shared" si="0"/>
        <v>0</v>
      </c>
      <c r="AH28" s="423">
        <v>1339</v>
      </c>
      <c r="AI28" s="144">
        <v>0</v>
      </c>
      <c r="AJ28" s="307"/>
      <c r="AK28" s="414"/>
    </row>
    <row r="29" spans="1:37">
      <c r="A29" s="309" t="s">
        <v>154</v>
      </c>
      <c r="B29" s="409">
        <v>1178</v>
      </c>
      <c r="C29" s="409">
        <v>1179</v>
      </c>
      <c r="D29" s="423">
        <v>1180</v>
      </c>
      <c r="E29" s="409">
        <v>1181</v>
      </c>
      <c r="F29" s="409">
        <v>1182</v>
      </c>
      <c r="G29" s="409">
        <v>1183</v>
      </c>
      <c r="H29" s="409">
        <v>1183</v>
      </c>
      <c r="I29" s="409">
        <v>1184</v>
      </c>
      <c r="J29" s="409">
        <v>1184</v>
      </c>
      <c r="K29" s="409">
        <v>1185</v>
      </c>
      <c r="L29" s="409">
        <v>1186</v>
      </c>
      <c r="M29" s="409">
        <v>1187</v>
      </c>
      <c r="N29" s="409">
        <v>1188</v>
      </c>
      <c r="O29" s="21">
        <v>1189</v>
      </c>
      <c r="P29" s="409">
        <v>1190</v>
      </c>
      <c r="Q29" s="409">
        <v>1191</v>
      </c>
      <c r="R29" s="409">
        <v>1192</v>
      </c>
      <c r="S29" s="409">
        <v>1193</v>
      </c>
      <c r="T29" s="409">
        <v>1194</v>
      </c>
      <c r="U29" s="409">
        <v>1195</v>
      </c>
      <c r="V29" s="423">
        <v>1195</v>
      </c>
      <c r="W29" s="409">
        <v>1196</v>
      </c>
      <c r="X29" s="409">
        <v>1197</v>
      </c>
      <c r="Y29" s="409">
        <v>1198</v>
      </c>
      <c r="Z29" s="409">
        <v>1199</v>
      </c>
      <c r="AA29" s="409">
        <v>1200</v>
      </c>
      <c r="AB29" s="409">
        <v>1201</v>
      </c>
      <c r="AC29" s="409">
        <v>1201</v>
      </c>
      <c r="AD29" s="409">
        <v>1202</v>
      </c>
      <c r="AE29" s="409">
        <v>1203</v>
      </c>
      <c r="AF29" s="409">
        <v>1204</v>
      </c>
      <c r="AG29" s="301">
        <f t="shared" si="0"/>
        <v>26</v>
      </c>
      <c r="AH29" s="423">
        <v>1178</v>
      </c>
      <c r="AI29" s="144">
        <v>26</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ht="25.5">
      <c r="A32" s="282" t="s">
        <v>77</v>
      </c>
      <c r="B32" s="424" t="s">
        <v>2813</v>
      </c>
      <c r="C32" s="424" t="s">
        <v>2813</v>
      </c>
      <c r="D32" s="424" t="s">
        <v>2813</v>
      </c>
      <c r="E32" s="424" t="s">
        <v>2813</v>
      </c>
      <c r="F32" s="424" t="s">
        <v>2813</v>
      </c>
      <c r="G32" s="424" t="s">
        <v>2813</v>
      </c>
      <c r="H32" s="424" t="s">
        <v>2813</v>
      </c>
      <c r="I32" s="424" t="s">
        <v>2813</v>
      </c>
      <c r="J32" s="424" t="s">
        <v>2813</v>
      </c>
      <c r="K32" s="424" t="s">
        <v>2814</v>
      </c>
      <c r="L32" s="424" t="s">
        <v>2814</v>
      </c>
      <c r="M32" s="424" t="s">
        <v>2814</v>
      </c>
      <c r="N32" s="424" t="s">
        <v>2814</v>
      </c>
      <c r="O32" s="424" t="s">
        <v>2814</v>
      </c>
      <c r="P32" s="424" t="s">
        <v>2814</v>
      </c>
      <c r="Q32" s="424" t="s">
        <v>2814</v>
      </c>
      <c r="R32" s="424" t="s">
        <v>2814</v>
      </c>
      <c r="S32" s="424" t="s">
        <v>2814</v>
      </c>
      <c r="T32" s="424" t="s">
        <v>2814</v>
      </c>
      <c r="U32" s="424" t="s">
        <v>2814</v>
      </c>
      <c r="V32" s="424" t="s">
        <v>2814</v>
      </c>
      <c r="W32" s="424" t="s">
        <v>2814</v>
      </c>
      <c r="X32" s="424" t="s">
        <v>2814</v>
      </c>
      <c r="Y32" s="424" t="s">
        <v>2814</v>
      </c>
      <c r="Z32" s="424" t="s">
        <v>2814</v>
      </c>
      <c r="AA32" s="424" t="s">
        <v>2814</v>
      </c>
      <c r="AB32" s="424" t="s">
        <v>2814</v>
      </c>
      <c r="AC32" s="424" t="s">
        <v>2814</v>
      </c>
      <c r="AD32" s="424" t="s">
        <v>2814</v>
      </c>
      <c r="AE32" s="424" t="s">
        <v>2814</v>
      </c>
      <c r="AF32" s="424" t="s">
        <v>2814</v>
      </c>
      <c r="AG32" s="301"/>
      <c r="AH32" s="424" t="s">
        <v>2813</v>
      </c>
    </row>
    <row r="33" spans="1:34" ht="25.5">
      <c r="A33" s="282" t="s">
        <v>80</v>
      </c>
      <c r="B33" s="424" t="s">
        <v>2813</v>
      </c>
      <c r="C33" s="424" t="s">
        <v>2813</v>
      </c>
      <c r="D33" s="424" t="s">
        <v>2813</v>
      </c>
      <c r="E33" s="424" t="s">
        <v>2813</v>
      </c>
      <c r="F33" s="424" t="s">
        <v>2813</v>
      </c>
      <c r="G33" s="424" t="s">
        <v>2813</v>
      </c>
      <c r="H33" s="424" t="s">
        <v>2813</v>
      </c>
      <c r="I33" s="424" t="s">
        <v>2813</v>
      </c>
      <c r="J33" s="424" t="s">
        <v>2813</v>
      </c>
      <c r="K33" s="424" t="s">
        <v>2814</v>
      </c>
      <c r="L33" s="424" t="s">
        <v>2814</v>
      </c>
      <c r="M33" s="424" t="s">
        <v>2814</v>
      </c>
      <c r="N33" s="424" t="s">
        <v>2814</v>
      </c>
      <c r="O33" s="424" t="s">
        <v>2814</v>
      </c>
      <c r="P33" s="424" t="s">
        <v>2814</v>
      </c>
      <c r="Q33" s="424" t="s">
        <v>2814</v>
      </c>
      <c r="R33" s="424" t="s">
        <v>2814</v>
      </c>
      <c r="S33" s="424" t="s">
        <v>2814</v>
      </c>
      <c r="T33" s="424" t="s">
        <v>2814</v>
      </c>
      <c r="U33" s="424" t="s">
        <v>2814</v>
      </c>
      <c r="V33" s="424" t="s">
        <v>2814</v>
      </c>
      <c r="W33" s="424" t="s">
        <v>2814</v>
      </c>
      <c r="X33" s="424" t="s">
        <v>2814</v>
      </c>
      <c r="Y33" s="424" t="s">
        <v>2814</v>
      </c>
      <c r="Z33" s="424" t="s">
        <v>2814</v>
      </c>
      <c r="AA33" s="424" t="s">
        <v>2814</v>
      </c>
      <c r="AB33" s="424" t="s">
        <v>2814</v>
      </c>
      <c r="AC33" s="424" t="s">
        <v>2814</v>
      </c>
      <c r="AD33" s="424" t="s">
        <v>2814</v>
      </c>
      <c r="AE33" s="424" t="s">
        <v>2814</v>
      </c>
      <c r="AF33" s="424" t="s">
        <v>2814</v>
      </c>
      <c r="AG33" s="301"/>
      <c r="AH33" s="424" t="s">
        <v>2813</v>
      </c>
    </row>
    <row r="34" spans="1:34" ht="15.75" thickBot="1">
      <c r="A34" s="310" t="s">
        <v>81</v>
      </c>
      <c r="B34" s="417" t="s">
        <v>2812</v>
      </c>
      <c r="C34" s="417" t="s">
        <v>2812</v>
      </c>
      <c r="D34" s="417" t="s">
        <v>2812</v>
      </c>
      <c r="E34" s="417" t="s">
        <v>2812</v>
      </c>
      <c r="F34" s="417" t="s">
        <v>2812</v>
      </c>
      <c r="G34" s="417" t="s">
        <v>2812</v>
      </c>
      <c r="H34" s="417" t="s">
        <v>2812</v>
      </c>
      <c r="I34" s="417" t="s">
        <v>2812</v>
      </c>
      <c r="J34" s="417" t="s">
        <v>2812</v>
      </c>
      <c r="K34" s="417" t="s">
        <v>2812</v>
      </c>
      <c r="L34" s="417" t="s">
        <v>2812</v>
      </c>
      <c r="M34" s="417" t="s">
        <v>2812</v>
      </c>
      <c r="N34" s="417" t="s">
        <v>2812</v>
      </c>
      <c r="O34" s="417" t="s">
        <v>2812</v>
      </c>
      <c r="P34" s="417" t="s">
        <v>2812</v>
      </c>
      <c r="Q34" s="417" t="s">
        <v>2812</v>
      </c>
      <c r="R34" s="417" t="s">
        <v>2812</v>
      </c>
      <c r="S34" s="417" t="s">
        <v>2812</v>
      </c>
      <c r="T34" s="417" t="s">
        <v>2812</v>
      </c>
      <c r="U34" s="417" t="s">
        <v>2812</v>
      </c>
      <c r="V34" s="417" t="s">
        <v>2812</v>
      </c>
      <c r="W34" s="417" t="s">
        <v>2812</v>
      </c>
      <c r="X34" s="417" t="s">
        <v>2812</v>
      </c>
      <c r="Y34" s="417" t="s">
        <v>2812</v>
      </c>
      <c r="Z34" s="417" t="s">
        <v>2812</v>
      </c>
      <c r="AA34" s="417" t="s">
        <v>2812</v>
      </c>
      <c r="AB34" s="417" t="s">
        <v>2812</v>
      </c>
      <c r="AC34" s="417" t="s">
        <v>2812</v>
      </c>
      <c r="AD34" s="417" t="s">
        <v>2812</v>
      </c>
      <c r="AE34" s="417" t="s">
        <v>2812</v>
      </c>
      <c r="AF34" s="417" t="s">
        <v>2812</v>
      </c>
      <c r="AG34" s="301"/>
      <c r="AH34" s="417" t="s">
        <v>2812</v>
      </c>
    </row>
    <row r="35" spans="1:34">
      <c r="AG35" s="211"/>
    </row>
    <row r="36" spans="1:34">
      <c r="AG36" s="211"/>
    </row>
  </sheetData>
  <mergeCells count="1">
    <mergeCell ref="A1:AH1"/>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03C78-1E67-4766-A705-329FB010D2E3}">
  <dimension ref="A1:AJ36"/>
  <sheetViews>
    <sheetView workbookViewId="0">
      <selection activeCell="J21" sqref="J21"/>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1" width="12.85546875" style="144" customWidth="1"/>
    <col min="32" max="32" width="15.710937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5" customHeight="1"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4.45" customHeight="1">
      <c r="A2" s="280"/>
      <c r="B2" s="281">
        <v>45748</v>
      </c>
      <c r="C2" s="281">
        <v>45749</v>
      </c>
      <c r="D2" s="281">
        <v>45750</v>
      </c>
      <c r="E2" s="281">
        <v>45751</v>
      </c>
      <c r="F2" s="281">
        <v>45752</v>
      </c>
      <c r="G2" s="281">
        <v>45753</v>
      </c>
      <c r="H2" s="281">
        <v>45754</v>
      </c>
      <c r="I2" s="281">
        <v>45755</v>
      </c>
      <c r="J2" s="281">
        <v>45756</v>
      </c>
      <c r="K2" s="281">
        <v>45757</v>
      </c>
      <c r="L2" s="281">
        <v>45758</v>
      </c>
      <c r="M2" s="281">
        <v>45759</v>
      </c>
      <c r="N2" s="281">
        <v>45760</v>
      </c>
      <c r="O2" s="281">
        <v>45761</v>
      </c>
      <c r="P2" s="281">
        <v>45762</v>
      </c>
      <c r="Q2" s="281">
        <v>45763</v>
      </c>
      <c r="R2" s="281">
        <v>45764</v>
      </c>
      <c r="S2" s="281">
        <v>45765</v>
      </c>
      <c r="T2" s="281">
        <v>45766</v>
      </c>
      <c r="U2" s="281">
        <v>45767</v>
      </c>
      <c r="V2" s="281">
        <v>45768</v>
      </c>
      <c r="W2" s="281">
        <v>45769</v>
      </c>
      <c r="X2" s="281">
        <v>45770</v>
      </c>
      <c r="Y2" s="281">
        <v>45771</v>
      </c>
      <c r="Z2" s="281">
        <v>45772</v>
      </c>
      <c r="AA2" s="281">
        <v>45773</v>
      </c>
      <c r="AB2" s="281">
        <v>45774</v>
      </c>
      <c r="AC2" s="281">
        <v>45775</v>
      </c>
      <c r="AD2" s="281">
        <v>45776</v>
      </c>
      <c r="AE2" s="281">
        <v>45777</v>
      </c>
      <c r="AF2" s="281"/>
      <c r="AG2" s="281">
        <v>45747</v>
      </c>
    </row>
    <row r="3" spans="1:36" ht="27" customHeight="1">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20">
        <v>469570</v>
      </c>
      <c r="C4" s="420">
        <v>469799</v>
      </c>
      <c r="D4" s="420">
        <v>470027</v>
      </c>
      <c r="E4" s="420">
        <v>470255</v>
      </c>
      <c r="F4" s="420">
        <v>470497</v>
      </c>
      <c r="G4" s="420">
        <v>470717</v>
      </c>
      <c r="H4" s="420">
        <v>470945</v>
      </c>
      <c r="I4" s="420">
        <v>471194</v>
      </c>
      <c r="J4" s="420">
        <v>471425</v>
      </c>
      <c r="K4" s="420">
        <v>471674</v>
      </c>
      <c r="L4" s="420">
        <v>471910</v>
      </c>
      <c r="M4" s="420">
        <v>472122</v>
      </c>
      <c r="N4" s="420">
        <v>472357</v>
      </c>
      <c r="O4" s="420">
        <v>472609</v>
      </c>
      <c r="P4" s="420">
        <v>472848</v>
      </c>
      <c r="Q4" s="420">
        <v>473049</v>
      </c>
      <c r="R4" s="420">
        <v>473331</v>
      </c>
      <c r="S4" s="420">
        <v>473549</v>
      </c>
      <c r="T4" s="420">
        <v>473784</v>
      </c>
      <c r="U4" s="420">
        <v>474009</v>
      </c>
      <c r="V4" s="420">
        <v>474255</v>
      </c>
      <c r="W4" s="420">
        <v>474482</v>
      </c>
      <c r="X4" s="420">
        <v>474715</v>
      </c>
      <c r="Y4" s="420">
        <v>474968</v>
      </c>
      <c r="Z4" s="420">
        <v>475184</v>
      </c>
      <c r="AA4" s="420">
        <v>475427</v>
      </c>
      <c r="AB4" s="420">
        <v>475666</v>
      </c>
      <c r="AC4" s="420">
        <v>475907</v>
      </c>
      <c r="AD4" s="420">
        <v>476146</v>
      </c>
      <c r="AE4" s="420">
        <v>476391</v>
      </c>
      <c r="AF4" s="290"/>
      <c r="AG4" s="420">
        <v>469427</v>
      </c>
      <c r="AH4" s="288"/>
    </row>
    <row r="5" spans="1:36" ht="20.100000000000001" customHeight="1">
      <c r="A5" s="285" t="s">
        <v>55</v>
      </c>
      <c r="B5" s="420">
        <v>13174114</v>
      </c>
      <c r="C5" s="420">
        <v>13180027</v>
      </c>
      <c r="D5" s="420">
        <v>13185917</v>
      </c>
      <c r="E5" s="420">
        <v>13192217</v>
      </c>
      <c r="F5" s="420">
        <v>13197958</v>
      </c>
      <c r="G5" s="420">
        <v>13203481</v>
      </c>
      <c r="H5" s="420">
        <v>13209523</v>
      </c>
      <c r="I5" s="420">
        <v>13216176</v>
      </c>
      <c r="J5" s="420">
        <v>13223049</v>
      </c>
      <c r="K5" s="420">
        <v>13230392</v>
      </c>
      <c r="L5" s="420">
        <v>13237142</v>
      </c>
      <c r="M5" s="420">
        <v>13243143</v>
      </c>
      <c r="N5" s="420">
        <v>13249541</v>
      </c>
      <c r="O5" s="420">
        <v>13257230</v>
      </c>
      <c r="P5" s="420">
        <v>13264279</v>
      </c>
      <c r="Q5" s="420">
        <v>13270510</v>
      </c>
      <c r="R5" s="420">
        <v>13279029</v>
      </c>
      <c r="S5" s="420">
        <v>13285587</v>
      </c>
      <c r="T5" s="420">
        <v>13292294</v>
      </c>
      <c r="U5" s="420">
        <v>13298822</v>
      </c>
      <c r="V5" s="420">
        <v>13306140</v>
      </c>
      <c r="W5" s="420">
        <v>13312716</v>
      </c>
      <c r="X5" s="420">
        <v>13319531</v>
      </c>
      <c r="Y5" s="420">
        <v>13326933</v>
      </c>
      <c r="Z5" s="420">
        <v>13333100</v>
      </c>
      <c r="AA5" s="420">
        <v>13339516</v>
      </c>
      <c r="AB5" s="420">
        <v>13345798</v>
      </c>
      <c r="AC5" s="420">
        <v>13352960</v>
      </c>
      <c r="AD5" s="420">
        <v>13359880</v>
      </c>
      <c r="AE5" s="420">
        <v>13368602</v>
      </c>
      <c r="AF5" s="290"/>
      <c r="AG5" s="420">
        <v>13170066</v>
      </c>
      <c r="AH5" s="288"/>
    </row>
    <row r="6" spans="1:36" ht="20.100000000000001" customHeight="1">
      <c r="A6" s="285" t="s">
        <v>56</v>
      </c>
      <c r="B6" s="420">
        <v>6119355</v>
      </c>
      <c r="C6" s="420">
        <v>6121717</v>
      </c>
      <c r="D6" s="420">
        <v>6124223</v>
      </c>
      <c r="E6" s="420">
        <v>6126623</v>
      </c>
      <c r="F6" s="420">
        <v>6129237</v>
      </c>
      <c r="G6" s="420">
        <v>6131620</v>
      </c>
      <c r="H6" s="420">
        <v>6134106</v>
      </c>
      <c r="I6" s="420">
        <v>6136990</v>
      </c>
      <c r="J6" s="420">
        <v>6139938</v>
      </c>
      <c r="K6" s="420">
        <v>6143149</v>
      </c>
      <c r="L6" s="420">
        <v>6145649</v>
      </c>
      <c r="M6" s="420">
        <v>6147913</v>
      </c>
      <c r="N6" s="420">
        <v>6150425</v>
      </c>
      <c r="O6" s="420">
        <v>6153541</v>
      </c>
      <c r="P6" s="420">
        <v>6156507</v>
      </c>
      <c r="Q6" s="420">
        <v>6158999</v>
      </c>
      <c r="R6" s="420">
        <v>6162527</v>
      </c>
      <c r="S6" s="420">
        <v>6165214</v>
      </c>
      <c r="T6" s="420">
        <v>6167854</v>
      </c>
      <c r="U6" s="420">
        <v>6170738</v>
      </c>
      <c r="V6" s="420">
        <v>6174252</v>
      </c>
      <c r="W6" s="420">
        <v>6176975</v>
      </c>
      <c r="X6" s="420">
        <v>6179726</v>
      </c>
      <c r="Y6" s="420">
        <v>6182924</v>
      </c>
      <c r="Z6" s="420">
        <v>6185558</v>
      </c>
      <c r="AA6" s="420">
        <v>6188102</v>
      </c>
      <c r="AB6" s="420">
        <v>6190877</v>
      </c>
      <c r="AC6" s="420">
        <v>6193753</v>
      </c>
      <c r="AD6" s="420">
        <v>6196710</v>
      </c>
      <c r="AE6" s="420">
        <v>6199861</v>
      </c>
      <c r="AF6" s="290"/>
      <c r="AG6" s="420">
        <v>6117786</v>
      </c>
      <c r="AH6" s="288"/>
    </row>
    <row r="7" spans="1:36" ht="20.100000000000001" customHeight="1">
      <c r="A7" s="285" t="s">
        <v>57</v>
      </c>
      <c r="B7" s="420">
        <v>528749</v>
      </c>
      <c r="C7" s="420">
        <v>534745</v>
      </c>
      <c r="D7" s="420">
        <v>541076</v>
      </c>
      <c r="E7" s="420">
        <v>547326</v>
      </c>
      <c r="F7" s="420">
        <v>555004</v>
      </c>
      <c r="G7" s="420">
        <v>555081</v>
      </c>
      <c r="H7" s="420">
        <v>555157</v>
      </c>
      <c r="I7" s="420">
        <v>555238</v>
      </c>
      <c r="J7" s="420">
        <v>555565</v>
      </c>
      <c r="K7" s="420">
        <v>555646</v>
      </c>
      <c r="L7" s="420">
        <v>555731</v>
      </c>
      <c r="M7" s="420">
        <v>555798</v>
      </c>
      <c r="N7" s="420">
        <v>563485</v>
      </c>
      <c r="O7" s="420">
        <v>571947</v>
      </c>
      <c r="P7" s="420">
        <v>580682</v>
      </c>
      <c r="Q7" s="420">
        <v>586547</v>
      </c>
      <c r="R7" s="420">
        <v>595418</v>
      </c>
      <c r="S7" s="420">
        <v>602271</v>
      </c>
      <c r="T7" s="420">
        <v>609716</v>
      </c>
      <c r="U7" s="420">
        <v>616547</v>
      </c>
      <c r="V7" s="420">
        <v>624700</v>
      </c>
      <c r="W7" s="420">
        <v>631892</v>
      </c>
      <c r="X7" s="420">
        <v>639610</v>
      </c>
      <c r="Y7" s="420">
        <v>648219</v>
      </c>
      <c r="Z7" s="420">
        <v>655677</v>
      </c>
      <c r="AA7" s="420">
        <v>664357</v>
      </c>
      <c r="AB7" s="420">
        <v>664438</v>
      </c>
      <c r="AC7" s="420">
        <v>664515</v>
      </c>
      <c r="AD7" s="420">
        <v>664589</v>
      </c>
      <c r="AE7" s="420">
        <v>664669</v>
      </c>
      <c r="AF7" s="290"/>
      <c r="AG7" s="420">
        <v>524509</v>
      </c>
      <c r="AH7" s="288"/>
    </row>
    <row r="8" spans="1:36" ht="20.100000000000001" customHeight="1">
      <c r="A8" s="285" t="s">
        <v>58</v>
      </c>
      <c r="B8" s="420">
        <v>523369</v>
      </c>
      <c r="C8" s="420">
        <v>523455</v>
      </c>
      <c r="D8" s="420">
        <v>523542</v>
      </c>
      <c r="E8" s="420">
        <v>523840</v>
      </c>
      <c r="F8" s="420">
        <v>524115</v>
      </c>
      <c r="G8" s="420">
        <v>531008</v>
      </c>
      <c r="H8" s="420">
        <v>538231</v>
      </c>
      <c r="I8" s="420">
        <v>545402</v>
      </c>
      <c r="J8" s="420">
        <v>553393</v>
      </c>
      <c r="K8" s="420">
        <v>561592</v>
      </c>
      <c r="L8" s="420">
        <v>569392</v>
      </c>
      <c r="M8" s="420">
        <v>576336</v>
      </c>
      <c r="N8" s="420">
        <v>576661</v>
      </c>
      <c r="O8" s="420">
        <v>577381</v>
      </c>
      <c r="P8" s="420">
        <v>577466</v>
      </c>
      <c r="Q8" s="420">
        <v>578405</v>
      </c>
      <c r="R8" s="420">
        <v>578506</v>
      </c>
      <c r="S8" s="420">
        <v>578586</v>
      </c>
      <c r="T8" s="420">
        <v>578681</v>
      </c>
      <c r="U8" s="420">
        <v>578766</v>
      </c>
      <c r="V8" s="420">
        <v>578857</v>
      </c>
      <c r="W8" s="420">
        <v>578940</v>
      </c>
      <c r="X8" s="420">
        <v>579025</v>
      </c>
      <c r="Y8" s="420">
        <v>579115</v>
      </c>
      <c r="Z8" s="420">
        <v>579192</v>
      </c>
      <c r="AA8" s="420">
        <v>579306</v>
      </c>
      <c r="AB8" s="420">
        <v>589153</v>
      </c>
      <c r="AC8" s="420">
        <v>600184</v>
      </c>
      <c r="AD8" s="420">
        <v>611444</v>
      </c>
      <c r="AE8" s="420">
        <v>623302</v>
      </c>
      <c r="AF8" s="290"/>
      <c r="AG8" s="420">
        <v>523309</v>
      </c>
      <c r="AH8" s="288"/>
    </row>
    <row r="9" spans="1:36" ht="20.100000000000001" customHeight="1">
      <c r="A9" s="285" t="s">
        <v>59</v>
      </c>
      <c r="B9" s="420">
        <v>847889</v>
      </c>
      <c r="C9" s="420">
        <v>852665</v>
      </c>
      <c r="D9" s="420">
        <v>857649</v>
      </c>
      <c r="E9" s="420">
        <v>862749</v>
      </c>
      <c r="F9" s="420">
        <v>868535</v>
      </c>
      <c r="G9" s="420">
        <v>873501</v>
      </c>
      <c r="H9" s="420">
        <v>878610</v>
      </c>
      <c r="I9" s="420">
        <v>884053</v>
      </c>
      <c r="J9" s="420">
        <v>889768</v>
      </c>
      <c r="K9" s="420">
        <v>895524</v>
      </c>
      <c r="L9" s="420">
        <v>902324</v>
      </c>
      <c r="M9" s="420">
        <v>906106</v>
      </c>
      <c r="N9" s="420">
        <v>911570</v>
      </c>
      <c r="O9" s="420">
        <v>917503</v>
      </c>
      <c r="P9" s="420">
        <v>923243</v>
      </c>
      <c r="Q9" s="420">
        <v>927587</v>
      </c>
      <c r="R9" s="420">
        <v>933560</v>
      </c>
      <c r="S9" s="420">
        <v>938293</v>
      </c>
      <c r="T9" s="420">
        <v>943561</v>
      </c>
      <c r="U9" s="420">
        <v>948642</v>
      </c>
      <c r="V9" s="420">
        <v>954282</v>
      </c>
      <c r="W9" s="420">
        <v>959220</v>
      </c>
      <c r="X9" s="420">
        <v>964431</v>
      </c>
      <c r="Y9" s="420">
        <v>969998</v>
      </c>
      <c r="Z9" s="420">
        <v>974627</v>
      </c>
      <c r="AA9" s="420">
        <v>980207</v>
      </c>
      <c r="AB9" s="420">
        <v>985550</v>
      </c>
      <c r="AC9" s="420">
        <v>991696</v>
      </c>
      <c r="AD9" s="420">
        <v>997807</v>
      </c>
      <c r="AE9" s="420">
        <v>1004217</v>
      </c>
      <c r="AF9" s="290"/>
      <c r="AG9" s="420">
        <v>844567</v>
      </c>
      <c r="AH9" s="288"/>
    </row>
    <row r="10" spans="1:36" ht="20.100000000000001" customHeight="1">
      <c r="A10" s="285" t="s">
        <v>60</v>
      </c>
      <c r="B10" s="420">
        <v>8513662</v>
      </c>
      <c r="C10" s="420">
        <v>8516103</v>
      </c>
      <c r="D10" s="420">
        <v>8519195</v>
      </c>
      <c r="E10" s="420">
        <v>8521795</v>
      </c>
      <c r="F10" s="420">
        <v>8524319</v>
      </c>
      <c r="G10" s="420">
        <v>8526694</v>
      </c>
      <c r="H10" s="420">
        <v>8529371</v>
      </c>
      <c r="I10" s="420">
        <v>8532531</v>
      </c>
      <c r="J10" s="420">
        <v>8536029</v>
      </c>
      <c r="K10" s="420">
        <v>8539786</v>
      </c>
      <c r="L10" s="420">
        <v>8542786</v>
      </c>
      <c r="M10" s="420">
        <v>8545428</v>
      </c>
      <c r="N10" s="420">
        <v>8548266</v>
      </c>
      <c r="O10" s="420">
        <v>8552129</v>
      </c>
      <c r="P10" s="420">
        <v>8555873</v>
      </c>
      <c r="Q10" s="420">
        <v>8558876</v>
      </c>
      <c r="R10" s="420">
        <v>8563103</v>
      </c>
      <c r="S10" s="420">
        <v>8566307</v>
      </c>
      <c r="T10" s="420">
        <v>8568808</v>
      </c>
      <c r="U10" s="420">
        <v>8571824</v>
      </c>
      <c r="V10" s="420">
        <v>8576110</v>
      </c>
      <c r="W10" s="420">
        <v>8579886</v>
      </c>
      <c r="X10" s="420">
        <v>8583729</v>
      </c>
      <c r="Y10" s="420">
        <v>8587964</v>
      </c>
      <c r="Z10" s="420">
        <v>8591351</v>
      </c>
      <c r="AA10" s="420">
        <v>8593995</v>
      </c>
      <c r="AB10" s="420">
        <v>8597009</v>
      </c>
      <c r="AC10" s="420">
        <v>8600923</v>
      </c>
      <c r="AD10" s="420">
        <v>8604852</v>
      </c>
      <c r="AE10" s="420">
        <v>8608778</v>
      </c>
      <c r="AF10" s="290"/>
      <c r="AG10" s="420">
        <v>8512149</v>
      </c>
      <c r="AH10" s="288"/>
    </row>
    <row r="11" spans="1:36" ht="22.5" customHeight="1">
      <c r="A11" s="285" t="s">
        <v>61</v>
      </c>
      <c r="B11" s="420">
        <v>326422</v>
      </c>
      <c r="C11" s="420">
        <v>326522</v>
      </c>
      <c r="D11" s="420">
        <v>326627</v>
      </c>
      <c r="E11" s="420">
        <v>326730</v>
      </c>
      <c r="F11" s="420">
        <v>326835</v>
      </c>
      <c r="G11" s="420">
        <v>326933</v>
      </c>
      <c r="H11" s="420">
        <v>327040</v>
      </c>
      <c r="I11" s="420">
        <v>327157</v>
      </c>
      <c r="J11" s="420">
        <v>327288</v>
      </c>
      <c r="K11" s="420">
        <v>327434</v>
      </c>
      <c r="L11" s="420">
        <v>327559</v>
      </c>
      <c r="M11" s="420">
        <v>327656</v>
      </c>
      <c r="N11" s="420">
        <v>327769</v>
      </c>
      <c r="O11" s="420">
        <v>327912</v>
      </c>
      <c r="P11" s="420">
        <v>328048</v>
      </c>
      <c r="Q11" s="420">
        <v>328158</v>
      </c>
      <c r="R11" s="420">
        <v>328319</v>
      </c>
      <c r="S11" s="420">
        <v>328438</v>
      </c>
      <c r="T11" s="420">
        <v>328543</v>
      </c>
      <c r="U11" s="420">
        <v>328655</v>
      </c>
      <c r="V11" s="420">
        <v>328792</v>
      </c>
      <c r="W11" s="420">
        <v>328910</v>
      </c>
      <c r="X11" s="420">
        <v>329034</v>
      </c>
      <c r="Y11" s="420">
        <v>329173</v>
      </c>
      <c r="Z11" s="420">
        <v>329288</v>
      </c>
      <c r="AA11" s="420">
        <v>329391</v>
      </c>
      <c r="AB11" s="420">
        <v>329500</v>
      </c>
      <c r="AC11" s="420">
        <v>329630</v>
      </c>
      <c r="AD11" s="420">
        <v>329757</v>
      </c>
      <c r="AE11" s="420">
        <v>329894</v>
      </c>
      <c r="AF11" s="290"/>
      <c r="AG11" s="420">
        <v>326359</v>
      </c>
      <c r="AH11" s="288"/>
    </row>
    <row r="12" spans="1:36"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07"/>
      <c r="AG12" s="420"/>
    </row>
    <row r="13" spans="1:36" ht="36.6" customHeight="1">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ht="26.1" customHeight="1">
      <c r="A14" s="282" t="s">
        <v>995</v>
      </c>
      <c r="B14" s="409">
        <v>25804</v>
      </c>
      <c r="C14" s="409">
        <v>25829</v>
      </c>
      <c r="D14" s="409">
        <v>25849</v>
      </c>
      <c r="E14" s="409">
        <v>25879</v>
      </c>
      <c r="F14" s="409">
        <v>25905</v>
      </c>
      <c r="G14" s="409">
        <v>25927</v>
      </c>
      <c r="H14" s="409">
        <v>25991</v>
      </c>
      <c r="I14" s="409">
        <v>26047</v>
      </c>
      <c r="J14" s="409">
        <v>26115</v>
      </c>
      <c r="K14" s="409">
        <v>26196</v>
      </c>
      <c r="L14" s="409">
        <v>26196</v>
      </c>
      <c r="M14" s="409">
        <v>26291</v>
      </c>
      <c r="N14" s="409">
        <v>26353</v>
      </c>
      <c r="O14" s="409">
        <v>26421</v>
      </c>
      <c r="P14" s="409">
        <v>26498</v>
      </c>
      <c r="Q14" s="409">
        <v>26570</v>
      </c>
      <c r="R14" s="409">
        <v>26649</v>
      </c>
      <c r="S14" s="409">
        <v>26699</v>
      </c>
      <c r="T14" s="409">
        <v>26744</v>
      </c>
      <c r="U14" s="409">
        <v>26814</v>
      </c>
      <c r="V14" s="409">
        <v>26887</v>
      </c>
      <c r="W14" s="409">
        <v>26969</v>
      </c>
      <c r="X14" s="409">
        <v>27067</v>
      </c>
      <c r="Y14" s="409">
        <v>27149</v>
      </c>
      <c r="Z14" s="409">
        <v>27204</v>
      </c>
      <c r="AA14" s="409">
        <v>27253</v>
      </c>
      <c r="AB14" s="409">
        <v>27305</v>
      </c>
      <c r="AC14" s="409">
        <v>27378</v>
      </c>
      <c r="AD14" s="409">
        <v>27461</v>
      </c>
      <c r="AE14" s="409">
        <v>27544</v>
      </c>
      <c r="AF14" s="301">
        <f>AE14-AG14</f>
        <v>1763</v>
      </c>
      <c r="AG14" s="409">
        <v>25781</v>
      </c>
      <c r="AH14" s="299">
        <v>1763</v>
      </c>
      <c r="AI14" s="299"/>
      <c r="AJ14" s="410"/>
    </row>
    <row r="15" spans="1:36" ht="26.1" customHeight="1">
      <c r="A15" s="282" t="s">
        <v>67</v>
      </c>
      <c r="B15" s="409">
        <v>8808</v>
      </c>
      <c r="C15" s="409">
        <v>8808</v>
      </c>
      <c r="D15" s="409">
        <v>8808</v>
      </c>
      <c r="E15" s="409">
        <v>8808</v>
      </c>
      <c r="F15" s="409">
        <v>8808</v>
      </c>
      <c r="G15" s="409">
        <v>8808</v>
      </c>
      <c r="H15" s="409">
        <v>8808</v>
      </c>
      <c r="I15" s="409">
        <v>8808</v>
      </c>
      <c r="J15" s="409">
        <v>8808</v>
      </c>
      <c r="K15" s="409">
        <v>8808</v>
      </c>
      <c r="L15" s="409">
        <v>8808</v>
      </c>
      <c r="M15" s="409">
        <v>8808</v>
      </c>
      <c r="N15" s="409">
        <v>8811</v>
      </c>
      <c r="O15" s="409">
        <v>8811</v>
      </c>
      <c r="P15" s="409">
        <v>8811</v>
      </c>
      <c r="Q15" s="409">
        <v>8811</v>
      </c>
      <c r="R15" s="409">
        <v>8813</v>
      </c>
      <c r="S15" s="409">
        <v>8813</v>
      </c>
      <c r="T15" s="409">
        <v>8813</v>
      </c>
      <c r="U15" s="409">
        <v>8813</v>
      </c>
      <c r="V15" s="409">
        <v>8813</v>
      </c>
      <c r="W15" s="409">
        <v>8813</v>
      </c>
      <c r="X15" s="409">
        <v>8813</v>
      </c>
      <c r="Y15" s="409">
        <v>8813</v>
      </c>
      <c r="Z15" s="409">
        <v>8813</v>
      </c>
      <c r="AA15" s="409">
        <v>8813</v>
      </c>
      <c r="AB15" s="409">
        <v>8813</v>
      </c>
      <c r="AC15" s="409">
        <v>8813</v>
      </c>
      <c r="AD15" s="409">
        <v>8813</v>
      </c>
      <c r="AE15" s="409">
        <v>8813</v>
      </c>
      <c r="AF15" s="301">
        <f t="shared" ref="AF15:AF29" si="0">AE15-AG15</f>
        <v>5</v>
      </c>
      <c r="AG15" s="409">
        <v>8808</v>
      </c>
      <c r="AH15" s="144">
        <v>5</v>
      </c>
      <c r="AI15" s="299"/>
      <c r="AJ15" s="411"/>
    </row>
    <row r="16" spans="1:36"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06"/>
      <c r="C17" s="406"/>
      <c r="D17" s="406"/>
      <c r="E17" s="406"/>
      <c r="F17" s="406"/>
      <c r="G17" s="406"/>
      <c r="H17" s="406"/>
      <c r="I17" s="406"/>
      <c r="J17" s="406"/>
      <c r="K17" s="406"/>
      <c r="L17" s="406"/>
      <c r="M17" s="406"/>
      <c r="N17" s="406"/>
      <c r="O17" s="406"/>
      <c r="P17" s="406"/>
      <c r="Q17" s="406"/>
      <c r="R17" s="406"/>
      <c r="S17" s="406"/>
      <c r="T17" s="406"/>
      <c r="U17" s="406"/>
      <c r="V17" s="406"/>
      <c r="W17" s="406"/>
      <c r="X17" s="406"/>
      <c r="Y17" s="406"/>
      <c r="Z17" s="406"/>
      <c r="AA17" s="406"/>
      <c r="AB17" s="406"/>
      <c r="AC17" s="406"/>
      <c r="AD17" s="406"/>
      <c r="AE17" s="406"/>
      <c r="AF17" s="301">
        <f t="shared" si="0"/>
        <v>0</v>
      </c>
      <c r="AG17" s="406"/>
      <c r="AJ17" s="411"/>
    </row>
    <row r="18" spans="1:36" ht="21.6" customHeight="1">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08" t="s">
        <v>64</v>
      </c>
      <c r="AA18" s="408" t="s">
        <v>64</v>
      </c>
      <c r="AB18" s="408" t="s">
        <v>64</v>
      </c>
      <c r="AC18" s="408" t="s">
        <v>64</v>
      </c>
      <c r="AD18" s="408" t="s">
        <v>64</v>
      </c>
      <c r="AE18" s="408" t="s">
        <v>64</v>
      </c>
      <c r="AF18" s="301" t="e">
        <f t="shared" si="0"/>
        <v>#VALUE!</v>
      </c>
      <c r="AG18" s="408" t="s">
        <v>64</v>
      </c>
      <c r="AJ18" s="412"/>
    </row>
    <row r="19" spans="1:36" ht="26.1" customHeight="1">
      <c r="A19" s="282" t="s">
        <v>70</v>
      </c>
      <c r="B19" s="413">
        <v>6662</v>
      </c>
      <c r="C19" s="413">
        <v>6777</v>
      </c>
      <c r="D19" s="413">
        <v>6882</v>
      </c>
      <c r="E19" s="413">
        <v>7003</v>
      </c>
      <c r="F19" s="413">
        <v>7122</v>
      </c>
      <c r="G19" s="413">
        <v>7314</v>
      </c>
      <c r="H19" s="413">
        <v>7494</v>
      </c>
      <c r="I19" s="413">
        <v>7632</v>
      </c>
      <c r="J19" s="413">
        <v>7880</v>
      </c>
      <c r="K19" s="413">
        <v>8053</v>
      </c>
      <c r="L19" s="413">
        <v>8053</v>
      </c>
      <c r="M19" s="413">
        <v>8394</v>
      </c>
      <c r="N19" s="413">
        <v>8516</v>
      </c>
      <c r="O19" s="413">
        <v>8747</v>
      </c>
      <c r="P19" s="413">
        <v>8981</v>
      </c>
      <c r="Q19" s="413">
        <v>9170</v>
      </c>
      <c r="R19" s="413">
        <v>9388</v>
      </c>
      <c r="S19" s="413">
        <v>9520</v>
      </c>
      <c r="T19" s="413">
        <v>9616</v>
      </c>
      <c r="U19" s="413">
        <v>9731</v>
      </c>
      <c r="V19" s="413">
        <v>9961</v>
      </c>
      <c r="W19" s="413">
        <v>10147</v>
      </c>
      <c r="X19" s="413">
        <v>10327</v>
      </c>
      <c r="Y19" s="413">
        <v>10557</v>
      </c>
      <c r="Z19" s="413">
        <v>10708</v>
      </c>
      <c r="AA19" s="413">
        <v>10832</v>
      </c>
      <c r="AB19" s="413">
        <v>11027</v>
      </c>
      <c r="AC19" s="413">
        <v>11326</v>
      </c>
      <c r="AD19" s="413">
        <v>11495</v>
      </c>
      <c r="AE19" s="413">
        <v>11705</v>
      </c>
      <c r="AF19" s="301">
        <f t="shared" si="0"/>
        <v>5197</v>
      </c>
      <c r="AG19" s="413">
        <v>6508</v>
      </c>
      <c r="AH19" s="307">
        <v>5197</v>
      </c>
      <c r="AI19" s="307"/>
      <c r="AJ19" s="410"/>
    </row>
    <row r="20" spans="1:36" ht="39" customHeight="1">
      <c r="A20" s="282" t="s">
        <v>2715</v>
      </c>
      <c r="B20" s="413">
        <v>8123</v>
      </c>
      <c r="C20" s="413">
        <v>8123</v>
      </c>
      <c r="D20" s="413">
        <v>8123</v>
      </c>
      <c r="E20" s="413">
        <v>8123</v>
      </c>
      <c r="F20" s="413">
        <v>8123</v>
      </c>
      <c r="G20" s="413">
        <v>8123</v>
      </c>
      <c r="H20" s="413">
        <v>8123</v>
      </c>
      <c r="I20" s="413">
        <v>8123</v>
      </c>
      <c r="J20" s="413">
        <v>8123</v>
      </c>
      <c r="K20" s="413">
        <v>8123</v>
      </c>
      <c r="L20" s="413">
        <v>8123</v>
      </c>
      <c r="M20" s="413">
        <v>8123</v>
      </c>
      <c r="N20" s="413">
        <v>8123</v>
      </c>
      <c r="O20" s="413">
        <v>1451178</v>
      </c>
      <c r="P20" s="413">
        <v>1552581</v>
      </c>
      <c r="Q20" s="413">
        <v>1630696</v>
      </c>
      <c r="R20" s="413">
        <v>1761189</v>
      </c>
      <c r="S20" s="413">
        <v>1763798</v>
      </c>
      <c r="T20" s="413">
        <v>1784952</v>
      </c>
      <c r="U20" s="413">
        <v>1805952</v>
      </c>
      <c r="V20" s="413">
        <v>1928061</v>
      </c>
      <c r="W20" s="413">
        <v>1951840</v>
      </c>
      <c r="X20" s="413">
        <v>2097446</v>
      </c>
      <c r="Y20" s="413">
        <v>2144578</v>
      </c>
      <c r="Z20" s="413">
        <v>2189101</v>
      </c>
      <c r="AA20" s="413">
        <v>2229276</v>
      </c>
      <c r="AB20" s="413">
        <v>2296382</v>
      </c>
      <c r="AC20" s="413">
        <v>2452304</v>
      </c>
      <c r="AD20" s="413">
        <v>2452484</v>
      </c>
      <c r="AE20" s="413">
        <v>2498403</v>
      </c>
      <c r="AF20" s="301">
        <f t="shared" si="0"/>
        <v>1047225</v>
      </c>
      <c r="AG20" s="413">
        <v>1451178</v>
      </c>
      <c r="AH20" s="144">
        <v>0</v>
      </c>
      <c r="AI20" s="307"/>
      <c r="AJ20" s="414"/>
    </row>
    <row r="21" spans="1:36" ht="26.1" customHeight="1">
      <c r="A21" s="282" t="s">
        <v>72</v>
      </c>
      <c r="B21" s="409">
        <v>241669</v>
      </c>
      <c r="C21" s="409">
        <v>241800</v>
      </c>
      <c r="D21" s="409">
        <v>241868</v>
      </c>
      <c r="E21" s="409">
        <v>241930</v>
      </c>
      <c r="F21" s="409">
        <v>241991</v>
      </c>
      <c r="G21" s="409">
        <v>242103</v>
      </c>
      <c r="H21" s="409">
        <v>242278</v>
      </c>
      <c r="I21" s="409">
        <v>242377</v>
      </c>
      <c r="J21" s="409">
        <v>242501</v>
      </c>
      <c r="K21" s="409">
        <v>242717</v>
      </c>
      <c r="L21" s="409">
        <v>242717</v>
      </c>
      <c r="M21" s="409">
        <v>243003</v>
      </c>
      <c r="N21" s="409">
        <v>243158</v>
      </c>
      <c r="O21" s="409">
        <v>243289</v>
      </c>
      <c r="P21" s="409">
        <v>243456</v>
      </c>
      <c r="Q21" s="409">
        <v>243594</v>
      </c>
      <c r="R21" s="409">
        <v>243705</v>
      </c>
      <c r="S21" s="409">
        <v>243845</v>
      </c>
      <c r="T21" s="409">
        <v>243933</v>
      </c>
      <c r="U21" s="409">
        <v>244078</v>
      </c>
      <c r="V21" s="409">
        <v>244214</v>
      </c>
      <c r="W21" s="409">
        <v>244345</v>
      </c>
      <c r="X21" s="409">
        <v>244493</v>
      </c>
      <c r="Y21" s="409">
        <v>244688</v>
      </c>
      <c r="Z21" s="409">
        <v>244802</v>
      </c>
      <c r="AA21" s="409">
        <v>244924</v>
      </c>
      <c r="AB21" s="409">
        <v>245080</v>
      </c>
      <c r="AC21" s="409">
        <v>245252</v>
      </c>
      <c r="AD21" s="409">
        <v>245458</v>
      </c>
      <c r="AE21" s="409">
        <v>245655</v>
      </c>
      <c r="AF21" s="301">
        <f t="shared" si="0"/>
        <v>4126</v>
      </c>
      <c r="AG21" s="409">
        <v>241529</v>
      </c>
      <c r="AH21" s="144">
        <v>4126</v>
      </c>
      <c r="AI21" s="307"/>
      <c r="AJ21" s="415"/>
    </row>
    <row r="22" spans="1:36">
      <c r="A22" s="282" t="s">
        <v>73</v>
      </c>
      <c r="B22" s="409">
        <v>239968</v>
      </c>
      <c r="C22" s="409">
        <v>240017</v>
      </c>
      <c r="D22" s="409">
        <v>240062</v>
      </c>
      <c r="E22" s="409">
        <v>240110</v>
      </c>
      <c r="F22" s="409">
        <v>240174</v>
      </c>
      <c r="G22" s="409">
        <v>240237</v>
      </c>
      <c r="H22" s="409">
        <v>240304</v>
      </c>
      <c r="I22" s="409">
        <v>240386</v>
      </c>
      <c r="J22" s="409">
        <v>240516</v>
      </c>
      <c r="K22" s="409">
        <v>240592</v>
      </c>
      <c r="L22" s="409">
        <v>240645</v>
      </c>
      <c r="M22" s="409">
        <v>240697</v>
      </c>
      <c r="N22" s="409">
        <v>240755</v>
      </c>
      <c r="O22" s="409">
        <v>240829</v>
      </c>
      <c r="P22" s="409">
        <v>240909</v>
      </c>
      <c r="Q22" s="409">
        <v>240979</v>
      </c>
      <c r="R22" s="409">
        <v>241050</v>
      </c>
      <c r="S22" s="409">
        <v>241126</v>
      </c>
      <c r="T22" s="409">
        <v>241195</v>
      </c>
      <c r="U22" s="409">
        <v>241251</v>
      </c>
      <c r="V22" s="409">
        <v>241322</v>
      </c>
      <c r="W22" s="409">
        <v>241385</v>
      </c>
      <c r="X22" s="409">
        <v>241513</v>
      </c>
      <c r="Y22" s="409">
        <v>241604</v>
      </c>
      <c r="Z22" s="409">
        <v>241689</v>
      </c>
      <c r="AA22" s="409">
        <v>241760</v>
      </c>
      <c r="AB22" s="409">
        <v>241837</v>
      </c>
      <c r="AC22" s="409">
        <v>241922</v>
      </c>
      <c r="AD22" s="409">
        <v>242030</v>
      </c>
      <c r="AE22" s="409">
        <v>242133</v>
      </c>
      <c r="AF22" s="301">
        <f t="shared" si="0"/>
        <v>2218</v>
      </c>
      <c r="AG22" s="409">
        <v>239915</v>
      </c>
      <c r="AH22" s="144">
        <v>2218</v>
      </c>
      <c r="AI22" s="307"/>
      <c r="AJ22" s="415"/>
    </row>
    <row r="23" spans="1:36">
      <c r="A23" s="309" t="s">
        <v>136</v>
      </c>
      <c r="B23" s="409">
        <v>14591</v>
      </c>
      <c r="C23" s="409">
        <v>14591</v>
      </c>
      <c r="D23" s="409">
        <v>14591</v>
      </c>
      <c r="E23" s="409">
        <v>14591</v>
      </c>
      <c r="F23" s="409">
        <v>14592</v>
      </c>
      <c r="G23" s="409">
        <v>14594</v>
      </c>
      <c r="H23" s="409">
        <v>14594</v>
      </c>
      <c r="I23" s="409">
        <v>14595</v>
      </c>
      <c r="J23" s="409">
        <v>14606</v>
      </c>
      <c r="K23" s="409">
        <v>14617</v>
      </c>
      <c r="L23" s="409">
        <v>14621</v>
      </c>
      <c r="M23" s="409">
        <v>14625</v>
      </c>
      <c r="N23" s="409">
        <v>14630</v>
      </c>
      <c r="O23" s="409">
        <v>14641</v>
      </c>
      <c r="P23" s="409">
        <v>14652</v>
      </c>
      <c r="Q23" s="409">
        <v>14663</v>
      </c>
      <c r="R23" s="409">
        <v>14675</v>
      </c>
      <c r="S23" s="409">
        <v>14685</v>
      </c>
      <c r="T23" s="409">
        <v>14686</v>
      </c>
      <c r="U23" s="409">
        <v>14688</v>
      </c>
      <c r="V23" s="409">
        <v>14698</v>
      </c>
      <c r="W23" s="409">
        <v>14714</v>
      </c>
      <c r="X23" s="409">
        <v>14729</v>
      </c>
      <c r="Y23" s="409">
        <v>14741</v>
      </c>
      <c r="Z23" s="409">
        <v>14747</v>
      </c>
      <c r="AA23" s="409">
        <v>14751</v>
      </c>
      <c r="AB23" s="409">
        <v>14754</v>
      </c>
      <c r="AC23" s="409">
        <v>14766</v>
      </c>
      <c r="AD23" s="409">
        <v>14778</v>
      </c>
      <c r="AE23" s="409">
        <v>14790</v>
      </c>
      <c r="AF23" s="301">
        <f t="shared" si="0"/>
        <v>191</v>
      </c>
      <c r="AG23" s="409">
        <v>14599</v>
      </c>
      <c r="AH23" s="144">
        <v>191</v>
      </c>
      <c r="AI23" s="307"/>
      <c r="AJ23" s="414"/>
    </row>
    <row r="24" spans="1:36">
      <c r="A24" s="309" t="s">
        <v>139</v>
      </c>
      <c r="B24" s="409">
        <v>9938</v>
      </c>
      <c r="C24" s="409">
        <v>9938</v>
      </c>
      <c r="D24" s="409">
        <v>9938</v>
      </c>
      <c r="E24" s="409">
        <v>9938</v>
      </c>
      <c r="F24" s="409">
        <v>9938</v>
      </c>
      <c r="G24" s="409">
        <v>9938</v>
      </c>
      <c r="H24" s="409">
        <v>9938</v>
      </c>
      <c r="I24" s="409">
        <v>9938</v>
      </c>
      <c r="J24" s="409">
        <v>9944</v>
      </c>
      <c r="K24" s="409">
        <v>9949</v>
      </c>
      <c r="L24" s="409">
        <v>9951</v>
      </c>
      <c r="M24" s="409">
        <v>9953</v>
      </c>
      <c r="N24" s="409">
        <v>9955</v>
      </c>
      <c r="O24" s="409">
        <v>9962</v>
      </c>
      <c r="P24" s="409">
        <v>9968</v>
      </c>
      <c r="Q24" s="409">
        <v>9974</v>
      </c>
      <c r="R24" s="409">
        <v>9982</v>
      </c>
      <c r="S24" s="409">
        <v>9989</v>
      </c>
      <c r="T24" s="409">
        <v>9990</v>
      </c>
      <c r="U24" s="409">
        <v>9991</v>
      </c>
      <c r="V24" s="409">
        <v>9998</v>
      </c>
      <c r="W24" s="409">
        <v>10004</v>
      </c>
      <c r="X24" s="409">
        <v>10011</v>
      </c>
      <c r="Y24" s="409">
        <v>10017</v>
      </c>
      <c r="Z24" s="409">
        <v>10020</v>
      </c>
      <c r="AA24" s="409">
        <v>10023</v>
      </c>
      <c r="AB24" s="409">
        <v>10024</v>
      </c>
      <c r="AC24" s="409">
        <v>10031</v>
      </c>
      <c r="AD24" s="409">
        <v>10041</v>
      </c>
      <c r="AE24" s="409">
        <v>10048</v>
      </c>
      <c r="AF24" s="301">
        <f t="shared" si="0"/>
        <v>110</v>
      </c>
      <c r="AG24" s="409">
        <v>9938</v>
      </c>
      <c r="AH24" s="144">
        <v>110</v>
      </c>
      <c r="AI24" s="307"/>
      <c r="AJ24" s="414"/>
    </row>
    <row r="25" spans="1:36">
      <c r="A25" s="309" t="s">
        <v>142</v>
      </c>
      <c r="B25" s="409">
        <v>4055</v>
      </c>
      <c r="C25" s="409">
        <v>4055</v>
      </c>
      <c r="D25" s="409">
        <v>4055</v>
      </c>
      <c r="E25" s="409">
        <v>4055</v>
      </c>
      <c r="F25" s="409">
        <v>4055</v>
      </c>
      <c r="G25" s="409">
        <v>4055</v>
      </c>
      <c r="H25" s="409">
        <v>4055</v>
      </c>
      <c r="I25" s="409">
        <v>4055</v>
      </c>
      <c r="J25" s="409">
        <v>4056</v>
      </c>
      <c r="K25" s="409">
        <v>4058</v>
      </c>
      <c r="L25" s="409">
        <v>4059</v>
      </c>
      <c r="M25" s="409">
        <v>4060</v>
      </c>
      <c r="N25" s="409">
        <v>4062</v>
      </c>
      <c r="O25" s="409">
        <v>4065</v>
      </c>
      <c r="P25" s="409">
        <v>4067</v>
      </c>
      <c r="Q25" s="409">
        <v>4070</v>
      </c>
      <c r="R25" s="409">
        <v>4074</v>
      </c>
      <c r="S25" s="409">
        <v>4077</v>
      </c>
      <c r="T25" s="409">
        <v>4077</v>
      </c>
      <c r="U25" s="409">
        <v>4077</v>
      </c>
      <c r="V25" s="409">
        <v>4081</v>
      </c>
      <c r="W25" s="409">
        <v>4084</v>
      </c>
      <c r="X25" s="409">
        <v>4087</v>
      </c>
      <c r="Y25" s="409">
        <v>4091</v>
      </c>
      <c r="Z25" s="409">
        <v>4093</v>
      </c>
      <c r="AA25" s="409">
        <v>4095</v>
      </c>
      <c r="AB25" s="409">
        <v>4095</v>
      </c>
      <c r="AC25" s="409">
        <v>4099</v>
      </c>
      <c r="AD25" s="409">
        <v>4103</v>
      </c>
      <c r="AE25" s="409">
        <v>4106</v>
      </c>
      <c r="AF25" s="301">
        <f t="shared" si="0"/>
        <v>51</v>
      </c>
      <c r="AG25" s="409">
        <v>4055</v>
      </c>
      <c r="AH25" s="144">
        <v>51</v>
      </c>
      <c r="AI25" s="307"/>
      <c r="AJ25" s="414"/>
    </row>
    <row r="26" spans="1:36">
      <c r="A26" s="309" t="s">
        <v>145</v>
      </c>
      <c r="B26" s="409">
        <v>2431</v>
      </c>
      <c r="C26" s="409">
        <v>2431</v>
      </c>
      <c r="D26" s="409">
        <v>2431</v>
      </c>
      <c r="E26" s="409">
        <v>2431</v>
      </c>
      <c r="F26" s="409">
        <v>2431</v>
      </c>
      <c r="G26" s="409">
        <v>2432</v>
      </c>
      <c r="H26" s="409">
        <v>2432</v>
      </c>
      <c r="I26" s="409">
        <v>2434</v>
      </c>
      <c r="J26" s="409">
        <v>2436</v>
      </c>
      <c r="K26" s="409">
        <v>2438</v>
      </c>
      <c r="L26" s="409">
        <v>2439</v>
      </c>
      <c r="M26" s="409">
        <v>2440</v>
      </c>
      <c r="N26" s="409">
        <v>2442</v>
      </c>
      <c r="O26" s="409">
        <v>2444</v>
      </c>
      <c r="P26" s="409">
        <v>2446</v>
      </c>
      <c r="Q26" s="409">
        <v>2449</v>
      </c>
      <c r="R26" s="409">
        <v>2452</v>
      </c>
      <c r="S26" s="409">
        <v>2454</v>
      </c>
      <c r="T26" s="409">
        <v>2454</v>
      </c>
      <c r="U26" s="409">
        <v>2455</v>
      </c>
      <c r="V26" s="409">
        <v>2457</v>
      </c>
      <c r="W26" s="409">
        <v>2459</v>
      </c>
      <c r="X26" s="409">
        <v>2462</v>
      </c>
      <c r="Y26" s="409">
        <v>2465</v>
      </c>
      <c r="Z26" s="409">
        <v>2466</v>
      </c>
      <c r="AA26" s="409">
        <v>2467</v>
      </c>
      <c r="AB26" s="409">
        <v>2468</v>
      </c>
      <c r="AC26" s="409">
        <v>2470</v>
      </c>
      <c r="AD26" s="409">
        <v>2472</v>
      </c>
      <c r="AE26" s="409">
        <v>2474</v>
      </c>
      <c r="AF26" s="301">
        <f t="shared" si="0"/>
        <v>43</v>
      </c>
      <c r="AG26" s="409">
        <v>2431</v>
      </c>
      <c r="AH26" s="144">
        <v>43</v>
      </c>
      <c r="AI26" s="307"/>
      <c r="AJ26" s="414"/>
    </row>
    <row r="27" spans="1:36">
      <c r="A27" s="309" t="s">
        <v>148</v>
      </c>
      <c r="B27" s="409">
        <v>16025</v>
      </c>
      <c r="C27" s="409">
        <v>16025</v>
      </c>
      <c r="D27" s="409">
        <v>16025</v>
      </c>
      <c r="E27" s="409">
        <v>16025</v>
      </c>
      <c r="F27" s="409">
        <v>16025</v>
      </c>
      <c r="G27" s="409">
        <v>16025</v>
      </c>
      <c r="H27" s="409">
        <v>16026</v>
      </c>
      <c r="I27" s="409">
        <v>16028</v>
      </c>
      <c r="J27" s="409">
        <v>16039</v>
      </c>
      <c r="K27" s="409">
        <v>16050</v>
      </c>
      <c r="L27" s="409">
        <v>16055</v>
      </c>
      <c r="M27" s="409">
        <v>16058</v>
      </c>
      <c r="N27" s="409">
        <v>16062</v>
      </c>
      <c r="O27" s="409">
        <v>16070</v>
      </c>
      <c r="P27" s="409">
        <v>16080</v>
      </c>
      <c r="Q27" s="409">
        <v>16087</v>
      </c>
      <c r="R27" s="409">
        <v>16097</v>
      </c>
      <c r="S27" s="409">
        <v>16107</v>
      </c>
      <c r="T27" s="409">
        <v>16108</v>
      </c>
      <c r="U27" s="409">
        <v>16109</v>
      </c>
      <c r="V27" s="409">
        <v>16119</v>
      </c>
      <c r="W27" s="409">
        <v>16128</v>
      </c>
      <c r="X27" s="409">
        <v>16140</v>
      </c>
      <c r="Y27" s="409">
        <v>16149</v>
      </c>
      <c r="Z27" s="409">
        <v>16155</v>
      </c>
      <c r="AA27" s="409">
        <v>16160</v>
      </c>
      <c r="AB27" s="409">
        <v>16162</v>
      </c>
      <c r="AC27" s="409">
        <v>16171</v>
      </c>
      <c r="AD27" s="409">
        <v>16184</v>
      </c>
      <c r="AE27" s="409">
        <v>16194</v>
      </c>
      <c r="AF27" s="301">
        <f t="shared" si="0"/>
        <v>169</v>
      </c>
      <c r="AG27" s="409">
        <v>16025</v>
      </c>
      <c r="AH27" s="144">
        <v>169</v>
      </c>
      <c r="AI27" s="307"/>
      <c r="AJ27" s="414"/>
    </row>
    <row r="28" spans="1:36" ht="15.6" customHeight="1">
      <c r="A28" s="309" t="s">
        <v>151</v>
      </c>
      <c r="B28" s="409">
        <v>1339</v>
      </c>
      <c r="C28" s="409">
        <v>1339</v>
      </c>
      <c r="D28" s="409">
        <v>1339</v>
      </c>
      <c r="E28" s="409">
        <v>1339</v>
      </c>
      <c r="F28" s="409">
        <v>1339</v>
      </c>
      <c r="G28" s="409">
        <v>1339</v>
      </c>
      <c r="H28" s="409">
        <v>1339</v>
      </c>
      <c r="I28" s="409">
        <v>1339</v>
      </c>
      <c r="J28" s="409">
        <v>1339</v>
      </c>
      <c r="K28" s="409">
        <v>1339</v>
      </c>
      <c r="L28" s="409">
        <v>1339</v>
      </c>
      <c r="M28" s="409">
        <v>1339</v>
      </c>
      <c r="N28" s="409">
        <v>1339</v>
      </c>
      <c r="O28" s="409">
        <v>1339</v>
      </c>
      <c r="P28" s="409">
        <v>1339</v>
      </c>
      <c r="Q28" s="409">
        <v>1339</v>
      </c>
      <c r="R28" s="409">
        <v>1339</v>
      </c>
      <c r="S28" s="409">
        <v>1339</v>
      </c>
      <c r="T28" s="409">
        <v>1339</v>
      </c>
      <c r="U28" s="409">
        <v>1339</v>
      </c>
      <c r="V28" s="409">
        <v>1339</v>
      </c>
      <c r="W28" s="409">
        <v>1339</v>
      </c>
      <c r="X28" s="409">
        <v>1339</v>
      </c>
      <c r="Y28" s="409">
        <v>1339</v>
      </c>
      <c r="Z28" s="409">
        <v>1339</v>
      </c>
      <c r="AA28" s="409">
        <v>1339</v>
      </c>
      <c r="AB28" s="409">
        <v>1339</v>
      </c>
      <c r="AC28" s="409">
        <v>1339</v>
      </c>
      <c r="AD28" s="409">
        <v>1339</v>
      </c>
      <c r="AE28" s="409">
        <v>1339</v>
      </c>
      <c r="AF28" s="301">
        <f t="shared" si="0"/>
        <v>0</v>
      </c>
      <c r="AG28" s="409">
        <v>1339</v>
      </c>
      <c r="AH28" s="144">
        <v>0</v>
      </c>
      <c r="AI28" s="307"/>
      <c r="AJ28" s="414"/>
    </row>
    <row r="29" spans="1:36">
      <c r="A29" s="309" t="s">
        <v>154</v>
      </c>
      <c r="B29" s="409">
        <v>1205</v>
      </c>
      <c r="C29" s="409">
        <v>1205</v>
      </c>
      <c r="D29" s="409">
        <v>1206</v>
      </c>
      <c r="E29" s="409">
        <v>1207</v>
      </c>
      <c r="F29" s="409">
        <v>1208</v>
      </c>
      <c r="G29" s="409">
        <v>1208</v>
      </c>
      <c r="H29" s="409">
        <v>1209</v>
      </c>
      <c r="I29" s="409">
        <v>1211</v>
      </c>
      <c r="J29" s="409">
        <v>1212</v>
      </c>
      <c r="K29" s="409">
        <v>1213</v>
      </c>
      <c r="L29" s="409">
        <v>1214</v>
      </c>
      <c r="M29" s="409">
        <v>1214</v>
      </c>
      <c r="N29" s="409">
        <v>1215</v>
      </c>
      <c r="O29" s="409">
        <v>1216</v>
      </c>
      <c r="P29" s="409">
        <v>1217</v>
      </c>
      <c r="Q29" s="409">
        <v>1219</v>
      </c>
      <c r="R29" s="409">
        <v>1220</v>
      </c>
      <c r="S29" s="409">
        <v>1221</v>
      </c>
      <c r="T29" s="409">
        <v>1221</v>
      </c>
      <c r="U29" s="409">
        <v>1222</v>
      </c>
      <c r="V29" s="409">
        <v>1223</v>
      </c>
      <c r="W29" s="409">
        <v>1225</v>
      </c>
      <c r="X29" s="409">
        <v>1227</v>
      </c>
      <c r="Y29" s="409">
        <v>1228</v>
      </c>
      <c r="Z29" s="409">
        <v>1228</v>
      </c>
      <c r="AA29" s="409">
        <v>1229</v>
      </c>
      <c r="AB29" s="409">
        <v>1230</v>
      </c>
      <c r="AC29" s="409">
        <v>1232</v>
      </c>
      <c r="AD29" s="409">
        <v>1232</v>
      </c>
      <c r="AE29" s="409">
        <v>1233</v>
      </c>
      <c r="AF29" s="301">
        <f t="shared" si="0"/>
        <v>29</v>
      </c>
      <c r="AG29" s="409">
        <v>1204</v>
      </c>
      <c r="AH29" s="144">
        <v>29</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c r="AG30" s="406"/>
      <c r="AJ30" s="414"/>
    </row>
    <row r="31" spans="1:36" ht="21.95" customHeight="1">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c r="A32" s="282" t="s">
        <v>77</v>
      </c>
      <c r="B32" s="424" t="s">
        <v>2814</v>
      </c>
      <c r="C32" s="424" t="s">
        <v>2814</v>
      </c>
      <c r="D32" s="424" t="s">
        <v>2814</v>
      </c>
      <c r="E32" s="424" t="s">
        <v>2814</v>
      </c>
      <c r="F32" s="424" t="s">
        <v>2814</v>
      </c>
      <c r="G32" s="424" t="s">
        <v>2814</v>
      </c>
      <c r="H32" s="424" t="s">
        <v>2814</v>
      </c>
      <c r="I32" s="424" t="s">
        <v>2814</v>
      </c>
      <c r="J32" s="424" t="s">
        <v>2814</v>
      </c>
      <c r="K32" s="424" t="s">
        <v>2814</v>
      </c>
      <c r="L32" s="424" t="s">
        <v>2814</v>
      </c>
      <c r="M32" s="424" t="s">
        <v>2814</v>
      </c>
      <c r="N32" s="424" t="s">
        <v>2814</v>
      </c>
      <c r="O32" s="424" t="s">
        <v>2814</v>
      </c>
      <c r="P32" s="424" t="s">
        <v>2814</v>
      </c>
      <c r="Q32" s="424" t="s">
        <v>2814</v>
      </c>
      <c r="R32" s="424" t="s">
        <v>2825</v>
      </c>
      <c r="S32" s="424" t="s">
        <v>2825</v>
      </c>
      <c r="T32" s="424" t="s">
        <v>2825</v>
      </c>
      <c r="U32" s="424" t="s">
        <v>2825</v>
      </c>
      <c r="V32" s="424" t="s">
        <v>2825</v>
      </c>
      <c r="W32" s="424" t="s">
        <v>2825</v>
      </c>
      <c r="X32" s="424" t="s">
        <v>2825</v>
      </c>
      <c r="Y32" s="424" t="s">
        <v>2825</v>
      </c>
      <c r="Z32" s="424" t="s">
        <v>2825</v>
      </c>
      <c r="AA32" s="424" t="s">
        <v>2815</v>
      </c>
      <c r="AB32" s="424" t="s">
        <v>2825</v>
      </c>
      <c r="AC32" s="424" t="s">
        <v>2815</v>
      </c>
      <c r="AD32" s="424" t="s">
        <v>2815</v>
      </c>
      <c r="AE32" s="424" t="s">
        <v>2815</v>
      </c>
      <c r="AF32" s="301"/>
      <c r="AG32" s="424" t="s">
        <v>2814</v>
      </c>
    </row>
    <row r="33" spans="1:33" ht="25.5">
      <c r="A33" s="282" t="s">
        <v>80</v>
      </c>
      <c r="B33" s="424" t="s">
        <v>2814</v>
      </c>
      <c r="C33" s="424" t="s">
        <v>2814</v>
      </c>
      <c r="D33" s="424" t="s">
        <v>2814</v>
      </c>
      <c r="E33" s="424" t="s">
        <v>2814</v>
      </c>
      <c r="F33" s="424" t="s">
        <v>2814</v>
      </c>
      <c r="G33" s="424" t="s">
        <v>2814</v>
      </c>
      <c r="H33" s="424" t="s">
        <v>2814</v>
      </c>
      <c r="I33" s="424" t="s">
        <v>2814</v>
      </c>
      <c r="J33" s="424" t="s">
        <v>2814</v>
      </c>
      <c r="K33" s="424" t="s">
        <v>2814</v>
      </c>
      <c r="L33" s="424" t="s">
        <v>2814</v>
      </c>
      <c r="M33" s="424" t="s">
        <v>2814</v>
      </c>
      <c r="N33" s="424" t="s">
        <v>2814</v>
      </c>
      <c r="O33" s="424" t="s">
        <v>2814</v>
      </c>
      <c r="P33" s="424" t="s">
        <v>2814</v>
      </c>
      <c r="Q33" s="424" t="s">
        <v>2814</v>
      </c>
      <c r="R33" s="424" t="s">
        <v>2825</v>
      </c>
      <c r="S33" s="424" t="s">
        <v>2825</v>
      </c>
      <c r="T33" s="424" t="s">
        <v>2825</v>
      </c>
      <c r="U33" s="424" t="s">
        <v>2825</v>
      </c>
      <c r="V33" s="424" t="s">
        <v>2825</v>
      </c>
      <c r="W33" s="424" t="s">
        <v>2825</v>
      </c>
      <c r="X33" s="424" t="s">
        <v>2825</v>
      </c>
      <c r="Y33" s="424" t="s">
        <v>2825</v>
      </c>
      <c r="Z33" s="424" t="s">
        <v>2825</v>
      </c>
      <c r="AA33" s="424" t="s">
        <v>2815</v>
      </c>
      <c r="AB33" s="424" t="s">
        <v>2825</v>
      </c>
      <c r="AC33" s="424" t="s">
        <v>2815</v>
      </c>
      <c r="AD33" s="424" t="s">
        <v>2815</v>
      </c>
      <c r="AE33" s="424" t="s">
        <v>2815</v>
      </c>
      <c r="AF33" s="301"/>
      <c r="AG33" s="424" t="s">
        <v>2814</v>
      </c>
    </row>
    <row r="34" spans="1:33" ht="15.75" thickBot="1">
      <c r="A34" s="310" t="s">
        <v>81</v>
      </c>
      <c r="B34" s="417" t="s">
        <v>2812</v>
      </c>
      <c r="C34" s="417" t="s">
        <v>2812</v>
      </c>
      <c r="D34" s="417" t="s">
        <v>2812</v>
      </c>
      <c r="E34" s="417" t="s">
        <v>2812</v>
      </c>
      <c r="F34" s="417" t="s">
        <v>2812</v>
      </c>
      <c r="G34" s="417" t="s">
        <v>2812</v>
      </c>
      <c r="H34" s="417" t="s">
        <v>2812</v>
      </c>
      <c r="I34" s="417" t="s">
        <v>2812</v>
      </c>
      <c r="J34" s="417" t="s">
        <v>2812</v>
      </c>
      <c r="K34" s="417" t="s">
        <v>2812</v>
      </c>
      <c r="L34" s="417" t="s">
        <v>2812</v>
      </c>
      <c r="M34" s="417" t="s">
        <v>2812</v>
      </c>
      <c r="N34" s="417" t="s">
        <v>2812</v>
      </c>
      <c r="O34" s="417" t="s">
        <v>2812</v>
      </c>
      <c r="P34" s="417" t="s">
        <v>2812</v>
      </c>
      <c r="Q34" s="417" t="s">
        <v>2812</v>
      </c>
      <c r="R34" s="417" t="s">
        <v>2816</v>
      </c>
      <c r="S34" s="417" t="s">
        <v>2816</v>
      </c>
      <c r="T34" s="417" t="s">
        <v>2816</v>
      </c>
      <c r="U34" s="417" t="s">
        <v>2816</v>
      </c>
      <c r="V34" s="417" t="s">
        <v>2816</v>
      </c>
      <c r="W34" s="417" t="s">
        <v>2816</v>
      </c>
      <c r="X34" s="417" t="s">
        <v>2816</v>
      </c>
      <c r="Y34" s="417" t="s">
        <v>2816</v>
      </c>
      <c r="Z34" s="417" t="s">
        <v>2816</v>
      </c>
      <c r="AA34" s="417" t="s">
        <v>2816</v>
      </c>
      <c r="AB34" s="417" t="s">
        <v>2816</v>
      </c>
      <c r="AC34" s="417" t="s">
        <v>2816</v>
      </c>
      <c r="AD34" s="417" t="s">
        <v>2816</v>
      </c>
      <c r="AE34" s="417" t="s">
        <v>2816</v>
      </c>
      <c r="AF34" s="301"/>
      <c r="AG34" s="417" t="s">
        <v>2812</v>
      </c>
    </row>
    <row r="35" spans="1:33">
      <c r="AF35" s="211"/>
    </row>
    <row r="36" spans="1:33">
      <c r="AF36" s="211"/>
    </row>
  </sheetData>
  <mergeCells count="1">
    <mergeCell ref="A1:AG1"/>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928C-E620-49A7-8C9D-131BA09D2531}">
  <dimension ref="A1:AK34"/>
  <sheetViews>
    <sheetView workbookViewId="0">
      <selection activeCell="I18" sqref="I18"/>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45778</v>
      </c>
      <c r="C2" s="281">
        <v>45779</v>
      </c>
      <c r="D2" s="281">
        <v>45780</v>
      </c>
      <c r="E2" s="281">
        <v>45781</v>
      </c>
      <c r="F2" s="281">
        <v>45782</v>
      </c>
      <c r="G2" s="281">
        <v>45783</v>
      </c>
      <c r="H2" s="281">
        <v>45784</v>
      </c>
      <c r="I2" s="281">
        <v>45785</v>
      </c>
      <c r="J2" s="281">
        <v>45786</v>
      </c>
      <c r="K2" s="281">
        <v>45787</v>
      </c>
      <c r="L2" s="281">
        <v>45788</v>
      </c>
      <c r="M2" s="281">
        <v>45789</v>
      </c>
      <c r="N2" s="281">
        <v>45790</v>
      </c>
      <c r="O2" s="281">
        <v>45791</v>
      </c>
      <c r="P2" s="281">
        <v>45792</v>
      </c>
      <c r="Q2" s="281">
        <v>45793</v>
      </c>
      <c r="R2" s="281">
        <v>45794</v>
      </c>
      <c r="S2" s="281">
        <v>45795</v>
      </c>
      <c r="T2" s="281">
        <v>45796</v>
      </c>
      <c r="U2" s="281">
        <v>45797</v>
      </c>
      <c r="V2" s="281">
        <v>45798</v>
      </c>
      <c r="W2" s="281">
        <v>45799</v>
      </c>
      <c r="X2" s="281">
        <v>45800</v>
      </c>
      <c r="Y2" s="281">
        <v>45801</v>
      </c>
      <c r="Z2" s="281">
        <v>45802</v>
      </c>
      <c r="AA2" s="281">
        <v>45803</v>
      </c>
      <c r="AB2" s="281">
        <v>45804</v>
      </c>
      <c r="AC2" s="281">
        <v>45805</v>
      </c>
      <c r="AD2" s="281">
        <v>45806</v>
      </c>
      <c r="AE2" s="281">
        <v>45807</v>
      </c>
      <c r="AF2" s="281">
        <v>45808</v>
      </c>
      <c r="AG2" s="281"/>
      <c r="AH2" s="281">
        <v>45777</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476641</v>
      </c>
      <c r="C4" s="420">
        <v>476855</v>
      </c>
      <c r="D4" s="420">
        <v>477113</v>
      </c>
      <c r="E4" s="420">
        <v>477333</v>
      </c>
      <c r="F4" s="420">
        <v>477576</v>
      </c>
      <c r="G4" s="420">
        <v>477818</v>
      </c>
      <c r="H4" s="420">
        <v>478066</v>
      </c>
      <c r="I4" s="420">
        <v>478308</v>
      </c>
      <c r="J4" s="420">
        <v>478533</v>
      </c>
      <c r="K4" s="420">
        <v>478788</v>
      </c>
      <c r="L4" s="420">
        <v>479015</v>
      </c>
      <c r="M4" s="420">
        <v>479253</v>
      </c>
      <c r="N4" s="420">
        <v>479511</v>
      </c>
      <c r="O4" s="420">
        <v>479758</v>
      </c>
      <c r="P4" s="420">
        <v>480015</v>
      </c>
      <c r="Q4" s="423">
        <v>480286</v>
      </c>
      <c r="R4" s="420">
        <v>480488</v>
      </c>
      <c r="S4" s="420">
        <v>480720</v>
      </c>
      <c r="T4" s="420">
        <v>480978</v>
      </c>
      <c r="U4" s="420">
        <v>481231</v>
      </c>
      <c r="V4" s="420">
        <v>481483</v>
      </c>
      <c r="W4" s="420">
        <v>481736</v>
      </c>
      <c r="X4" s="420">
        <v>481970</v>
      </c>
      <c r="Y4" s="420">
        <v>482237</v>
      </c>
      <c r="Z4" s="420">
        <v>482467</v>
      </c>
      <c r="AA4" s="420">
        <v>482728</v>
      </c>
      <c r="AB4" s="420">
        <v>482982</v>
      </c>
      <c r="AC4" s="420">
        <v>483231</v>
      </c>
      <c r="AD4" s="420">
        <v>483494</v>
      </c>
      <c r="AE4" s="429">
        <v>483759</v>
      </c>
      <c r="AF4" s="420">
        <v>483970</v>
      </c>
      <c r="AG4" s="290"/>
      <c r="AH4" s="420">
        <v>476391</v>
      </c>
      <c r="AI4" s="288"/>
    </row>
    <row r="5" spans="1:37" ht="20.100000000000001" customHeight="1">
      <c r="A5" s="285" t="s">
        <v>55</v>
      </c>
      <c r="B5" s="420">
        <v>13374402</v>
      </c>
      <c r="C5" s="420">
        <v>13380639</v>
      </c>
      <c r="D5" s="420">
        <v>13387544</v>
      </c>
      <c r="E5" s="420">
        <v>13393487</v>
      </c>
      <c r="F5" s="420">
        <v>13400569</v>
      </c>
      <c r="G5" s="420">
        <v>13407539</v>
      </c>
      <c r="H5" s="420">
        <v>13414691</v>
      </c>
      <c r="I5" s="420">
        <v>13421472</v>
      </c>
      <c r="J5" s="420">
        <v>13428086</v>
      </c>
      <c r="K5" s="420">
        <v>13435312</v>
      </c>
      <c r="L5" s="420">
        <v>13441710</v>
      </c>
      <c r="M5" s="420">
        <v>13449198</v>
      </c>
      <c r="N5" s="420">
        <v>13457250</v>
      </c>
      <c r="O5" s="420">
        <v>13465232</v>
      </c>
      <c r="P5" s="420">
        <v>13472946</v>
      </c>
      <c r="Q5" s="423">
        <v>13480758</v>
      </c>
      <c r="R5" s="420">
        <v>13486736</v>
      </c>
      <c r="S5" s="420">
        <v>13493186</v>
      </c>
      <c r="T5" s="420">
        <v>13501165</v>
      </c>
      <c r="U5" s="420">
        <v>13508901</v>
      </c>
      <c r="V5" s="420">
        <v>13516561</v>
      </c>
      <c r="W5" s="420">
        <v>13524066</v>
      </c>
      <c r="X5" s="420">
        <v>13530682</v>
      </c>
      <c r="Y5" s="420">
        <v>13538087</v>
      </c>
      <c r="Z5" s="420">
        <v>13544396</v>
      </c>
      <c r="AA5" s="420">
        <v>13552097</v>
      </c>
      <c r="AB5" s="420">
        <v>13559531</v>
      </c>
      <c r="AC5" s="420">
        <v>13566656</v>
      </c>
      <c r="AD5" s="420">
        <v>13574132</v>
      </c>
      <c r="AE5" s="429">
        <v>13581536</v>
      </c>
      <c r="AF5" s="420">
        <v>13586687</v>
      </c>
      <c r="AG5" s="290"/>
      <c r="AH5" s="420">
        <v>13368602</v>
      </c>
      <c r="AI5" s="288"/>
    </row>
    <row r="6" spans="1:37" ht="20.100000000000001" customHeight="1">
      <c r="A6" s="285" t="s">
        <v>56</v>
      </c>
      <c r="B6" s="420">
        <v>6202956</v>
      </c>
      <c r="C6" s="420">
        <v>6205556</v>
      </c>
      <c r="D6" s="420">
        <v>6208369</v>
      </c>
      <c r="E6" s="420">
        <v>6210940</v>
      </c>
      <c r="F6" s="420">
        <v>6213970</v>
      </c>
      <c r="G6" s="420">
        <v>6216934</v>
      </c>
      <c r="H6" s="420">
        <v>6220211</v>
      </c>
      <c r="I6" s="420">
        <v>6222992</v>
      </c>
      <c r="J6" s="420">
        <v>6225603</v>
      </c>
      <c r="K6" s="420">
        <v>6228168</v>
      </c>
      <c r="L6" s="420">
        <v>6230815</v>
      </c>
      <c r="M6" s="420">
        <v>6233874</v>
      </c>
      <c r="N6" s="420">
        <v>6237170</v>
      </c>
      <c r="O6" s="420">
        <v>6240402</v>
      </c>
      <c r="P6" s="420">
        <v>6243540</v>
      </c>
      <c r="Q6" s="423">
        <v>6246568</v>
      </c>
      <c r="R6" s="420">
        <v>6248964</v>
      </c>
      <c r="S6" s="420">
        <v>6251767</v>
      </c>
      <c r="T6" s="420">
        <v>6255224</v>
      </c>
      <c r="U6" s="420">
        <v>6258323</v>
      </c>
      <c r="V6" s="420">
        <v>6261572</v>
      </c>
      <c r="W6" s="420">
        <v>6264793</v>
      </c>
      <c r="X6" s="420">
        <v>6267689</v>
      </c>
      <c r="Y6" s="420">
        <v>6270742</v>
      </c>
      <c r="Z6" s="420">
        <v>6273490</v>
      </c>
      <c r="AA6" s="420">
        <v>6276894</v>
      </c>
      <c r="AB6" s="420">
        <v>6280252</v>
      </c>
      <c r="AC6" s="420">
        <v>6283272</v>
      </c>
      <c r="AD6" s="420">
        <v>6286432</v>
      </c>
      <c r="AE6" s="429">
        <v>6289482</v>
      </c>
      <c r="AF6" s="420">
        <v>6291475</v>
      </c>
      <c r="AG6" s="290"/>
      <c r="AH6" s="420">
        <v>6199861</v>
      </c>
      <c r="AI6" s="288"/>
    </row>
    <row r="7" spans="1:37" ht="20.100000000000001" customHeight="1">
      <c r="A7" s="285" t="s">
        <v>57</v>
      </c>
      <c r="B7" s="420">
        <v>664745</v>
      </c>
      <c r="C7" s="420">
        <v>664896</v>
      </c>
      <c r="D7" s="420">
        <v>664986</v>
      </c>
      <c r="E7" s="420">
        <v>665060</v>
      </c>
      <c r="F7" s="420">
        <v>665141</v>
      </c>
      <c r="G7" s="420">
        <v>665220</v>
      </c>
      <c r="H7" s="420">
        <v>665302</v>
      </c>
      <c r="I7" s="420">
        <v>665381</v>
      </c>
      <c r="J7" s="420">
        <v>665454</v>
      </c>
      <c r="K7" s="420">
        <v>665959</v>
      </c>
      <c r="L7" s="420">
        <v>673072</v>
      </c>
      <c r="M7" s="420">
        <v>682395</v>
      </c>
      <c r="N7" s="420">
        <v>685215</v>
      </c>
      <c r="O7" s="420">
        <v>685396</v>
      </c>
      <c r="P7" s="420">
        <v>685476</v>
      </c>
      <c r="Q7" s="423">
        <v>686885</v>
      </c>
      <c r="R7" s="420">
        <v>687745</v>
      </c>
      <c r="S7" s="420">
        <v>687823</v>
      </c>
      <c r="T7" s="420">
        <v>687906</v>
      </c>
      <c r="U7" s="420">
        <v>687986</v>
      </c>
      <c r="V7" s="420">
        <v>688066</v>
      </c>
      <c r="W7" s="420">
        <v>691242</v>
      </c>
      <c r="X7" s="420">
        <v>692125</v>
      </c>
      <c r="Y7" s="420">
        <v>692875</v>
      </c>
      <c r="Z7" s="420">
        <v>702057</v>
      </c>
      <c r="AA7" s="420">
        <v>714275</v>
      </c>
      <c r="AB7" s="420">
        <v>724681</v>
      </c>
      <c r="AC7" s="420">
        <v>735455</v>
      </c>
      <c r="AD7" s="420">
        <v>747461</v>
      </c>
      <c r="AE7" s="429">
        <v>754503</v>
      </c>
      <c r="AF7" s="420">
        <v>767423</v>
      </c>
      <c r="AG7" s="290"/>
      <c r="AH7" s="420">
        <v>664669</v>
      </c>
      <c r="AI7" s="288"/>
    </row>
    <row r="8" spans="1:37" ht="20.100000000000001" customHeight="1">
      <c r="A8" s="285" t="s">
        <v>58</v>
      </c>
      <c r="B8" s="420">
        <v>634142</v>
      </c>
      <c r="C8" s="420">
        <v>643608</v>
      </c>
      <c r="D8" s="420">
        <v>654273</v>
      </c>
      <c r="E8" s="420">
        <v>661541</v>
      </c>
      <c r="F8" s="420">
        <v>670251</v>
      </c>
      <c r="G8" s="420">
        <v>679297</v>
      </c>
      <c r="H8" s="420">
        <v>688421</v>
      </c>
      <c r="I8" s="420">
        <v>696458</v>
      </c>
      <c r="J8" s="420">
        <v>703894</v>
      </c>
      <c r="K8" s="420">
        <v>711482</v>
      </c>
      <c r="L8" s="420">
        <v>712617</v>
      </c>
      <c r="M8" s="420">
        <v>712705</v>
      </c>
      <c r="N8" s="420">
        <v>720764</v>
      </c>
      <c r="O8" s="420">
        <v>730333</v>
      </c>
      <c r="P8" s="420">
        <v>740247</v>
      </c>
      <c r="Q8" s="423">
        <v>750145</v>
      </c>
      <c r="R8" s="420">
        <v>757621</v>
      </c>
      <c r="S8" s="420">
        <v>765861</v>
      </c>
      <c r="T8" s="420">
        <v>776226</v>
      </c>
      <c r="U8" s="420">
        <v>785894</v>
      </c>
      <c r="V8" s="420">
        <v>796411</v>
      </c>
      <c r="W8" s="420">
        <v>805483</v>
      </c>
      <c r="X8" s="420">
        <v>814678</v>
      </c>
      <c r="Y8" s="420">
        <v>824805</v>
      </c>
      <c r="Z8" s="420">
        <v>824895</v>
      </c>
      <c r="AA8" s="420">
        <v>824992</v>
      </c>
      <c r="AB8" s="420">
        <v>825952</v>
      </c>
      <c r="AC8" s="420">
        <v>826045</v>
      </c>
      <c r="AD8" s="420">
        <v>826142</v>
      </c>
      <c r="AE8" s="429">
        <v>836271</v>
      </c>
      <c r="AF8" s="420">
        <v>836326</v>
      </c>
      <c r="AG8" s="290"/>
      <c r="AH8" s="420">
        <v>623302</v>
      </c>
      <c r="AI8" s="288"/>
    </row>
    <row r="9" spans="1:37" ht="20.100000000000001" customHeight="1">
      <c r="A9" s="285" t="s">
        <v>59</v>
      </c>
      <c r="B9" s="420">
        <v>1010528</v>
      </c>
      <c r="C9" s="420">
        <v>1016458</v>
      </c>
      <c r="D9" s="420">
        <v>1022627</v>
      </c>
      <c r="E9" s="420">
        <v>1027854</v>
      </c>
      <c r="F9" s="420">
        <v>1033440</v>
      </c>
      <c r="G9" s="420">
        <v>1039173</v>
      </c>
      <c r="H9" s="420">
        <v>1044703</v>
      </c>
      <c r="I9" s="420">
        <v>1050166</v>
      </c>
      <c r="J9" s="420">
        <v>1055523</v>
      </c>
      <c r="K9" s="420">
        <v>1061900</v>
      </c>
      <c r="L9" s="420">
        <v>1067716</v>
      </c>
      <c r="M9" s="420">
        <v>1073916</v>
      </c>
      <c r="N9" s="420">
        <v>1080473</v>
      </c>
      <c r="O9" s="420">
        <v>1087150</v>
      </c>
      <c r="P9" s="420">
        <v>1093165</v>
      </c>
      <c r="Q9" s="423">
        <v>1100753</v>
      </c>
      <c r="R9" s="420">
        <v>1105226</v>
      </c>
      <c r="S9" s="420">
        <v>1110427</v>
      </c>
      <c r="T9" s="420">
        <v>1116169</v>
      </c>
      <c r="U9" s="420">
        <v>1121751</v>
      </c>
      <c r="V9" s="420">
        <v>1127499</v>
      </c>
      <c r="W9" s="420">
        <v>1134924</v>
      </c>
      <c r="X9" s="420">
        <v>1140529</v>
      </c>
      <c r="Y9" s="420">
        <v>1146713</v>
      </c>
      <c r="Z9" s="420">
        <v>1151904</v>
      </c>
      <c r="AA9" s="420">
        <v>1158979</v>
      </c>
      <c r="AB9" s="420">
        <v>1165649</v>
      </c>
      <c r="AC9" s="420">
        <v>1171996</v>
      </c>
      <c r="AD9" s="420">
        <v>1179189</v>
      </c>
      <c r="AE9" s="429">
        <v>1185369</v>
      </c>
      <c r="AF9" s="420">
        <v>1190954</v>
      </c>
      <c r="AG9" s="290"/>
      <c r="AH9" s="420">
        <v>1004217</v>
      </c>
      <c r="AI9" s="288"/>
    </row>
    <row r="10" spans="1:37" ht="20.100000000000001" customHeight="1">
      <c r="A10" s="285" t="s">
        <v>60</v>
      </c>
      <c r="B10" s="420">
        <v>8612671</v>
      </c>
      <c r="C10" s="420">
        <v>8615939</v>
      </c>
      <c r="D10" s="420">
        <v>8618882</v>
      </c>
      <c r="E10" s="420">
        <v>8621794</v>
      </c>
      <c r="F10" s="420">
        <v>8625799</v>
      </c>
      <c r="G10" s="420">
        <v>8629709</v>
      </c>
      <c r="H10" s="420">
        <v>8633733</v>
      </c>
      <c r="I10" s="420">
        <v>8637609</v>
      </c>
      <c r="J10" s="420">
        <v>8641219</v>
      </c>
      <c r="K10" s="420">
        <v>8644438</v>
      </c>
      <c r="L10" s="420">
        <v>8647828</v>
      </c>
      <c r="M10" s="420">
        <v>8651736</v>
      </c>
      <c r="N10" s="420">
        <v>8656000</v>
      </c>
      <c r="O10" s="420">
        <v>8660092</v>
      </c>
      <c r="P10" s="420">
        <v>8664142</v>
      </c>
      <c r="Q10" s="123">
        <v>8667954</v>
      </c>
      <c r="R10" s="459">
        <v>8670565</v>
      </c>
      <c r="S10" s="420">
        <v>8673805</v>
      </c>
      <c r="T10" s="420">
        <v>8677995</v>
      </c>
      <c r="U10" s="420">
        <v>8681969</v>
      </c>
      <c r="V10" s="420">
        <v>8686275</v>
      </c>
      <c r="W10" s="420">
        <v>8690363</v>
      </c>
      <c r="X10" s="420">
        <v>8693926</v>
      </c>
      <c r="Y10" s="420">
        <v>8696999</v>
      </c>
      <c r="Z10" s="420">
        <v>8700146</v>
      </c>
      <c r="AA10" s="420">
        <v>8704433</v>
      </c>
      <c r="AB10" s="420">
        <v>8708626</v>
      </c>
      <c r="AC10" s="420">
        <v>8712684</v>
      </c>
      <c r="AD10" s="420">
        <v>8716930</v>
      </c>
      <c r="AE10" s="429">
        <v>8720006</v>
      </c>
      <c r="AF10" s="420">
        <v>8723570</v>
      </c>
      <c r="AG10" s="290"/>
      <c r="AH10" s="420">
        <v>8608778</v>
      </c>
      <c r="AI10" s="288"/>
    </row>
    <row r="11" spans="1:37" ht="22.5" customHeight="1">
      <c r="A11" s="285" t="s">
        <v>61</v>
      </c>
      <c r="B11" s="420">
        <v>330034</v>
      </c>
      <c r="C11" s="420">
        <v>330149</v>
      </c>
      <c r="D11" s="420">
        <v>330265</v>
      </c>
      <c r="E11" s="420">
        <v>330370</v>
      </c>
      <c r="F11" s="420">
        <v>330505</v>
      </c>
      <c r="G11" s="420">
        <v>330644</v>
      </c>
      <c r="H11" s="420">
        <v>330783</v>
      </c>
      <c r="I11" s="420">
        <v>330919</v>
      </c>
      <c r="J11" s="420">
        <v>331039</v>
      </c>
      <c r="K11" s="420">
        <v>331153</v>
      </c>
      <c r="L11" s="420">
        <v>331263</v>
      </c>
      <c r="M11" s="420">
        <v>331394</v>
      </c>
      <c r="N11" s="420">
        <v>331544</v>
      </c>
      <c r="O11" s="420">
        <v>331688</v>
      </c>
      <c r="P11" s="420">
        <v>331839</v>
      </c>
      <c r="Q11" s="423">
        <v>331974</v>
      </c>
      <c r="R11" s="420">
        <v>332076</v>
      </c>
      <c r="S11" s="420">
        <v>332189</v>
      </c>
      <c r="T11" s="420">
        <v>332334</v>
      </c>
      <c r="U11" s="420">
        <v>332478</v>
      </c>
      <c r="V11" s="420">
        <v>332619</v>
      </c>
      <c r="W11" s="420">
        <v>332764</v>
      </c>
      <c r="X11" s="420">
        <v>332887</v>
      </c>
      <c r="Y11" s="420">
        <v>333010</v>
      </c>
      <c r="Z11" s="420">
        <v>333125</v>
      </c>
      <c r="AA11" s="420">
        <v>333282</v>
      </c>
      <c r="AB11" s="420">
        <v>333427</v>
      </c>
      <c r="AC11" s="420">
        <v>333571</v>
      </c>
      <c r="AD11" s="420">
        <v>333725</v>
      </c>
      <c r="AE11" s="429">
        <v>333849</v>
      </c>
      <c r="AF11" s="420">
        <v>333970</v>
      </c>
      <c r="AG11" s="290"/>
      <c r="AH11" s="420">
        <v>329894</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23"/>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27611</v>
      </c>
      <c r="C14" s="21">
        <v>27675</v>
      </c>
      <c r="D14" s="409">
        <v>27715</v>
      </c>
      <c r="E14" s="409">
        <v>27770</v>
      </c>
      <c r="F14" s="409">
        <v>27846</v>
      </c>
      <c r="G14" s="409">
        <v>27924</v>
      </c>
      <c r="H14" s="409">
        <v>27998</v>
      </c>
      <c r="I14" s="409">
        <v>28092</v>
      </c>
      <c r="J14" s="21">
        <v>28158</v>
      </c>
      <c r="K14" s="409">
        <v>28199</v>
      </c>
      <c r="L14" s="409">
        <v>28389</v>
      </c>
      <c r="M14" s="409">
        <v>28485</v>
      </c>
      <c r="N14" s="409">
        <v>28563</v>
      </c>
      <c r="O14" s="409">
        <v>28651</v>
      </c>
      <c r="P14" s="409">
        <v>28729</v>
      </c>
      <c r="Q14" s="21">
        <v>28807</v>
      </c>
      <c r="R14" s="409">
        <v>28854</v>
      </c>
      <c r="S14" s="409">
        <v>28909</v>
      </c>
      <c r="T14" s="409">
        <v>28994</v>
      </c>
      <c r="U14" s="409">
        <v>29065</v>
      </c>
      <c r="V14" s="409">
        <v>29155</v>
      </c>
      <c r="W14" s="409">
        <v>29241</v>
      </c>
      <c r="X14" s="21">
        <v>29308</v>
      </c>
      <c r="Y14" s="409">
        <v>29356</v>
      </c>
      <c r="Z14" s="409">
        <v>29415</v>
      </c>
      <c r="AA14" s="409">
        <v>29505</v>
      </c>
      <c r="AB14" s="409">
        <v>29601</v>
      </c>
      <c r="AC14" s="409">
        <v>29684</v>
      </c>
      <c r="AD14" s="409">
        <v>29771</v>
      </c>
      <c r="AE14" s="409">
        <v>29833</v>
      </c>
      <c r="AF14" s="409">
        <v>29887</v>
      </c>
      <c r="AG14" s="301">
        <f>AF14-AH14</f>
        <v>2343</v>
      </c>
      <c r="AH14" s="409">
        <v>27544</v>
      </c>
      <c r="AI14" s="299">
        <v>2343</v>
      </c>
      <c r="AJ14" s="299"/>
      <c r="AK14" s="436"/>
    </row>
    <row r="15" spans="1:37" ht="25.5">
      <c r="A15" s="282" t="s">
        <v>67</v>
      </c>
      <c r="B15" s="409">
        <v>8813</v>
      </c>
      <c r="C15" s="21">
        <v>8813</v>
      </c>
      <c r="D15" s="409">
        <v>8813</v>
      </c>
      <c r="E15" s="409">
        <v>8813</v>
      </c>
      <c r="F15" s="409">
        <v>8813</v>
      </c>
      <c r="G15" s="409">
        <v>8813</v>
      </c>
      <c r="H15" s="409">
        <v>8813</v>
      </c>
      <c r="I15" s="409">
        <v>8813</v>
      </c>
      <c r="J15" s="21">
        <v>8813</v>
      </c>
      <c r="K15" s="409">
        <v>8813</v>
      </c>
      <c r="L15" s="409">
        <v>8916</v>
      </c>
      <c r="M15" s="409">
        <v>8916</v>
      </c>
      <c r="N15" s="409">
        <v>8916</v>
      </c>
      <c r="O15" s="409">
        <v>8916</v>
      </c>
      <c r="P15" s="409">
        <v>8916</v>
      </c>
      <c r="Q15" s="21">
        <v>8916</v>
      </c>
      <c r="R15" s="409">
        <v>8916</v>
      </c>
      <c r="S15" s="409">
        <v>8916</v>
      </c>
      <c r="T15" s="409">
        <v>8916</v>
      </c>
      <c r="U15" s="409">
        <v>8916</v>
      </c>
      <c r="V15" s="409">
        <v>8916</v>
      </c>
      <c r="W15" s="409">
        <v>8916</v>
      </c>
      <c r="X15" s="409">
        <v>8916</v>
      </c>
      <c r="Y15" s="409">
        <v>8916</v>
      </c>
      <c r="Z15" s="409">
        <v>8916</v>
      </c>
      <c r="AA15" s="409">
        <v>8916</v>
      </c>
      <c r="AB15" s="409">
        <v>8916</v>
      </c>
      <c r="AC15" s="409">
        <v>8916</v>
      </c>
      <c r="AD15" s="409">
        <v>8916</v>
      </c>
      <c r="AE15" s="409">
        <v>8916</v>
      </c>
      <c r="AF15" s="409">
        <v>8916</v>
      </c>
      <c r="AG15" s="301">
        <f t="shared" ref="AG15:AG29" si="0">AF15-AH15</f>
        <v>103</v>
      </c>
      <c r="AH15" s="409">
        <v>8813</v>
      </c>
      <c r="AI15" s="144">
        <v>103</v>
      </c>
      <c r="AJ15" s="299"/>
      <c r="AK15" s="411"/>
    </row>
    <row r="16" spans="1:37" ht="25.5">
      <c r="A16" s="282" t="s">
        <v>68</v>
      </c>
      <c r="B16" s="409">
        <v>12874</v>
      </c>
      <c r="C16" s="21">
        <v>12874</v>
      </c>
      <c r="D16" s="409">
        <v>12874</v>
      </c>
      <c r="E16" s="409">
        <v>12874</v>
      </c>
      <c r="F16" s="409">
        <v>12874</v>
      </c>
      <c r="G16" s="409">
        <v>12874</v>
      </c>
      <c r="H16" s="409">
        <v>12874</v>
      </c>
      <c r="I16" s="409">
        <v>12874</v>
      </c>
      <c r="J16" s="21">
        <v>12874</v>
      </c>
      <c r="K16" s="409">
        <v>12874</v>
      </c>
      <c r="L16" s="409">
        <v>12874</v>
      </c>
      <c r="M16" s="409">
        <v>12874</v>
      </c>
      <c r="N16" s="409">
        <v>12874</v>
      </c>
      <c r="O16" s="409">
        <v>12874</v>
      </c>
      <c r="P16" s="409">
        <v>12874</v>
      </c>
      <c r="Q16" s="21">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06"/>
      <c r="C17" s="21"/>
      <c r="D17" s="406"/>
      <c r="E17" s="406"/>
      <c r="F17" s="406"/>
      <c r="G17" s="406"/>
      <c r="H17" s="406"/>
      <c r="I17" s="406"/>
      <c r="J17" s="21"/>
      <c r="K17" s="406"/>
      <c r="L17" s="406"/>
      <c r="M17" s="406"/>
      <c r="N17" s="406"/>
      <c r="O17" s="406"/>
      <c r="P17" s="406"/>
      <c r="Q17" s="143"/>
      <c r="R17" s="406"/>
      <c r="S17" s="406"/>
      <c r="T17" s="406"/>
      <c r="U17" s="406"/>
      <c r="V17" s="406"/>
      <c r="W17" s="406"/>
      <c r="X17" s="143"/>
      <c r="Y17" s="406"/>
      <c r="Z17" s="437"/>
      <c r="AA17" s="437"/>
      <c r="AB17" s="437"/>
      <c r="AC17" s="437"/>
      <c r="AD17" s="437"/>
      <c r="AE17" s="437"/>
      <c r="AF17" s="437"/>
      <c r="AG17" s="301">
        <f t="shared" si="0"/>
        <v>0</v>
      </c>
      <c r="AH17" s="406"/>
      <c r="AK17" s="411"/>
    </row>
    <row r="18" spans="1:37">
      <c r="A18" s="282" t="s">
        <v>69</v>
      </c>
      <c r="B18" s="408" t="s">
        <v>64</v>
      </c>
      <c r="C18" s="408" t="s">
        <v>64</v>
      </c>
      <c r="D18" s="408" t="s">
        <v>64</v>
      </c>
      <c r="E18" s="408" t="s">
        <v>64</v>
      </c>
      <c r="F18" s="408"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08" t="s">
        <v>64</v>
      </c>
      <c r="T18" s="408" t="s">
        <v>64</v>
      </c>
      <c r="U18" s="408" t="s">
        <v>64</v>
      </c>
      <c r="V18" s="408" t="s">
        <v>64</v>
      </c>
      <c r="W18" s="408" t="s">
        <v>64</v>
      </c>
      <c r="X18" s="408" t="s">
        <v>64</v>
      </c>
      <c r="Y18" s="408" t="s">
        <v>64</v>
      </c>
      <c r="Z18" s="439" t="s">
        <v>64</v>
      </c>
      <c r="AA18" s="439" t="s">
        <v>64</v>
      </c>
      <c r="AB18" s="439" t="s">
        <v>64</v>
      </c>
      <c r="AC18" s="439" t="s">
        <v>64</v>
      </c>
      <c r="AD18" s="439" t="s">
        <v>64</v>
      </c>
      <c r="AE18" s="439" t="s">
        <v>64</v>
      </c>
      <c r="AF18" s="439" t="s">
        <v>64</v>
      </c>
      <c r="AG18" s="301"/>
      <c r="AH18" s="408" t="s">
        <v>64</v>
      </c>
      <c r="AK18" s="412"/>
    </row>
    <row r="19" spans="1:37" ht="25.5">
      <c r="A19" s="282" t="s">
        <v>70</v>
      </c>
      <c r="B19" s="413">
        <v>11954</v>
      </c>
      <c r="C19" s="21">
        <v>12171</v>
      </c>
      <c r="D19" s="413">
        <v>12319</v>
      </c>
      <c r="E19" s="413">
        <v>12588</v>
      </c>
      <c r="F19" s="413">
        <v>12775</v>
      </c>
      <c r="G19" s="413">
        <v>12999</v>
      </c>
      <c r="H19" s="413">
        <v>13230</v>
      </c>
      <c r="I19" s="413">
        <v>13507</v>
      </c>
      <c r="J19" s="21">
        <v>13507</v>
      </c>
      <c r="K19" s="413">
        <v>13507</v>
      </c>
      <c r="L19" s="413">
        <v>13507</v>
      </c>
      <c r="M19" s="413">
        <v>13507</v>
      </c>
      <c r="N19" s="413">
        <v>13507</v>
      </c>
      <c r="O19" s="413">
        <v>13507</v>
      </c>
      <c r="P19" s="413">
        <v>13507</v>
      </c>
      <c r="Q19" s="21">
        <v>13507</v>
      </c>
      <c r="R19" s="413">
        <v>13507</v>
      </c>
      <c r="S19" s="413">
        <v>13507</v>
      </c>
      <c r="T19" s="413">
        <v>13507</v>
      </c>
      <c r="U19" s="413">
        <v>13507</v>
      </c>
      <c r="V19" s="413">
        <v>13507</v>
      </c>
      <c r="W19" s="413">
        <v>13507</v>
      </c>
      <c r="X19" s="21">
        <v>13507</v>
      </c>
      <c r="Y19" s="413">
        <v>13507</v>
      </c>
      <c r="Z19" s="413">
        <v>13507</v>
      </c>
      <c r="AA19" s="413">
        <v>13507</v>
      </c>
      <c r="AB19" s="413">
        <v>13507</v>
      </c>
      <c r="AC19" s="413">
        <v>13507</v>
      </c>
      <c r="AD19" s="413">
        <v>13507</v>
      </c>
      <c r="AE19" s="413">
        <v>13507</v>
      </c>
      <c r="AF19" s="413">
        <v>13507</v>
      </c>
      <c r="AG19" s="301">
        <f t="shared" si="0"/>
        <v>1802</v>
      </c>
      <c r="AH19" s="413">
        <v>11705</v>
      </c>
      <c r="AI19" s="307">
        <v>1802</v>
      </c>
      <c r="AJ19" s="307"/>
      <c r="AK19" s="436"/>
    </row>
    <row r="20" spans="1:37" s="458" customFormat="1" ht="25.5">
      <c r="A20" s="282" t="s">
        <v>2715</v>
      </c>
      <c r="B20" s="413">
        <v>2612135</v>
      </c>
      <c r="C20" s="239">
        <v>2650135</v>
      </c>
      <c r="D20" s="413">
        <v>2682334</v>
      </c>
      <c r="E20" s="413">
        <v>2797182</v>
      </c>
      <c r="F20" s="413">
        <v>2867482</v>
      </c>
      <c r="G20" s="413">
        <v>2922884</v>
      </c>
      <c r="H20" s="413">
        <v>2991468</v>
      </c>
      <c r="I20" s="413">
        <v>3144313</v>
      </c>
      <c r="J20" s="239">
        <v>3189313</v>
      </c>
      <c r="K20" s="413">
        <v>3213514</v>
      </c>
      <c r="L20" s="413">
        <v>3391084</v>
      </c>
      <c r="M20" s="413">
        <v>3391084</v>
      </c>
      <c r="N20" s="413">
        <v>3391084</v>
      </c>
      <c r="O20" s="413">
        <v>3391084</v>
      </c>
      <c r="P20" s="413">
        <v>3460723</v>
      </c>
      <c r="Q20" s="239">
        <v>3496705</v>
      </c>
      <c r="R20" s="413">
        <v>3527656</v>
      </c>
      <c r="S20" s="413">
        <v>3583883</v>
      </c>
      <c r="T20" s="413">
        <v>3707055</v>
      </c>
      <c r="U20" s="413">
        <v>3753457</v>
      </c>
      <c r="V20" s="413">
        <v>3869715</v>
      </c>
      <c r="W20" s="413">
        <v>3944506</v>
      </c>
      <c r="X20" s="239">
        <v>4059304</v>
      </c>
      <c r="Y20" s="239">
        <v>4120336</v>
      </c>
      <c r="Z20" s="239">
        <v>4183786</v>
      </c>
      <c r="AA20" s="239">
        <v>4242400</v>
      </c>
      <c r="AB20" s="413">
        <v>4331357</v>
      </c>
      <c r="AC20" s="413">
        <v>4429031</v>
      </c>
      <c r="AD20" s="413">
        <v>4490520</v>
      </c>
      <c r="AE20" s="413">
        <v>4542520</v>
      </c>
      <c r="AF20" s="413">
        <v>4600668</v>
      </c>
      <c r="AG20" s="463">
        <f t="shared" si="0"/>
        <v>2102265</v>
      </c>
      <c r="AH20" s="462">
        <v>2498403</v>
      </c>
      <c r="AI20" s="458">
        <v>0</v>
      </c>
      <c r="AJ20" s="461"/>
      <c r="AK20" s="457"/>
    </row>
    <row r="21" spans="1:37">
      <c r="A21" s="282" t="s">
        <v>72</v>
      </c>
      <c r="B21" s="413">
        <v>245818</v>
      </c>
      <c r="C21" s="239">
        <v>246120</v>
      </c>
      <c r="D21" s="413">
        <v>246173</v>
      </c>
      <c r="E21" s="413">
        <v>246359</v>
      </c>
      <c r="F21" s="413">
        <v>246500</v>
      </c>
      <c r="G21" s="413">
        <v>246703</v>
      </c>
      <c r="H21" s="413">
        <v>246872</v>
      </c>
      <c r="I21" s="413">
        <v>247076</v>
      </c>
      <c r="J21" s="239">
        <v>247243</v>
      </c>
      <c r="K21" s="413">
        <v>247357</v>
      </c>
      <c r="L21" s="413">
        <v>247549</v>
      </c>
      <c r="M21" s="413">
        <v>247710</v>
      </c>
      <c r="N21" s="413">
        <v>247877</v>
      </c>
      <c r="O21" s="413">
        <v>248054</v>
      </c>
      <c r="P21" s="413">
        <v>248257</v>
      </c>
      <c r="Q21" s="239">
        <v>248507</v>
      </c>
      <c r="R21" s="409">
        <v>248650</v>
      </c>
      <c r="S21" s="409">
        <v>248819</v>
      </c>
      <c r="T21" s="409">
        <v>248989</v>
      </c>
      <c r="U21" s="409">
        <v>249142</v>
      </c>
      <c r="V21" s="409">
        <v>249306</v>
      </c>
      <c r="W21" s="409">
        <v>249512</v>
      </c>
      <c r="X21" s="21">
        <v>249792</v>
      </c>
      <c r="Y21" s="409">
        <v>249978</v>
      </c>
      <c r="Z21" s="409">
        <v>250143</v>
      </c>
      <c r="AA21" s="409">
        <v>250344</v>
      </c>
      <c r="AB21" s="409">
        <v>250554</v>
      </c>
      <c r="AC21" s="409">
        <v>250734</v>
      </c>
      <c r="AD21" s="409">
        <v>250953</v>
      </c>
      <c r="AE21" s="409">
        <v>251095</v>
      </c>
      <c r="AF21" s="409">
        <v>251330</v>
      </c>
      <c r="AG21" s="301">
        <f t="shared" si="0"/>
        <v>5675</v>
      </c>
      <c r="AH21" s="409">
        <v>245655</v>
      </c>
      <c r="AI21" s="144">
        <v>5675</v>
      </c>
      <c r="AJ21" s="307"/>
      <c r="AK21" s="415"/>
    </row>
    <row r="22" spans="1:37">
      <c r="A22" s="282" t="s">
        <v>73</v>
      </c>
      <c r="B22" s="409">
        <v>242227</v>
      </c>
      <c r="C22" s="21">
        <v>242330</v>
      </c>
      <c r="D22" s="409">
        <v>242416</v>
      </c>
      <c r="E22" s="409">
        <v>242497</v>
      </c>
      <c r="F22" s="409">
        <v>242597</v>
      </c>
      <c r="G22" s="409">
        <v>242702</v>
      </c>
      <c r="H22" s="409">
        <v>242797</v>
      </c>
      <c r="I22" s="409">
        <v>242892</v>
      </c>
      <c r="J22" s="21">
        <v>242996</v>
      </c>
      <c r="K22" s="409">
        <v>243054</v>
      </c>
      <c r="L22" s="409">
        <v>243142</v>
      </c>
      <c r="M22" s="409">
        <v>243227</v>
      </c>
      <c r="N22" s="409">
        <v>243322</v>
      </c>
      <c r="O22" s="409">
        <v>243438</v>
      </c>
      <c r="P22" s="409">
        <v>243538</v>
      </c>
      <c r="Q22" s="21">
        <v>243648</v>
      </c>
      <c r="R22" s="409">
        <v>243724</v>
      </c>
      <c r="S22" s="409">
        <v>243809</v>
      </c>
      <c r="T22" s="409">
        <v>243903</v>
      </c>
      <c r="U22" s="409">
        <v>243997</v>
      </c>
      <c r="V22" s="409">
        <v>244106</v>
      </c>
      <c r="W22" s="409">
        <v>244227</v>
      </c>
      <c r="X22" s="21">
        <v>244348</v>
      </c>
      <c r="Y22" s="409">
        <v>244425</v>
      </c>
      <c r="Z22" s="409">
        <v>244515</v>
      </c>
      <c r="AA22" s="409">
        <v>244631</v>
      </c>
      <c r="AB22" s="409">
        <v>244742</v>
      </c>
      <c r="AC22" s="409">
        <v>244742</v>
      </c>
      <c r="AD22" s="409">
        <v>244957</v>
      </c>
      <c r="AE22" s="409">
        <v>245053</v>
      </c>
      <c r="AF22" s="409">
        <v>245158</v>
      </c>
      <c r="AG22" s="301">
        <f t="shared" si="0"/>
        <v>3025</v>
      </c>
      <c r="AH22" s="409">
        <v>242133</v>
      </c>
      <c r="AI22" s="144">
        <v>3025</v>
      </c>
      <c r="AJ22" s="307"/>
      <c r="AK22" s="415"/>
    </row>
    <row r="23" spans="1:37">
      <c r="A23" s="309" t="s">
        <v>136</v>
      </c>
      <c r="B23" s="409">
        <v>14801</v>
      </c>
      <c r="C23" s="21">
        <v>14809</v>
      </c>
      <c r="D23" s="409">
        <v>14815</v>
      </c>
      <c r="E23" s="409">
        <v>14819</v>
      </c>
      <c r="F23" s="409">
        <v>14831</v>
      </c>
      <c r="G23" s="409">
        <v>14844</v>
      </c>
      <c r="H23" s="409">
        <v>14859</v>
      </c>
      <c r="I23" s="409">
        <v>14872</v>
      </c>
      <c r="J23" s="21">
        <v>14880</v>
      </c>
      <c r="K23" s="409">
        <v>14885</v>
      </c>
      <c r="L23" s="409">
        <v>14887</v>
      </c>
      <c r="M23" s="409">
        <v>14902</v>
      </c>
      <c r="N23" s="409">
        <v>14915</v>
      </c>
      <c r="O23" s="409">
        <v>14928</v>
      </c>
      <c r="P23" s="409">
        <v>14947</v>
      </c>
      <c r="Q23" s="21">
        <v>14958</v>
      </c>
      <c r="R23" s="409">
        <v>14963</v>
      </c>
      <c r="S23" s="409">
        <v>14965</v>
      </c>
      <c r="T23" s="409">
        <v>14978</v>
      </c>
      <c r="U23" s="409">
        <v>14990</v>
      </c>
      <c r="V23" s="409">
        <v>15002</v>
      </c>
      <c r="W23" s="409">
        <v>15016</v>
      </c>
      <c r="X23" s="21">
        <v>15023</v>
      </c>
      <c r="Y23" s="409">
        <v>15027</v>
      </c>
      <c r="Z23" s="409">
        <v>15029</v>
      </c>
      <c r="AA23" s="409">
        <v>15042</v>
      </c>
      <c r="AB23" s="409">
        <v>15054</v>
      </c>
      <c r="AC23" s="409">
        <v>15066</v>
      </c>
      <c r="AD23" s="409">
        <v>15078</v>
      </c>
      <c r="AE23" s="409">
        <v>15084</v>
      </c>
      <c r="AF23" s="409">
        <v>15091</v>
      </c>
      <c r="AG23" s="301">
        <f t="shared" si="0"/>
        <v>301</v>
      </c>
      <c r="AH23" s="409">
        <v>14790</v>
      </c>
      <c r="AI23" s="144">
        <v>301</v>
      </c>
      <c r="AJ23" s="307"/>
      <c r="AK23" s="414"/>
    </row>
    <row r="24" spans="1:37">
      <c r="A24" s="309" t="s">
        <v>139</v>
      </c>
      <c r="B24" s="409">
        <v>10055</v>
      </c>
      <c r="C24" s="21">
        <v>10059</v>
      </c>
      <c r="D24" s="409">
        <v>10062</v>
      </c>
      <c r="E24" s="409">
        <v>10063</v>
      </c>
      <c r="F24" s="409">
        <v>10069</v>
      </c>
      <c r="G24" s="409">
        <v>10077</v>
      </c>
      <c r="H24" s="409">
        <v>10085</v>
      </c>
      <c r="I24" s="409">
        <v>10093</v>
      </c>
      <c r="J24" s="21">
        <v>10098</v>
      </c>
      <c r="K24" s="409">
        <v>10101</v>
      </c>
      <c r="L24" s="409">
        <v>10102</v>
      </c>
      <c r="M24" s="409">
        <v>10113</v>
      </c>
      <c r="N24" s="409">
        <v>10121</v>
      </c>
      <c r="O24" s="409">
        <v>10129</v>
      </c>
      <c r="P24" s="409">
        <v>10135</v>
      </c>
      <c r="Q24" s="21">
        <v>10139</v>
      </c>
      <c r="R24" s="409">
        <v>10142</v>
      </c>
      <c r="S24" s="409">
        <v>10143</v>
      </c>
      <c r="T24" s="409">
        <v>10159</v>
      </c>
      <c r="U24" s="409">
        <v>10159</v>
      </c>
      <c r="V24" s="409">
        <v>10165</v>
      </c>
      <c r="W24" s="409">
        <v>10172</v>
      </c>
      <c r="X24" s="21">
        <v>10177</v>
      </c>
      <c r="Y24" s="409">
        <v>10181</v>
      </c>
      <c r="Z24" s="409">
        <v>10181</v>
      </c>
      <c r="AA24" s="409">
        <v>10189</v>
      </c>
      <c r="AB24" s="409">
        <v>10197</v>
      </c>
      <c r="AC24" s="409">
        <v>10205</v>
      </c>
      <c r="AD24" s="409">
        <v>10213</v>
      </c>
      <c r="AE24" s="409">
        <v>10216</v>
      </c>
      <c r="AF24" s="409">
        <v>10220</v>
      </c>
      <c r="AG24" s="301">
        <f t="shared" si="0"/>
        <v>172</v>
      </c>
      <c r="AH24" s="409">
        <v>10048</v>
      </c>
      <c r="AI24" s="144">
        <v>172</v>
      </c>
      <c r="AJ24" s="307"/>
      <c r="AK24" s="414"/>
    </row>
    <row r="25" spans="1:37">
      <c r="A25" s="309" t="s">
        <v>142</v>
      </c>
      <c r="B25" s="409">
        <v>4110</v>
      </c>
      <c r="C25" s="21">
        <v>4112</v>
      </c>
      <c r="D25" s="409">
        <v>4113</v>
      </c>
      <c r="E25" s="409">
        <v>4113</v>
      </c>
      <c r="F25" s="409">
        <v>4117</v>
      </c>
      <c r="G25" s="409">
        <v>4120</v>
      </c>
      <c r="H25" s="409">
        <v>4123</v>
      </c>
      <c r="I25" s="409">
        <v>4127</v>
      </c>
      <c r="J25" s="21">
        <v>4129</v>
      </c>
      <c r="K25" s="409">
        <v>4130</v>
      </c>
      <c r="L25" s="409">
        <v>4130</v>
      </c>
      <c r="M25" s="409">
        <v>4133</v>
      </c>
      <c r="N25" s="409">
        <v>4138</v>
      </c>
      <c r="O25" s="409">
        <v>4142</v>
      </c>
      <c r="P25" s="409">
        <v>4146</v>
      </c>
      <c r="Q25" s="21">
        <v>4148</v>
      </c>
      <c r="R25" s="409">
        <v>4149</v>
      </c>
      <c r="S25" s="409">
        <v>4149</v>
      </c>
      <c r="T25" s="409">
        <v>4153</v>
      </c>
      <c r="U25" s="409">
        <v>4157</v>
      </c>
      <c r="V25" s="409">
        <v>4160</v>
      </c>
      <c r="W25" s="409">
        <v>4164</v>
      </c>
      <c r="X25" s="21">
        <v>4166</v>
      </c>
      <c r="Y25" s="409">
        <v>4167</v>
      </c>
      <c r="Z25" s="409">
        <v>4168</v>
      </c>
      <c r="AA25" s="409">
        <v>4171</v>
      </c>
      <c r="AB25" s="409">
        <v>4174</v>
      </c>
      <c r="AC25" s="409">
        <v>4177</v>
      </c>
      <c r="AD25" s="409">
        <v>4178</v>
      </c>
      <c r="AE25" s="409">
        <v>4179</v>
      </c>
      <c r="AF25" s="409">
        <v>4180</v>
      </c>
      <c r="AG25" s="301">
        <f t="shared" si="0"/>
        <v>74</v>
      </c>
      <c r="AH25" s="409">
        <v>4106</v>
      </c>
      <c r="AI25" s="144">
        <v>74</v>
      </c>
      <c r="AJ25" s="307"/>
      <c r="AK25" s="414"/>
    </row>
    <row r="26" spans="1:37">
      <c r="A26" s="309" t="s">
        <v>145</v>
      </c>
      <c r="B26" s="409">
        <v>2477</v>
      </c>
      <c r="C26" s="21">
        <v>2478</v>
      </c>
      <c r="D26" s="409">
        <v>2479</v>
      </c>
      <c r="E26" s="409">
        <v>2480</v>
      </c>
      <c r="F26" s="409">
        <v>2482</v>
      </c>
      <c r="G26" s="409">
        <v>2485</v>
      </c>
      <c r="H26" s="409">
        <v>2488</v>
      </c>
      <c r="I26" s="409">
        <v>2491</v>
      </c>
      <c r="J26" s="21">
        <v>2492</v>
      </c>
      <c r="K26" s="409">
        <v>2493</v>
      </c>
      <c r="L26" s="409">
        <v>2494</v>
      </c>
      <c r="M26" s="409">
        <v>2496</v>
      </c>
      <c r="N26" s="409">
        <v>2499</v>
      </c>
      <c r="O26" s="409">
        <v>2502</v>
      </c>
      <c r="P26" s="409">
        <v>2504</v>
      </c>
      <c r="Q26" s="21">
        <v>2506</v>
      </c>
      <c r="R26" s="409">
        <v>2507</v>
      </c>
      <c r="S26" s="409">
        <v>2507</v>
      </c>
      <c r="T26" s="409">
        <v>2510</v>
      </c>
      <c r="U26" s="409">
        <v>2512</v>
      </c>
      <c r="V26" s="409">
        <v>2514</v>
      </c>
      <c r="W26" s="409">
        <v>2517</v>
      </c>
      <c r="X26" s="21">
        <v>2518</v>
      </c>
      <c r="Y26" s="409">
        <v>2519</v>
      </c>
      <c r="Z26" s="409">
        <v>2520</v>
      </c>
      <c r="AA26" s="409">
        <v>2522</v>
      </c>
      <c r="AB26" s="409">
        <v>2524</v>
      </c>
      <c r="AC26" s="409">
        <v>2527</v>
      </c>
      <c r="AD26" s="409">
        <v>2529</v>
      </c>
      <c r="AE26" s="409">
        <v>2530</v>
      </c>
      <c r="AF26" s="409">
        <v>2532</v>
      </c>
      <c r="AG26" s="301">
        <f t="shared" si="0"/>
        <v>58</v>
      </c>
      <c r="AH26" s="409">
        <v>2474</v>
      </c>
      <c r="AI26" s="144">
        <v>58</v>
      </c>
      <c r="AJ26" s="307"/>
      <c r="AK26" s="414"/>
    </row>
    <row r="27" spans="1:37">
      <c r="A27" s="309" t="s">
        <v>148</v>
      </c>
      <c r="B27" s="409">
        <v>16203</v>
      </c>
      <c r="C27" s="21">
        <v>16208</v>
      </c>
      <c r="D27" s="409">
        <v>16211</v>
      </c>
      <c r="E27" s="409">
        <v>16213</v>
      </c>
      <c r="F27" s="409">
        <v>16223</v>
      </c>
      <c r="G27" s="409">
        <v>16232</v>
      </c>
      <c r="H27" s="409">
        <v>16243</v>
      </c>
      <c r="I27" s="409">
        <v>16254</v>
      </c>
      <c r="J27" s="21">
        <v>16270</v>
      </c>
      <c r="K27" s="409">
        <v>16263</v>
      </c>
      <c r="L27" s="409">
        <v>16266</v>
      </c>
      <c r="M27" s="409">
        <v>16276</v>
      </c>
      <c r="N27" s="409">
        <v>16286</v>
      </c>
      <c r="O27" s="409">
        <v>16296</v>
      </c>
      <c r="P27" s="409">
        <v>16310</v>
      </c>
      <c r="Q27" s="21">
        <v>16317</v>
      </c>
      <c r="R27" s="409">
        <v>16321</v>
      </c>
      <c r="S27" s="409">
        <v>16323</v>
      </c>
      <c r="T27" s="409">
        <v>16332</v>
      </c>
      <c r="U27" s="409">
        <v>16342</v>
      </c>
      <c r="V27" s="409">
        <v>16352</v>
      </c>
      <c r="W27" s="409">
        <v>16362</v>
      </c>
      <c r="X27" s="21">
        <v>16368</v>
      </c>
      <c r="Y27" s="409">
        <v>16372</v>
      </c>
      <c r="Z27" s="409">
        <v>16376</v>
      </c>
      <c r="AA27" s="409">
        <v>16390</v>
      </c>
      <c r="AB27" s="409">
        <v>16401</v>
      </c>
      <c r="AC27" s="409">
        <v>16412</v>
      </c>
      <c r="AD27" s="409">
        <v>16423</v>
      </c>
      <c r="AE27" s="409">
        <v>16429</v>
      </c>
      <c r="AF27" s="409">
        <v>16434</v>
      </c>
      <c r="AG27" s="301">
        <f t="shared" si="0"/>
        <v>240</v>
      </c>
      <c r="AH27" s="409">
        <v>16194</v>
      </c>
      <c r="AI27" s="144">
        <v>240</v>
      </c>
      <c r="AJ27" s="307"/>
      <c r="AK27" s="414"/>
    </row>
    <row r="28" spans="1:37">
      <c r="A28" s="309" t="s">
        <v>151</v>
      </c>
      <c r="B28" s="409">
        <v>1339</v>
      </c>
      <c r="C28" s="21">
        <v>1339</v>
      </c>
      <c r="D28" s="409">
        <v>1339</v>
      </c>
      <c r="E28" s="409">
        <v>1339</v>
      </c>
      <c r="F28" s="409">
        <v>1339</v>
      </c>
      <c r="G28" s="409">
        <v>1339</v>
      </c>
      <c r="H28" s="409">
        <v>1339</v>
      </c>
      <c r="I28" s="409">
        <v>1339</v>
      </c>
      <c r="J28" s="21">
        <v>1339</v>
      </c>
      <c r="K28" s="409">
        <v>1339</v>
      </c>
      <c r="L28" s="409">
        <v>1339</v>
      </c>
      <c r="M28" s="409">
        <v>1339</v>
      </c>
      <c r="N28" s="409">
        <v>1339</v>
      </c>
      <c r="O28" s="409">
        <v>1339</v>
      </c>
      <c r="P28" s="409">
        <v>1339</v>
      </c>
      <c r="Q28" s="21">
        <v>1339</v>
      </c>
      <c r="R28" s="409">
        <v>1339</v>
      </c>
      <c r="S28" s="409">
        <v>1339</v>
      </c>
      <c r="T28" s="409">
        <v>1339</v>
      </c>
      <c r="U28" s="409">
        <v>1339</v>
      </c>
      <c r="V28" s="409">
        <v>1339</v>
      </c>
      <c r="W28" s="409">
        <v>1339</v>
      </c>
      <c r="X28" s="21">
        <v>1339</v>
      </c>
      <c r="Y28" s="409">
        <v>1339</v>
      </c>
      <c r="Z28" s="409">
        <v>1339</v>
      </c>
      <c r="AA28" s="409">
        <v>1339</v>
      </c>
      <c r="AB28" s="409">
        <v>1339</v>
      </c>
      <c r="AC28" s="409">
        <v>1339</v>
      </c>
      <c r="AD28" s="409">
        <v>1339</v>
      </c>
      <c r="AE28" s="409">
        <v>1339</v>
      </c>
      <c r="AF28" s="409">
        <v>1339</v>
      </c>
      <c r="AG28" s="301">
        <f t="shared" si="0"/>
        <v>0</v>
      </c>
      <c r="AH28" s="409">
        <v>1339</v>
      </c>
      <c r="AI28" s="144">
        <v>0</v>
      </c>
      <c r="AJ28" s="307"/>
      <c r="AK28" s="414"/>
    </row>
    <row r="29" spans="1:37">
      <c r="A29" s="309" t="s">
        <v>154</v>
      </c>
      <c r="B29" s="409">
        <v>1234</v>
      </c>
      <c r="C29" s="21">
        <v>1235</v>
      </c>
      <c r="D29" s="409">
        <v>1236</v>
      </c>
      <c r="E29" s="409">
        <v>1237</v>
      </c>
      <c r="F29" s="409">
        <v>1238</v>
      </c>
      <c r="G29" s="409">
        <v>1239</v>
      </c>
      <c r="H29" s="409">
        <v>1240</v>
      </c>
      <c r="I29" s="409">
        <v>1241</v>
      </c>
      <c r="J29" s="21">
        <v>1242</v>
      </c>
      <c r="K29" s="409">
        <v>1243</v>
      </c>
      <c r="L29" s="409">
        <v>1244</v>
      </c>
      <c r="M29" s="409">
        <v>1245</v>
      </c>
      <c r="N29" s="409">
        <v>1246</v>
      </c>
      <c r="O29" s="409">
        <v>1247</v>
      </c>
      <c r="P29" s="409">
        <v>1248</v>
      </c>
      <c r="Q29" s="21">
        <v>1249</v>
      </c>
      <c r="R29" s="409">
        <v>1250</v>
      </c>
      <c r="S29" s="409">
        <v>1250</v>
      </c>
      <c r="T29" s="409">
        <v>1252</v>
      </c>
      <c r="U29" s="409">
        <v>1253</v>
      </c>
      <c r="V29" s="409">
        <v>1254</v>
      </c>
      <c r="W29" s="409">
        <v>1255</v>
      </c>
      <c r="X29" s="21">
        <v>1256</v>
      </c>
      <c r="Y29" s="409">
        <v>1257</v>
      </c>
      <c r="Z29" s="443">
        <v>1258</v>
      </c>
      <c r="AA29" s="443">
        <v>1260</v>
      </c>
      <c r="AB29" s="443">
        <v>1261</v>
      </c>
      <c r="AC29" s="443">
        <v>1262</v>
      </c>
      <c r="AD29" s="443">
        <v>1264</v>
      </c>
      <c r="AE29" s="443">
        <v>1265</v>
      </c>
      <c r="AF29" s="443">
        <v>1267</v>
      </c>
      <c r="AG29" s="301">
        <f t="shared" si="0"/>
        <v>34</v>
      </c>
      <c r="AH29" s="409">
        <v>1233</v>
      </c>
      <c r="AI29" s="144">
        <v>34</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c r="A32" s="282" t="s">
        <v>77</v>
      </c>
      <c r="B32" s="424" t="s">
        <v>2815</v>
      </c>
      <c r="C32" s="424" t="s">
        <v>2815</v>
      </c>
      <c r="D32" s="424" t="s">
        <v>2815</v>
      </c>
      <c r="E32" s="424" t="s">
        <v>2815</v>
      </c>
      <c r="F32" s="424" t="s">
        <v>2815</v>
      </c>
      <c r="G32" s="424" t="s">
        <v>2815</v>
      </c>
      <c r="H32" s="424" t="s">
        <v>2815</v>
      </c>
      <c r="I32" s="424" t="s">
        <v>2815</v>
      </c>
      <c r="J32" s="424" t="s">
        <v>2815</v>
      </c>
      <c r="K32" s="424" t="s">
        <v>2815</v>
      </c>
      <c r="L32" s="424" t="s">
        <v>2815</v>
      </c>
      <c r="M32" s="424" t="s">
        <v>2815</v>
      </c>
      <c r="N32" s="424" t="s">
        <v>2815</v>
      </c>
      <c r="O32" s="424" t="s">
        <v>2815</v>
      </c>
      <c r="P32" s="424" t="s">
        <v>2815</v>
      </c>
      <c r="Q32" s="424" t="s">
        <v>2815</v>
      </c>
      <c r="R32" s="424" t="s">
        <v>2815</v>
      </c>
      <c r="S32" s="424" t="s">
        <v>2815</v>
      </c>
      <c r="T32" s="424" t="s">
        <v>2815</v>
      </c>
      <c r="U32" s="424" t="s">
        <v>2815</v>
      </c>
      <c r="V32" s="424" t="s">
        <v>2815</v>
      </c>
      <c r="W32" s="424" t="s">
        <v>2815</v>
      </c>
      <c r="X32" s="424" t="s">
        <v>2815</v>
      </c>
      <c r="Y32" s="424" t="s">
        <v>2815</v>
      </c>
      <c r="Z32" s="424" t="s">
        <v>2815</v>
      </c>
      <c r="AA32" s="424" t="s">
        <v>2815</v>
      </c>
      <c r="AB32" s="424" t="s">
        <v>2815</v>
      </c>
      <c r="AC32" s="424" t="s">
        <v>2815</v>
      </c>
      <c r="AD32" s="424" t="s">
        <v>2815</v>
      </c>
      <c r="AE32" s="424" t="s">
        <v>2815</v>
      </c>
      <c r="AF32" s="424" t="s">
        <v>2815</v>
      </c>
      <c r="AG32" s="301"/>
      <c r="AH32" s="424" t="s">
        <v>2815</v>
      </c>
    </row>
    <row r="33" spans="1:34" ht="25.5">
      <c r="A33" s="282" t="s">
        <v>80</v>
      </c>
      <c r="B33" s="424" t="s">
        <v>2815</v>
      </c>
      <c r="C33" s="424" t="s">
        <v>2815</v>
      </c>
      <c r="D33" s="424" t="s">
        <v>2815</v>
      </c>
      <c r="E33" s="424" t="s">
        <v>2815</v>
      </c>
      <c r="F33" s="424" t="s">
        <v>2815</v>
      </c>
      <c r="G33" s="424" t="s">
        <v>2815</v>
      </c>
      <c r="H33" s="424" t="s">
        <v>2815</v>
      </c>
      <c r="I33" s="424" t="s">
        <v>2815</v>
      </c>
      <c r="J33" s="424" t="s">
        <v>2815</v>
      </c>
      <c r="K33" s="424" t="s">
        <v>2815</v>
      </c>
      <c r="L33" s="424" t="s">
        <v>2815</v>
      </c>
      <c r="M33" s="424" t="s">
        <v>2815</v>
      </c>
      <c r="N33" s="424" t="s">
        <v>2815</v>
      </c>
      <c r="O33" s="424" t="s">
        <v>2815</v>
      </c>
      <c r="P33" s="424" t="s">
        <v>2815</v>
      </c>
      <c r="Q33" s="424" t="s">
        <v>2815</v>
      </c>
      <c r="R33" s="424" t="s">
        <v>2815</v>
      </c>
      <c r="S33" s="424" t="s">
        <v>2815</v>
      </c>
      <c r="T33" s="424" t="s">
        <v>2815</v>
      </c>
      <c r="U33" s="424" t="s">
        <v>2815</v>
      </c>
      <c r="V33" s="424" t="s">
        <v>2815</v>
      </c>
      <c r="W33" s="424" t="s">
        <v>2815</v>
      </c>
      <c r="X33" s="424" t="s">
        <v>2815</v>
      </c>
      <c r="Y33" s="424" t="s">
        <v>2815</v>
      </c>
      <c r="Z33" s="424" t="s">
        <v>2815</v>
      </c>
      <c r="AA33" s="424" t="s">
        <v>2815</v>
      </c>
      <c r="AB33" s="424" t="s">
        <v>2815</v>
      </c>
      <c r="AC33" s="424" t="s">
        <v>2815</v>
      </c>
      <c r="AD33" s="424" t="s">
        <v>2815</v>
      </c>
      <c r="AE33" s="424" t="s">
        <v>2815</v>
      </c>
      <c r="AF33" s="424" t="s">
        <v>2815</v>
      </c>
      <c r="AG33" s="301"/>
      <c r="AH33" s="424" t="s">
        <v>2815</v>
      </c>
    </row>
    <row r="34" spans="1:34" ht="15.75" thickBot="1">
      <c r="A34" s="310" t="s">
        <v>81</v>
      </c>
      <c r="B34" s="417" t="s">
        <v>2816</v>
      </c>
      <c r="C34" s="417" t="s">
        <v>2816</v>
      </c>
      <c r="D34" s="417" t="s">
        <v>2816</v>
      </c>
      <c r="E34" s="417" t="s">
        <v>2816</v>
      </c>
      <c r="F34" s="417" t="s">
        <v>2816</v>
      </c>
      <c r="G34" s="417" t="s">
        <v>2816</v>
      </c>
      <c r="H34" s="417" t="s">
        <v>2816</v>
      </c>
      <c r="I34" s="417" t="s">
        <v>2816</v>
      </c>
      <c r="J34" s="417" t="s">
        <v>2816</v>
      </c>
      <c r="K34" s="417" t="s">
        <v>2816</v>
      </c>
      <c r="L34" s="417" t="s">
        <v>2816</v>
      </c>
      <c r="M34" s="417" t="s">
        <v>2816</v>
      </c>
      <c r="N34" s="417" t="s">
        <v>2816</v>
      </c>
      <c r="O34" s="417" t="s">
        <v>2816</v>
      </c>
      <c r="P34" s="417" t="s">
        <v>2816</v>
      </c>
      <c r="Q34" s="417" t="s">
        <v>2816</v>
      </c>
      <c r="R34" s="417" t="s">
        <v>2816</v>
      </c>
      <c r="S34" s="417" t="s">
        <v>2816</v>
      </c>
      <c r="T34" s="417" t="s">
        <v>2816</v>
      </c>
      <c r="U34" s="417" t="s">
        <v>2816</v>
      </c>
      <c r="V34" s="417" t="s">
        <v>2816</v>
      </c>
      <c r="W34" s="417" t="s">
        <v>2816</v>
      </c>
      <c r="X34" s="417" t="s">
        <v>2816</v>
      </c>
      <c r="Y34" s="417" t="s">
        <v>2816</v>
      </c>
      <c r="Z34" s="417" t="s">
        <v>2816</v>
      </c>
      <c r="AA34" s="417" t="s">
        <v>2816</v>
      </c>
      <c r="AB34" s="417" t="s">
        <v>2816</v>
      </c>
      <c r="AC34" s="417" t="s">
        <v>2816</v>
      </c>
      <c r="AD34" s="417" t="s">
        <v>2816</v>
      </c>
      <c r="AE34" s="417" t="s">
        <v>2816</v>
      </c>
      <c r="AF34" s="417" t="s">
        <v>2816</v>
      </c>
      <c r="AG34" s="301"/>
      <c r="AH34" s="417" t="s">
        <v>2816</v>
      </c>
    </row>
  </sheetData>
  <mergeCells count="1">
    <mergeCell ref="A1:AH1"/>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08A2-2B43-4E1C-8642-D4B007419E18}">
  <dimension ref="A1:AJ34"/>
  <sheetViews>
    <sheetView workbookViewId="0">
      <selection activeCell="G15" sqref="G15"/>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1" width="12.85546875" style="144" customWidth="1"/>
    <col min="32" max="32" width="15.710937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45809</v>
      </c>
      <c r="C2" s="281">
        <v>45810</v>
      </c>
      <c r="D2" s="281">
        <v>45811</v>
      </c>
      <c r="E2" s="281">
        <v>45812</v>
      </c>
      <c r="F2" s="281">
        <v>45813</v>
      </c>
      <c r="G2" s="281">
        <v>45814</v>
      </c>
      <c r="H2" s="281">
        <v>45815</v>
      </c>
      <c r="I2" s="281">
        <v>45816</v>
      </c>
      <c r="J2" s="281">
        <v>45817</v>
      </c>
      <c r="K2" s="281">
        <v>45818</v>
      </c>
      <c r="L2" s="281">
        <v>45819</v>
      </c>
      <c r="M2" s="281">
        <v>45820</v>
      </c>
      <c r="N2" s="281">
        <v>45821</v>
      </c>
      <c r="O2" s="281">
        <v>45822</v>
      </c>
      <c r="P2" s="281">
        <v>45823</v>
      </c>
      <c r="Q2" s="281">
        <v>45824</v>
      </c>
      <c r="R2" s="281">
        <v>45825</v>
      </c>
      <c r="S2" s="281">
        <v>45826</v>
      </c>
      <c r="T2" s="281">
        <v>45827</v>
      </c>
      <c r="U2" s="281">
        <v>45828</v>
      </c>
      <c r="V2" s="281">
        <v>45829</v>
      </c>
      <c r="W2" s="281">
        <v>45830</v>
      </c>
      <c r="X2" s="281">
        <v>45831</v>
      </c>
      <c r="Y2" s="281">
        <v>45832</v>
      </c>
      <c r="Z2" s="281">
        <v>45833</v>
      </c>
      <c r="AA2" s="281">
        <v>45834</v>
      </c>
      <c r="AB2" s="281">
        <v>45835</v>
      </c>
      <c r="AC2" s="281">
        <v>45836</v>
      </c>
      <c r="AD2" s="281">
        <v>45837</v>
      </c>
      <c r="AE2" s="281">
        <v>45838</v>
      </c>
      <c r="AF2" s="281"/>
      <c r="AG2" s="281">
        <v>45808</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20">
        <v>484211</v>
      </c>
      <c r="C4" s="420">
        <v>484467</v>
      </c>
      <c r="D4" s="420">
        <v>484647</v>
      </c>
      <c r="E4" s="420">
        <v>484976</v>
      </c>
      <c r="F4" s="420">
        <v>485216</v>
      </c>
      <c r="G4" s="420">
        <v>485451</v>
      </c>
      <c r="H4" s="420">
        <v>485693</v>
      </c>
      <c r="I4" s="420">
        <v>485928</v>
      </c>
      <c r="J4" s="420">
        <v>486162</v>
      </c>
      <c r="K4" s="420">
        <v>486401</v>
      </c>
      <c r="L4" s="420">
        <v>486658</v>
      </c>
      <c r="M4" s="420">
        <v>486915</v>
      </c>
      <c r="N4" s="420">
        <v>487145</v>
      </c>
      <c r="O4" s="420">
        <v>487402</v>
      </c>
      <c r="P4" s="420">
        <v>487646</v>
      </c>
      <c r="Q4" s="420">
        <v>487889</v>
      </c>
      <c r="R4" s="420">
        <v>488145</v>
      </c>
      <c r="S4" s="420">
        <v>488401</v>
      </c>
      <c r="T4" s="420">
        <v>488655</v>
      </c>
      <c r="U4" s="420">
        <v>488895</v>
      </c>
      <c r="V4" s="420">
        <v>489144</v>
      </c>
      <c r="W4" s="420">
        <v>489388</v>
      </c>
      <c r="X4" s="420">
        <v>489640</v>
      </c>
      <c r="Y4" s="420">
        <v>489892</v>
      </c>
      <c r="Z4" s="420">
        <v>490147</v>
      </c>
      <c r="AA4" s="420">
        <v>490403</v>
      </c>
      <c r="AB4" s="420">
        <v>490656</v>
      </c>
      <c r="AC4" s="420">
        <v>490894</v>
      </c>
      <c r="AD4" s="420">
        <v>491137</v>
      </c>
      <c r="AE4" s="420">
        <v>491394</v>
      </c>
      <c r="AF4" s="290"/>
      <c r="AG4" s="420">
        <v>483970</v>
      </c>
      <c r="AH4" s="288"/>
    </row>
    <row r="5" spans="1:36" ht="20.100000000000001" customHeight="1">
      <c r="A5" s="285" t="s">
        <v>55</v>
      </c>
      <c r="B5" s="420">
        <v>13592995</v>
      </c>
      <c r="C5" s="420">
        <v>13600177</v>
      </c>
      <c r="D5" s="420">
        <v>13605277</v>
      </c>
      <c r="E5" s="420">
        <v>13614437</v>
      </c>
      <c r="F5" s="420">
        <v>13620836</v>
      </c>
      <c r="G5" s="420">
        <v>13626841</v>
      </c>
      <c r="H5" s="420">
        <v>13632631</v>
      </c>
      <c r="I5" s="420">
        <v>13638305</v>
      </c>
      <c r="J5" s="420">
        <v>13644148</v>
      </c>
      <c r="K5" s="420">
        <v>13650145</v>
      </c>
      <c r="L5" s="420">
        <v>13657522</v>
      </c>
      <c r="M5" s="420">
        <v>13664734</v>
      </c>
      <c r="N5" s="420">
        <v>13670743</v>
      </c>
      <c r="O5" s="420">
        <v>13678653</v>
      </c>
      <c r="P5" s="420">
        <v>13685070</v>
      </c>
      <c r="Q5" s="420">
        <v>13692025</v>
      </c>
      <c r="R5" s="420">
        <v>13699279</v>
      </c>
      <c r="S5" s="420">
        <v>13706239</v>
      </c>
      <c r="T5" s="420">
        <v>13713639</v>
      </c>
      <c r="U5" s="420">
        <v>13726217</v>
      </c>
      <c r="V5" s="420">
        <v>13728059</v>
      </c>
      <c r="W5" s="420">
        <v>13732080</v>
      </c>
      <c r="X5" s="420">
        <v>13739122</v>
      </c>
      <c r="Y5" s="420">
        <v>13746190</v>
      </c>
      <c r="Z5" s="420">
        <v>13753034</v>
      </c>
      <c r="AA5" s="420">
        <v>13760095</v>
      </c>
      <c r="AB5" s="420">
        <v>13766926</v>
      </c>
      <c r="AC5" s="420">
        <v>13772442</v>
      </c>
      <c r="AD5" s="420">
        <v>13778144</v>
      </c>
      <c r="AE5" s="420">
        <v>13785145</v>
      </c>
      <c r="AF5" s="290"/>
      <c r="AG5" s="420">
        <v>13586687</v>
      </c>
      <c r="AH5" s="288"/>
    </row>
    <row r="6" spans="1:36" ht="20.100000000000001" customHeight="1">
      <c r="A6" s="285" t="s">
        <v>56</v>
      </c>
      <c r="B6" s="420">
        <v>6294378</v>
      </c>
      <c r="C6" s="420">
        <v>6297792</v>
      </c>
      <c r="D6" s="420">
        <v>6300225</v>
      </c>
      <c r="E6" s="420">
        <v>6304506</v>
      </c>
      <c r="F6" s="420">
        <v>6307550</v>
      </c>
      <c r="G6" s="420">
        <v>6310095</v>
      </c>
      <c r="H6" s="420">
        <v>6312811</v>
      </c>
      <c r="I6" s="420">
        <v>6315391</v>
      </c>
      <c r="J6" s="420">
        <v>6318091</v>
      </c>
      <c r="K6" s="420">
        <v>6320698</v>
      </c>
      <c r="L6" s="420">
        <v>6323791</v>
      </c>
      <c r="M6" s="420">
        <v>6326833</v>
      </c>
      <c r="N6" s="420">
        <v>6329382</v>
      </c>
      <c r="O6" s="420">
        <v>6332032</v>
      </c>
      <c r="P6" s="420">
        <v>6334562</v>
      </c>
      <c r="Q6" s="420">
        <v>6337468</v>
      </c>
      <c r="R6" s="420">
        <v>6340511</v>
      </c>
      <c r="S6" s="420">
        <v>6343859</v>
      </c>
      <c r="T6" s="420">
        <v>6347080</v>
      </c>
      <c r="U6" s="420">
        <v>6350066</v>
      </c>
      <c r="V6" s="420">
        <v>6352751</v>
      </c>
      <c r="W6" s="420">
        <v>6355530</v>
      </c>
      <c r="X6" s="420">
        <v>6358636</v>
      </c>
      <c r="Y6" s="420">
        <v>6361798</v>
      </c>
      <c r="Z6" s="420">
        <v>6364976</v>
      </c>
      <c r="AA6" s="420">
        <v>6368152</v>
      </c>
      <c r="AB6" s="420">
        <v>6371237</v>
      </c>
      <c r="AC6" s="420">
        <v>6373722</v>
      </c>
      <c r="AD6" s="420">
        <v>6376488</v>
      </c>
      <c r="AE6" s="420">
        <v>6379657</v>
      </c>
      <c r="AF6" s="290"/>
      <c r="AG6" s="420">
        <v>6291475</v>
      </c>
      <c r="AH6" s="288"/>
    </row>
    <row r="7" spans="1:36" ht="20.100000000000001" customHeight="1">
      <c r="A7" s="285" t="s">
        <v>57</v>
      </c>
      <c r="B7" s="420">
        <v>777028</v>
      </c>
      <c r="C7" s="420">
        <v>786490</v>
      </c>
      <c r="D7" s="420">
        <v>792918</v>
      </c>
      <c r="E7" s="420">
        <v>805685</v>
      </c>
      <c r="F7" s="420">
        <v>814335</v>
      </c>
      <c r="G7" s="420">
        <v>823061</v>
      </c>
      <c r="H7" s="420">
        <v>831362</v>
      </c>
      <c r="I7" s="420">
        <v>831617</v>
      </c>
      <c r="J7" s="420">
        <v>831695</v>
      </c>
      <c r="K7" s="420">
        <v>831774</v>
      </c>
      <c r="L7" s="420">
        <v>834486</v>
      </c>
      <c r="M7" s="420">
        <v>837558</v>
      </c>
      <c r="N7" s="420">
        <v>837558</v>
      </c>
      <c r="O7" s="420">
        <v>838361</v>
      </c>
      <c r="P7" s="420">
        <v>838442</v>
      </c>
      <c r="Q7" s="420">
        <v>843041</v>
      </c>
      <c r="R7" s="420">
        <v>849037</v>
      </c>
      <c r="S7" s="420">
        <v>860970</v>
      </c>
      <c r="T7" s="420">
        <v>872866</v>
      </c>
      <c r="U7" s="420">
        <v>884273</v>
      </c>
      <c r="V7" s="420">
        <v>893897</v>
      </c>
      <c r="W7" s="420">
        <v>903948</v>
      </c>
      <c r="X7" s="420">
        <v>913448</v>
      </c>
      <c r="Y7" s="420">
        <v>922938</v>
      </c>
      <c r="Z7" s="420">
        <v>932456</v>
      </c>
      <c r="AA7" s="420">
        <v>941634</v>
      </c>
      <c r="AB7" s="420">
        <v>951424</v>
      </c>
      <c r="AC7" s="420">
        <v>960822</v>
      </c>
      <c r="AD7" s="420">
        <v>961181</v>
      </c>
      <c r="AE7" s="420">
        <v>961221</v>
      </c>
      <c r="AF7" s="290"/>
      <c r="AG7" s="420">
        <v>767423</v>
      </c>
      <c r="AH7" s="288"/>
    </row>
    <row r="8" spans="1:36" ht="20.100000000000001" customHeight="1">
      <c r="A8" s="285" t="s">
        <v>58</v>
      </c>
      <c r="B8" s="420">
        <v>826421</v>
      </c>
      <c r="C8" s="420">
        <v>828731</v>
      </c>
      <c r="D8" s="420">
        <v>830828</v>
      </c>
      <c r="E8" s="420">
        <v>832752</v>
      </c>
      <c r="F8" s="420">
        <v>834353</v>
      </c>
      <c r="G8" s="420">
        <v>834474</v>
      </c>
      <c r="H8" s="420">
        <v>834588</v>
      </c>
      <c r="I8" s="420">
        <v>843166</v>
      </c>
      <c r="J8" s="420">
        <v>851828</v>
      </c>
      <c r="K8" s="420">
        <v>860760</v>
      </c>
      <c r="L8" s="420">
        <v>870222</v>
      </c>
      <c r="M8" s="420">
        <v>879314</v>
      </c>
      <c r="N8" s="420">
        <v>887884</v>
      </c>
      <c r="O8" s="420">
        <v>898161</v>
      </c>
      <c r="P8" s="420">
        <v>907486</v>
      </c>
      <c r="Q8" s="420">
        <v>915423</v>
      </c>
      <c r="R8" s="420">
        <v>921583</v>
      </c>
      <c r="S8" s="420">
        <v>921633</v>
      </c>
      <c r="T8" s="420">
        <v>921683</v>
      </c>
      <c r="U8" s="420">
        <v>921730</v>
      </c>
      <c r="V8" s="420">
        <v>921783</v>
      </c>
      <c r="W8" s="420">
        <v>921834</v>
      </c>
      <c r="X8" s="420">
        <v>923967</v>
      </c>
      <c r="Y8" s="420">
        <v>925796</v>
      </c>
      <c r="Z8" s="420">
        <v>928205</v>
      </c>
      <c r="AA8" s="420">
        <v>930652</v>
      </c>
      <c r="AB8" s="420">
        <v>932200</v>
      </c>
      <c r="AC8" s="420">
        <v>932250</v>
      </c>
      <c r="AD8" s="420">
        <v>941157</v>
      </c>
      <c r="AE8" s="420">
        <v>954095</v>
      </c>
      <c r="AF8" s="290"/>
      <c r="AG8" s="420">
        <v>826326</v>
      </c>
      <c r="AH8" s="288"/>
    </row>
    <row r="9" spans="1:36" ht="20.100000000000001" customHeight="1">
      <c r="A9" s="285" t="s">
        <v>59</v>
      </c>
      <c r="B9" s="420">
        <v>1196430</v>
      </c>
      <c r="C9" s="420">
        <v>1203119</v>
      </c>
      <c r="D9" s="420">
        <v>1208027</v>
      </c>
      <c r="E9" s="420">
        <v>1216045</v>
      </c>
      <c r="F9" s="420">
        <v>1222234</v>
      </c>
      <c r="G9" s="420">
        <v>1227848</v>
      </c>
      <c r="H9" s="420">
        <v>1233312</v>
      </c>
      <c r="I9" s="420">
        <v>1239100</v>
      </c>
      <c r="J9" s="420">
        <v>1244717</v>
      </c>
      <c r="K9" s="420">
        <v>1250484</v>
      </c>
      <c r="L9" s="420">
        <v>1258171</v>
      </c>
      <c r="M9" s="420">
        <v>1266130</v>
      </c>
      <c r="N9" s="420">
        <v>1271755</v>
      </c>
      <c r="O9" s="420">
        <v>1277970</v>
      </c>
      <c r="P9" s="420">
        <v>1283751</v>
      </c>
      <c r="Q9" s="420">
        <v>1291186</v>
      </c>
      <c r="R9" s="420">
        <v>1298466</v>
      </c>
      <c r="S9" s="420">
        <v>1305509</v>
      </c>
      <c r="T9" s="420">
        <v>1312584</v>
      </c>
      <c r="U9" s="420">
        <v>1319198</v>
      </c>
      <c r="V9" s="420">
        <v>1324874</v>
      </c>
      <c r="W9" s="420">
        <v>1330608</v>
      </c>
      <c r="X9" s="420">
        <v>1337413</v>
      </c>
      <c r="Y9" s="420">
        <v>1343986</v>
      </c>
      <c r="Z9" s="420">
        <v>1351062</v>
      </c>
      <c r="AA9" s="420">
        <v>1357991</v>
      </c>
      <c r="AB9" s="420">
        <v>1364411</v>
      </c>
      <c r="AC9" s="420">
        <v>1369874</v>
      </c>
      <c r="AD9" s="420">
        <v>1375419</v>
      </c>
      <c r="AE9" s="420">
        <v>1382459</v>
      </c>
      <c r="AF9" s="290"/>
      <c r="AG9" s="420">
        <v>1190954</v>
      </c>
      <c r="AH9" s="288"/>
    </row>
    <row r="10" spans="1:36" ht="20.100000000000001" customHeight="1">
      <c r="A10" s="285" t="s">
        <v>60</v>
      </c>
      <c r="B10" s="420">
        <v>8727374</v>
      </c>
      <c r="C10" s="420">
        <v>8731599</v>
      </c>
      <c r="D10" s="420">
        <v>8734759</v>
      </c>
      <c r="E10" s="420">
        <v>8740014</v>
      </c>
      <c r="F10" s="420">
        <v>8743676</v>
      </c>
      <c r="G10" s="420">
        <v>8746274</v>
      </c>
      <c r="H10" s="420">
        <v>8748877</v>
      </c>
      <c r="I10" s="420">
        <v>8751505</v>
      </c>
      <c r="J10" s="420">
        <v>8754169</v>
      </c>
      <c r="K10" s="420">
        <v>8757542</v>
      </c>
      <c r="L10" s="420">
        <v>8761525</v>
      </c>
      <c r="M10" s="420">
        <v>8765566</v>
      </c>
      <c r="N10" s="420">
        <v>8768161</v>
      </c>
      <c r="O10" s="420">
        <v>8771959</v>
      </c>
      <c r="P10" s="420">
        <v>8775070</v>
      </c>
      <c r="Q10" s="420">
        <v>8778925</v>
      </c>
      <c r="R10" s="420">
        <v>8782903</v>
      </c>
      <c r="S10" s="420">
        <v>8786967</v>
      </c>
      <c r="T10" s="420">
        <v>8790893</v>
      </c>
      <c r="U10" s="420">
        <v>8794524</v>
      </c>
      <c r="V10" s="420">
        <v>8797256</v>
      </c>
      <c r="W10" s="420">
        <v>8800374</v>
      </c>
      <c r="X10" s="420">
        <v>8804243</v>
      </c>
      <c r="Y10" s="420">
        <v>8808117</v>
      </c>
      <c r="Z10" s="420">
        <v>8812070</v>
      </c>
      <c r="AA10" s="420">
        <v>8816068</v>
      </c>
      <c r="AB10" s="420">
        <v>8819906</v>
      </c>
      <c r="AC10" s="420">
        <v>8822707</v>
      </c>
      <c r="AD10" s="420">
        <v>8825702</v>
      </c>
      <c r="AE10" s="420">
        <v>8829739</v>
      </c>
      <c r="AF10" s="290"/>
      <c r="AG10" s="420">
        <v>8723570</v>
      </c>
      <c r="AH10" s="288"/>
    </row>
    <row r="11" spans="1:36" ht="22.5" customHeight="1">
      <c r="A11" s="285" t="s">
        <v>61</v>
      </c>
      <c r="B11" s="420">
        <v>334088</v>
      </c>
      <c r="C11" s="420">
        <v>334236</v>
      </c>
      <c r="D11" s="420">
        <v>334340</v>
      </c>
      <c r="E11" s="420">
        <v>334527</v>
      </c>
      <c r="F11" s="420">
        <v>334657</v>
      </c>
      <c r="G11" s="420">
        <v>334773</v>
      </c>
      <c r="H11" s="420">
        <v>334875</v>
      </c>
      <c r="I11" s="420">
        <v>334977</v>
      </c>
      <c r="J11" s="420">
        <v>335077</v>
      </c>
      <c r="K11" s="420">
        <v>335187</v>
      </c>
      <c r="L11" s="420">
        <v>335325</v>
      </c>
      <c r="M11" s="420">
        <v>335465</v>
      </c>
      <c r="N11" s="420">
        <v>335586</v>
      </c>
      <c r="O11" s="420">
        <v>335703</v>
      </c>
      <c r="P11" s="420">
        <v>335819</v>
      </c>
      <c r="Q11" s="420">
        <v>335955</v>
      </c>
      <c r="R11" s="420">
        <v>336099</v>
      </c>
      <c r="S11" s="420">
        <v>336241</v>
      </c>
      <c r="T11" s="420">
        <v>336377</v>
      </c>
      <c r="U11" s="420">
        <v>336507</v>
      </c>
      <c r="V11" s="420">
        <v>336610</v>
      </c>
      <c r="W11" s="420">
        <v>336718</v>
      </c>
      <c r="X11" s="420">
        <v>336854</v>
      </c>
      <c r="Y11" s="420">
        <v>336990</v>
      </c>
      <c r="Z11" s="420">
        <v>337128</v>
      </c>
      <c r="AA11" s="420">
        <v>337266</v>
      </c>
      <c r="AB11" s="420">
        <v>337401</v>
      </c>
      <c r="AC11" s="420">
        <v>337503</v>
      </c>
      <c r="AD11" s="420">
        <v>337614</v>
      </c>
      <c r="AE11" s="420">
        <v>337757</v>
      </c>
      <c r="AF11" s="290"/>
      <c r="AG11" s="420">
        <v>333970</v>
      </c>
      <c r="AH11" s="288"/>
    </row>
    <row r="12" spans="1:36"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07"/>
      <c r="AG12" s="420"/>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29945</v>
      </c>
      <c r="C14" s="409">
        <v>30043</v>
      </c>
      <c r="D14" s="409">
        <v>30124</v>
      </c>
      <c r="E14" s="409">
        <v>30201</v>
      </c>
      <c r="F14" s="409">
        <v>30290</v>
      </c>
      <c r="G14" s="409">
        <v>30335</v>
      </c>
      <c r="H14" s="409">
        <v>30399</v>
      </c>
      <c r="I14" s="409">
        <v>30407</v>
      </c>
      <c r="J14" s="409">
        <v>30445</v>
      </c>
      <c r="K14" s="409">
        <v>30476</v>
      </c>
      <c r="L14" s="409">
        <v>30599</v>
      </c>
      <c r="M14" s="409">
        <v>30683</v>
      </c>
      <c r="N14" s="409">
        <v>30733</v>
      </c>
      <c r="O14" s="409">
        <v>30810</v>
      </c>
      <c r="P14" s="409">
        <v>30810</v>
      </c>
      <c r="Q14" s="409">
        <v>30975</v>
      </c>
      <c r="R14" s="409">
        <v>31075</v>
      </c>
      <c r="S14" s="409">
        <v>31175</v>
      </c>
      <c r="T14" s="409">
        <v>31277</v>
      </c>
      <c r="U14" s="409">
        <v>31390</v>
      </c>
      <c r="V14" s="409">
        <v>31411</v>
      </c>
      <c r="W14" s="409">
        <v>31483</v>
      </c>
      <c r="X14" s="409">
        <v>31587</v>
      </c>
      <c r="Y14" s="409">
        <v>31678</v>
      </c>
      <c r="Z14" s="409">
        <v>31774</v>
      </c>
      <c r="AA14" s="409">
        <v>31878</v>
      </c>
      <c r="AB14" s="409">
        <v>31995</v>
      </c>
      <c r="AC14" s="409">
        <v>32018</v>
      </c>
      <c r="AD14" s="409">
        <v>32090</v>
      </c>
      <c r="AE14" s="409">
        <v>32211</v>
      </c>
      <c r="AF14" s="301">
        <f>AE14-AG14</f>
        <v>2324</v>
      </c>
      <c r="AG14" s="409">
        <v>29887</v>
      </c>
      <c r="AH14" s="299">
        <v>2324</v>
      </c>
      <c r="AI14" s="299"/>
      <c r="AJ14" s="436"/>
    </row>
    <row r="15" spans="1:36" ht="25.5">
      <c r="A15" s="282" t="s">
        <v>67</v>
      </c>
      <c r="B15" s="409">
        <v>8916</v>
      </c>
      <c r="C15" s="409">
        <v>8916</v>
      </c>
      <c r="D15" s="409">
        <v>8916</v>
      </c>
      <c r="E15" s="409">
        <v>8916</v>
      </c>
      <c r="F15" s="409">
        <v>8916</v>
      </c>
      <c r="G15" s="409">
        <v>8916</v>
      </c>
      <c r="H15" s="409">
        <v>8916</v>
      </c>
      <c r="I15" s="409">
        <v>8916</v>
      </c>
      <c r="J15" s="409">
        <v>8916</v>
      </c>
      <c r="K15" s="409">
        <v>8916</v>
      </c>
      <c r="L15" s="409">
        <v>8916</v>
      </c>
      <c r="M15" s="409">
        <v>8916</v>
      </c>
      <c r="N15" s="409">
        <v>8916</v>
      </c>
      <c r="O15" s="409">
        <v>8916</v>
      </c>
      <c r="P15" s="409">
        <v>8916</v>
      </c>
      <c r="Q15" s="409">
        <v>8916</v>
      </c>
      <c r="R15" s="409">
        <v>8916</v>
      </c>
      <c r="S15" s="409">
        <v>8916</v>
      </c>
      <c r="T15" s="409">
        <v>8916</v>
      </c>
      <c r="U15" s="409">
        <v>8916</v>
      </c>
      <c r="V15" s="409">
        <v>8916</v>
      </c>
      <c r="W15" s="409">
        <v>8916</v>
      </c>
      <c r="X15" s="409">
        <v>8916</v>
      </c>
      <c r="Y15" s="409">
        <v>8916</v>
      </c>
      <c r="Z15" s="409">
        <v>8916</v>
      </c>
      <c r="AA15" s="409">
        <v>8916</v>
      </c>
      <c r="AB15" s="409">
        <v>8916</v>
      </c>
      <c r="AC15" s="409">
        <v>8916</v>
      </c>
      <c r="AD15" s="409">
        <v>8916</v>
      </c>
      <c r="AE15" s="409">
        <v>8916</v>
      </c>
      <c r="AF15" s="301">
        <f t="shared" ref="AF15:AF29" si="0">AE15-AG15</f>
        <v>0</v>
      </c>
      <c r="AG15" s="409">
        <v>8916</v>
      </c>
      <c r="AH15" s="144">
        <v>0</v>
      </c>
      <c r="AI15" s="299"/>
      <c r="AJ15" s="411"/>
    </row>
    <row r="16" spans="1:36"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301">
        <f t="shared" si="0"/>
        <v>0</v>
      </c>
      <c r="AG17" s="437"/>
      <c r="AJ17" s="411"/>
    </row>
    <row r="18" spans="1:36">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301"/>
      <c r="AG18" s="439" t="s">
        <v>64</v>
      </c>
      <c r="AJ18" s="412"/>
    </row>
    <row r="19" spans="1:36" ht="25.5">
      <c r="A19" s="282" t="s">
        <v>70</v>
      </c>
      <c r="B19" s="413">
        <v>13507</v>
      </c>
      <c r="C19" s="413">
        <v>13507</v>
      </c>
      <c r="D19" s="413">
        <v>13507</v>
      </c>
      <c r="E19" s="413">
        <v>13507</v>
      </c>
      <c r="F19" s="413">
        <v>13507</v>
      </c>
      <c r="G19" s="413">
        <v>13507</v>
      </c>
      <c r="H19" s="413">
        <v>13507</v>
      </c>
      <c r="I19" s="413">
        <v>13507</v>
      </c>
      <c r="J19" s="413">
        <v>13507</v>
      </c>
      <c r="K19" s="413">
        <v>13507</v>
      </c>
      <c r="L19" s="413">
        <v>13507</v>
      </c>
      <c r="M19" s="413">
        <v>13507</v>
      </c>
      <c r="N19" s="413">
        <v>13507</v>
      </c>
      <c r="O19" s="413">
        <v>13507</v>
      </c>
      <c r="P19" s="413">
        <v>13507</v>
      </c>
      <c r="Q19" s="413">
        <v>13507</v>
      </c>
      <c r="R19" s="413">
        <v>13507</v>
      </c>
      <c r="S19" s="413">
        <v>13507</v>
      </c>
      <c r="T19" s="413">
        <v>13507</v>
      </c>
      <c r="U19" s="413">
        <v>13507</v>
      </c>
      <c r="V19" s="413">
        <v>13507</v>
      </c>
      <c r="W19" s="413">
        <v>13507</v>
      </c>
      <c r="X19" s="413">
        <v>13507</v>
      </c>
      <c r="Y19" s="413">
        <v>13507</v>
      </c>
      <c r="Z19" s="413">
        <v>13507</v>
      </c>
      <c r="AA19" s="413">
        <v>13507</v>
      </c>
      <c r="AB19" s="413">
        <v>13507</v>
      </c>
      <c r="AC19" s="413">
        <v>13507</v>
      </c>
      <c r="AD19" s="413">
        <v>13507</v>
      </c>
      <c r="AE19" s="413">
        <v>13507</v>
      </c>
      <c r="AF19" s="301">
        <f t="shared" si="0"/>
        <v>0</v>
      </c>
      <c r="AG19" s="413">
        <v>13507</v>
      </c>
      <c r="AH19" s="307">
        <v>0</v>
      </c>
      <c r="AI19" s="307"/>
      <c r="AJ19" s="436"/>
    </row>
    <row r="20" spans="1:36" ht="25.5">
      <c r="A20" s="282" t="s">
        <v>2715</v>
      </c>
      <c r="B20" s="413">
        <v>4665386</v>
      </c>
      <c r="C20" s="413">
        <v>4741051</v>
      </c>
      <c r="D20" s="413">
        <v>4894541</v>
      </c>
      <c r="E20" s="413">
        <v>4968230</v>
      </c>
      <c r="F20" s="413">
        <v>5051295</v>
      </c>
      <c r="G20" s="413">
        <v>5113295</v>
      </c>
      <c r="H20" s="413">
        <v>5189295</v>
      </c>
      <c r="I20" s="413">
        <v>5287295</v>
      </c>
      <c r="J20" s="413">
        <v>5410518</v>
      </c>
      <c r="K20" s="413">
        <v>5423948</v>
      </c>
      <c r="L20" s="413">
        <f>K20+89000</f>
        <v>5512948</v>
      </c>
      <c r="M20" s="413">
        <v>5603644</v>
      </c>
      <c r="N20" s="413">
        <f>M20+63020</f>
        <v>5666664</v>
      </c>
      <c r="O20" s="413">
        <v>5603644</v>
      </c>
      <c r="P20" s="413">
        <v>5626340</v>
      </c>
      <c r="Q20" s="413">
        <v>5781010</v>
      </c>
      <c r="R20" s="413">
        <v>5893900</v>
      </c>
      <c r="S20" s="413">
        <v>5990013</v>
      </c>
      <c r="T20" s="413">
        <v>5990013</v>
      </c>
      <c r="U20" s="413">
        <v>6076570</v>
      </c>
      <c r="V20" s="413">
        <v>6076570</v>
      </c>
      <c r="W20" s="413">
        <v>6247933</v>
      </c>
      <c r="X20" s="413">
        <v>6279778</v>
      </c>
      <c r="Y20" s="413">
        <v>6377120</v>
      </c>
      <c r="Z20" s="413">
        <v>6408498</v>
      </c>
      <c r="AA20" s="413">
        <v>6576082</v>
      </c>
      <c r="AB20" s="413">
        <v>6576082</v>
      </c>
      <c r="AC20" s="413">
        <v>6614630</v>
      </c>
      <c r="AD20" s="413">
        <v>6771921</v>
      </c>
      <c r="AE20" s="413">
        <v>6941997</v>
      </c>
      <c r="AF20" s="301">
        <f t="shared" si="0"/>
        <v>2341329</v>
      </c>
      <c r="AG20" s="413">
        <v>4600668</v>
      </c>
      <c r="AH20" s="144">
        <v>2341329</v>
      </c>
      <c r="AI20" s="307"/>
      <c r="AJ20" s="414"/>
    </row>
    <row r="21" spans="1:36">
      <c r="A21" s="282" t="s">
        <v>72</v>
      </c>
      <c r="B21" s="409">
        <v>251505</v>
      </c>
      <c r="C21" s="409">
        <v>251703</v>
      </c>
      <c r="D21" s="409">
        <v>251886</v>
      </c>
      <c r="E21" s="409">
        <v>252103</v>
      </c>
      <c r="F21" s="409">
        <v>252258</v>
      </c>
      <c r="G21" s="409">
        <v>252443</v>
      </c>
      <c r="H21" s="409">
        <v>252634</v>
      </c>
      <c r="I21" s="409">
        <v>252812</v>
      </c>
      <c r="J21" s="409">
        <v>252996</v>
      </c>
      <c r="K21" s="409">
        <v>253114</v>
      </c>
      <c r="L21" s="409">
        <f>K21+135</f>
        <v>253249</v>
      </c>
      <c r="M21" s="409">
        <v>253592</v>
      </c>
      <c r="N21" s="409">
        <v>253732</v>
      </c>
      <c r="O21" s="409">
        <v>253999</v>
      </c>
      <c r="P21" s="413">
        <v>254184</v>
      </c>
      <c r="Q21" s="409">
        <v>254427</v>
      </c>
      <c r="R21" s="409">
        <v>254651</v>
      </c>
      <c r="S21" s="409">
        <v>254881</v>
      </c>
      <c r="T21" s="409">
        <v>255139</v>
      </c>
      <c r="U21" s="409">
        <v>255484</v>
      </c>
      <c r="V21" s="409">
        <v>255490</v>
      </c>
      <c r="W21" s="409">
        <v>255702</v>
      </c>
      <c r="X21" s="409">
        <v>255922</v>
      </c>
      <c r="Y21" s="409">
        <v>256181</v>
      </c>
      <c r="Z21" s="409">
        <v>256407</v>
      </c>
      <c r="AA21" s="409">
        <v>256685</v>
      </c>
      <c r="AB21" s="409">
        <v>257023</v>
      </c>
      <c r="AC21" s="409">
        <v>257038</v>
      </c>
      <c r="AD21" s="409">
        <v>257267</v>
      </c>
      <c r="AE21" s="409">
        <v>257469</v>
      </c>
      <c r="AF21" s="301">
        <f t="shared" si="0"/>
        <v>6139</v>
      </c>
      <c r="AG21" s="409">
        <v>251330</v>
      </c>
      <c r="AH21" s="144">
        <v>6139</v>
      </c>
      <c r="AI21" s="307"/>
      <c r="AJ21" s="415"/>
    </row>
    <row r="22" spans="1:36">
      <c r="A22" s="282" t="s">
        <v>73</v>
      </c>
      <c r="B22" s="409">
        <v>245248</v>
      </c>
      <c r="C22" s="409">
        <v>245347</v>
      </c>
      <c r="D22" s="409">
        <v>245452</v>
      </c>
      <c r="E22" s="409">
        <v>245547</v>
      </c>
      <c r="F22" s="409">
        <v>245637</v>
      </c>
      <c r="G22" s="409">
        <v>245723</v>
      </c>
      <c r="H22" s="409">
        <v>245799</v>
      </c>
      <c r="I22" s="409">
        <v>245886</v>
      </c>
      <c r="J22" s="409">
        <v>246006</v>
      </c>
      <c r="K22" s="409">
        <v>246077</v>
      </c>
      <c r="L22" s="409">
        <f>K22+75</f>
        <v>246152</v>
      </c>
      <c r="M22" s="409">
        <v>246321</v>
      </c>
      <c r="N22" s="409">
        <v>246401</v>
      </c>
      <c r="O22" s="409">
        <v>246532</v>
      </c>
      <c r="P22" s="409">
        <v>246634</v>
      </c>
      <c r="Q22" s="409">
        <v>246761</v>
      </c>
      <c r="R22" s="409">
        <v>246876</v>
      </c>
      <c r="S22" s="409">
        <v>246991</v>
      </c>
      <c r="T22" s="409">
        <v>247118</v>
      </c>
      <c r="U22" s="409">
        <v>247267</v>
      </c>
      <c r="V22" s="409">
        <v>247316</v>
      </c>
      <c r="W22" s="409">
        <v>247414</v>
      </c>
      <c r="X22" s="409">
        <v>247528</v>
      </c>
      <c r="Y22" s="409">
        <v>247640</v>
      </c>
      <c r="Z22" s="409">
        <v>247785</v>
      </c>
      <c r="AA22" s="409">
        <v>247898</v>
      </c>
      <c r="AB22" s="409">
        <v>248045</v>
      </c>
      <c r="AC22" s="409">
        <v>248093</v>
      </c>
      <c r="AD22" s="409">
        <v>248191</v>
      </c>
      <c r="AE22" s="409">
        <v>248323</v>
      </c>
      <c r="AF22" s="301">
        <f t="shared" si="0"/>
        <v>3165</v>
      </c>
      <c r="AG22" s="409">
        <v>245158</v>
      </c>
      <c r="AH22" s="144">
        <v>3165</v>
      </c>
      <c r="AI22" s="307"/>
      <c r="AJ22" s="415"/>
    </row>
    <row r="23" spans="1:36">
      <c r="A23" s="309" t="s">
        <v>136</v>
      </c>
      <c r="B23" s="409">
        <v>15094</v>
      </c>
      <c r="C23" s="409">
        <v>15107</v>
      </c>
      <c r="D23" s="409">
        <v>15119</v>
      </c>
      <c r="E23" s="409">
        <v>15132</v>
      </c>
      <c r="F23" s="409">
        <v>15144</v>
      </c>
      <c r="G23" s="409">
        <v>15144</v>
      </c>
      <c r="H23" s="409">
        <v>15094</v>
      </c>
      <c r="I23" s="409">
        <v>15094</v>
      </c>
      <c r="J23" s="409">
        <v>15144</v>
      </c>
      <c r="K23" s="409">
        <v>15147</v>
      </c>
      <c r="L23" s="409">
        <v>15159</v>
      </c>
      <c r="M23" s="409">
        <v>15170</v>
      </c>
      <c r="N23" s="409">
        <v>15170</v>
      </c>
      <c r="O23" s="409">
        <v>15187</v>
      </c>
      <c r="P23" s="409">
        <v>15191</v>
      </c>
      <c r="Q23" s="409">
        <v>15203</v>
      </c>
      <c r="R23" s="409">
        <v>15216</v>
      </c>
      <c r="S23" s="409">
        <v>15228</v>
      </c>
      <c r="T23" s="409">
        <v>15240</v>
      </c>
      <c r="U23" s="409">
        <v>15252</v>
      </c>
      <c r="V23" s="409">
        <v>15252</v>
      </c>
      <c r="W23" s="409">
        <v>15255</v>
      </c>
      <c r="X23" s="409">
        <v>15268</v>
      </c>
      <c r="Y23" s="409">
        <v>15281</v>
      </c>
      <c r="Z23" s="409">
        <v>15292</v>
      </c>
      <c r="AA23" s="409">
        <v>15304</v>
      </c>
      <c r="AB23" s="409">
        <v>15316</v>
      </c>
      <c r="AC23" s="409">
        <v>15316</v>
      </c>
      <c r="AD23" s="409">
        <v>15318</v>
      </c>
      <c r="AE23" s="409">
        <v>15330</v>
      </c>
      <c r="AF23" s="301">
        <f t="shared" si="0"/>
        <v>239</v>
      </c>
      <c r="AG23" s="409">
        <v>15091</v>
      </c>
      <c r="AH23" s="144">
        <v>239</v>
      </c>
      <c r="AI23" s="307"/>
      <c r="AJ23" s="414"/>
    </row>
    <row r="24" spans="1:36">
      <c r="A24" s="309" t="s">
        <v>139</v>
      </c>
      <c r="B24" s="409">
        <v>10220</v>
      </c>
      <c r="C24" s="409">
        <v>10230</v>
      </c>
      <c r="D24" s="409">
        <v>10239</v>
      </c>
      <c r="E24" s="409">
        <v>10247</v>
      </c>
      <c r="F24" s="409">
        <v>10254</v>
      </c>
      <c r="G24" s="409">
        <v>10254</v>
      </c>
      <c r="H24" s="409">
        <v>10254</v>
      </c>
      <c r="I24" s="409">
        <v>10254</v>
      </c>
      <c r="J24" s="409">
        <v>10254</v>
      </c>
      <c r="K24" s="409">
        <v>10254</v>
      </c>
      <c r="L24" s="409">
        <v>10260</v>
      </c>
      <c r="M24" s="409">
        <v>10268</v>
      </c>
      <c r="N24" s="409">
        <v>10268</v>
      </c>
      <c r="O24" s="409">
        <v>10273</v>
      </c>
      <c r="P24" s="409">
        <v>10273</v>
      </c>
      <c r="Q24" s="409">
        <v>10281</v>
      </c>
      <c r="R24" s="409">
        <v>10287</v>
      </c>
      <c r="S24" s="409">
        <v>10295</v>
      </c>
      <c r="T24" s="409">
        <v>10304</v>
      </c>
      <c r="U24" s="409">
        <v>10311</v>
      </c>
      <c r="V24" s="409">
        <v>10311</v>
      </c>
      <c r="W24" s="409">
        <v>10312</v>
      </c>
      <c r="X24" s="409">
        <v>10321</v>
      </c>
      <c r="Y24" s="409">
        <v>10330</v>
      </c>
      <c r="Z24" s="409">
        <v>10337</v>
      </c>
      <c r="AA24" s="409">
        <v>10346</v>
      </c>
      <c r="AB24" s="409">
        <v>10359</v>
      </c>
      <c r="AC24" s="409">
        <v>10367</v>
      </c>
      <c r="AD24" s="409">
        <v>10368</v>
      </c>
      <c r="AE24" s="409">
        <v>10382</v>
      </c>
      <c r="AF24" s="301">
        <f t="shared" si="0"/>
        <v>162</v>
      </c>
      <c r="AG24" s="409">
        <v>10220</v>
      </c>
      <c r="AH24" s="144">
        <v>162</v>
      </c>
      <c r="AI24" s="307"/>
      <c r="AJ24" s="414"/>
    </row>
    <row r="25" spans="1:36">
      <c r="A25" s="309" t="s">
        <v>142</v>
      </c>
      <c r="B25" s="409">
        <v>4180</v>
      </c>
      <c r="C25" s="409">
        <v>4182</v>
      </c>
      <c r="D25" s="409">
        <v>4185</v>
      </c>
      <c r="E25" s="409">
        <v>4188</v>
      </c>
      <c r="F25" s="409">
        <v>4189</v>
      </c>
      <c r="G25" s="409">
        <v>4189</v>
      </c>
      <c r="H25" s="409">
        <v>4189</v>
      </c>
      <c r="I25" s="409">
        <v>4189</v>
      </c>
      <c r="J25" s="409">
        <v>4189</v>
      </c>
      <c r="K25" s="409">
        <v>4189</v>
      </c>
      <c r="L25" s="409">
        <v>4189</v>
      </c>
      <c r="M25" s="409">
        <v>4189</v>
      </c>
      <c r="N25" s="409">
        <v>4189</v>
      </c>
      <c r="O25" s="409">
        <v>4213</v>
      </c>
      <c r="P25" s="409">
        <v>4198</v>
      </c>
      <c r="Q25" s="409">
        <v>4201</v>
      </c>
      <c r="R25" s="409">
        <v>4206</v>
      </c>
      <c r="S25" s="409">
        <v>4208</v>
      </c>
      <c r="T25" s="409">
        <v>4212</v>
      </c>
      <c r="U25" s="409">
        <v>4216</v>
      </c>
      <c r="V25" s="409">
        <v>4216</v>
      </c>
      <c r="W25" s="409">
        <v>4217</v>
      </c>
      <c r="X25" s="409">
        <v>4221</v>
      </c>
      <c r="Y25" s="409">
        <v>4226</v>
      </c>
      <c r="Z25" s="409">
        <v>4229</v>
      </c>
      <c r="AA25" s="409">
        <v>4233</v>
      </c>
      <c r="AB25" s="409">
        <v>4238</v>
      </c>
      <c r="AC25" s="409">
        <v>4238</v>
      </c>
      <c r="AD25" s="409">
        <v>4238</v>
      </c>
      <c r="AE25" s="409">
        <v>4243</v>
      </c>
      <c r="AF25" s="301">
        <f t="shared" si="0"/>
        <v>63</v>
      </c>
      <c r="AG25" s="409">
        <v>4180</v>
      </c>
      <c r="AH25" s="144">
        <v>63</v>
      </c>
      <c r="AI25" s="307"/>
      <c r="AJ25" s="414"/>
    </row>
    <row r="26" spans="1:36">
      <c r="A26" s="309" t="s">
        <v>145</v>
      </c>
      <c r="B26" s="409">
        <v>2532</v>
      </c>
      <c r="C26" s="409">
        <v>2535</v>
      </c>
      <c r="D26" s="409">
        <v>2537</v>
      </c>
      <c r="E26" s="409">
        <v>2540</v>
      </c>
      <c r="F26" s="409">
        <v>2543</v>
      </c>
      <c r="G26" s="409">
        <v>2543</v>
      </c>
      <c r="H26" s="409">
        <v>2543</v>
      </c>
      <c r="I26" s="409">
        <v>2543</v>
      </c>
      <c r="J26" s="409">
        <v>2544</v>
      </c>
      <c r="K26" s="409">
        <v>2544</v>
      </c>
      <c r="L26" s="409">
        <v>2547</v>
      </c>
      <c r="M26" s="409">
        <v>2550</v>
      </c>
      <c r="N26" s="409">
        <v>2550</v>
      </c>
      <c r="O26" s="409">
        <v>2552</v>
      </c>
      <c r="P26" s="409">
        <v>2554</v>
      </c>
      <c r="Q26" s="409">
        <v>2557</v>
      </c>
      <c r="R26" s="409">
        <v>2559</v>
      </c>
      <c r="S26" s="409">
        <v>2563</v>
      </c>
      <c r="T26" s="409">
        <v>2566</v>
      </c>
      <c r="U26" s="409">
        <v>2568</v>
      </c>
      <c r="V26" s="409">
        <v>2569</v>
      </c>
      <c r="W26" s="409">
        <v>2570</v>
      </c>
      <c r="X26" s="409">
        <v>2573</v>
      </c>
      <c r="Y26" s="409">
        <v>2576</v>
      </c>
      <c r="Z26" s="409">
        <v>2579</v>
      </c>
      <c r="AA26" s="409">
        <v>2582</v>
      </c>
      <c r="AB26" s="409">
        <v>2587</v>
      </c>
      <c r="AC26" s="409">
        <v>2587</v>
      </c>
      <c r="AD26" s="409">
        <v>2590</v>
      </c>
      <c r="AE26" s="409">
        <v>2595</v>
      </c>
      <c r="AF26" s="301">
        <f t="shared" si="0"/>
        <v>63</v>
      </c>
      <c r="AG26" s="409">
        <v>2532</v>
      </c>
      <c r="AH26" s="144">
        <v>63</v>
      </c>
      <c r="AI26" s="307"/>
      <c r="AJ26" s="414"/>
    </row>
    <row r="27" spans="1:36">
      <c r="A27" s="309" t="s">
        <v>148</v>
      </c>
      <c r="B27" s="409">
        <v>16435</v>
      </c>
      <c r="C27" s="409">
        <v>16447</v>
      </c>
      <c r="D27" s="409">
        <v>16458</v>
      </c>
      <c r="E27" s="409">
        <v>16468</v>
      </c>
      <c r="F27" s="409">
        <v>16479</v>
      </c>
      <c r="G27" s="409">
        <v>16479</v>
      </c>
      <c r="H27" s="409">
        <v>16479</v>
      </c>
      <c r="I27" s="409">
        <v>16479</v>
      </c>
      <c r="J27" s="409">
        <v>16479</v>
      </c>
      <c r="K27" s="409">
        <v>16481</v>
      </c>
      <c r="L27" s="409">
        <v>16481</v>
      </c>
      <c r="M27" s="409">
        <v>16481</v>
      </c>
      <c r="N27" s="409">
        <v>16481</v>
      </c>
      <c r="O27" s="409">
        <v>16502</v>
      </c>
      <c r="P27" s="409">
        <v>16516</v>
      </c>
      <c r="Q27" s="409">
        <v>16529</v>
      </c>
      <c r="R27" s="409">
        <v>16542</v>
      </c>
      <c r="S27" s="409">
        <v>16553</v>
      </c>
      <c r="T27" s="409">
        <v>16564</v>
      </c>
      <c r="U27" s="409">
        <v>16574</v>
      </c>
      <c r="V27" s="409">
        <v>16574</v>
      </c>
      <c r="W27" s="409">
        <v>16576</v>
      </c>
      <c r="X27" s="409">
        <v>16587</v>
      </c>
      <c r="Y27" s="409">
        <v>16596</v>
      </c>
      <c r="Z27" s="409">
        <v>16606</v>
      </c>
      <c r="AA27" s="409">
        <v>16614</v>
      </c>
      <c r="AB27" s="409">
        <v>16622</v>
      </c>
      <c r="AC27" s="409">
        <v>16624</v>
      </c>
      <c r="AD27" s="409">
        <v>16626</v>
      </c>
      <c r="AE27" s="409">
        <v>16637</v>
      </c>
      <c r="AF27" s="301">
        <f t="shared" si="0"/>
        <v>203</v>
      </c>
      <c r="AG27" s="409">
        <v>16434</v>
      </c>
      <c r="AH27" s="144">
        <v>203</v>
      </c>
      <c r="AI27" s="307"/>
      <c r="AJ27" s="414"/>
    </row>
    <row r="28" spans="1:36">
      <c r="A28" s="309"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43">
        <v>1330</v>
      </c>
      <c r="T28" s="443">
        <v>1330</v>
      </c>
      <c r="U28" s="443">
        <v>1330</v>
      </c>
      <c r="V28" s="443">
        <v>1330</v>
      </c>
      <c r="W28" s="443">
        <v>1330</v>
      </c>
      <c r="X28" s="443">
        <v>1330</v>
      </c>
      <c r="Y28" s="443">
        <v>1330</v>
      </c>
      <c r="Z28" s="443">
        <v>1330</v>
      </c>
      <c r="AA28" s="443">
        <v>1330</v>
      </c>
      <c r="AB28" s="443">
        <v>1330</v>
      </c>
      <c r="AC28" s="443">
        <v>1330</v>
      </c>
      <c r="AD28" s="443">
        <v>1330</v>
      </c>
      <c r="AE28" s="443">
        <v>1330</v>
      </c>
      <c r="AF28" s="301">
        <f t="shared" si="0"/>
        <v>0</v>
      </c>
      <c r="AG28" s="409">
        <v>1330</v>
      </c>
      <c r="AH28" s="144">
        <v>0</v>
      </c>
      <c r="AI28" s="307"/>
      <c r="AJ28" s="414"/>
    </row>
    <row r="29" spans="1:36">
      <c r="A29" s="309" t="s">
        <v>154</v>
      </c>
      <c r="B29" s="443">
        <v>1268</v>
      </c>
      <c r="C29" s="443">
        <v>1270</v>
      </c>
      <c r="D29" s="443">
        <v>1271</v>
      </c>
      <c r="E29" s="443">
        <v>1273</v>
      </c>
      <c r="F29" s="443">
        <v>1268</v>
      </c>
      <c r="G29" s="443">
        <v>1268</v>
      </c>
      <c r="H29" s="443">
        <v>1268</v>
      </c>
      <c r="I29" s="443">
        <v>1268</v>
      </c>
      <c r="J29" s="443">
        <v>1275</v>
      </c>
      <c r="K29" s="443">
        <v>1276</v>
      </c>
      <c r="L29" s="443">
        <v>1278</v>
      </c>
      <c r="M29" s="443">
        <v>1279</v>
      </c>
      <c r="N29" s="443">
        <v>1279</v>
      </c>
      <c r="O29" s="443">
        <v>1280</v>
      </c>
      <c r="P29" s="443">
        <v>1281</v>
      </c>
      <c r="Q29" s="443">
        <v>1282</v>
      </c>
      <c r="R29" s="443">
        <v>1283</v>
      </c>
      <c r="S29" s="443">
        <v>1284</v>
      </c>
      <c r="T29" s="443">
        <v>1286</v>
      </c>
      <c r="U29" s="443">
        <v>1287</v>
      </c>
      <c r="V29" s="443">
        <v>1287</v>
      </c>
      <c r="W29" s="443">
        <v>1288</v>
      </c>
      <c r="X29" s="443">
        <v>1290</v>
      </c>
      <c r="Y29" s="443">
        <v>1291</v>
      </c>
      <c r="Z29" s="443">
        <v>1292</v>
      </c>
      <c r="AA29" s="443">
        <v>1294</v>
      </c>
      <c r="AB29" s="443">
        <v>1295</v>
      </c>
      <c r="AC29" s="443">
        <v>1295</v>
      </c>
      <c r="AD29" s="443">
        <v>1297</v>
      </c>
      <c r="AE29" s="443">
        <v>1298</v>
      </c>
      <c r="AF29" s="301">
        <f t="shared" si="0"/>
        <v>31</v>
      </c>
      <c r="AG29" s="443">
        <v>1267</v>
      </c>
      <c r="AH29" s="144">
        <v>31</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c r="A32" s="282" t="s">
        <v>77</v>
      </c>
      <c r="B32" s="424" t="s">
        <v>2815</v>
      </c>
      <c r="C32" s="424" t="s">
        <v>2815</v>
      </c>
      <c r="D32" s="424" t="s">
        <v>2815</v>
      </c>
      <c r="E32" s="424" t="s">
        <v>2815</v>
      </c>
      <c r="F32" s="424" t="s">
        <v>2815</v>
      </c>
      <c r="G32" s="424" t="s">
        <v>2815</v>
      </c>
      <c r="H32" s="424" t="s">
        <v>2815</v>
      </c>
      <c r="I32" s="424" t="s">
        <v>2815</v>
      </c>
      <c r="J32" s="424" t="s">
        <v>2815</v>
      </c>
      <c r="K32" s="424" t="s">
        <v>2815</v>
      </c>
      <c r="L32" s="424" t="s">
        <v>2815</v>
      </c>
      <c r="M32" s="443" t="s">
        <v>2815</v>
      </c>
      <c r="N32" s="443" t="s">
        <v>2815</v>
      </c>
      <c r="O32" s="443" t="s">
        <v>2815</v>
      </c>
      <c r="P32" s="443" t="s">
        <v>2815</v>
      </c>
      <c r="Q32" s="443" t="s">
        <v>2815</v>
      </c>
      <c r="R32" s="443" t="s">
        <v>2815</v>
      </c>
      <c r="S32" s="443" t="s">
        <v>2815</v>
      </c>
      <c r="T32" s="443" t="s">
        <v>2815</v>
      </c>
      <c r="U32" s="443" t="s">
        <v>2815</v>
      </c>
      <c r="V32" s="443" t="s">
        <v>2815</v>
      </c>
      <c r="W32" s="443" t="s">
        <v>2815</v>
      </c>
      <c r="X32" s="443" t="s">
        <v>2815</v>
      </c>
      <c r="Y32" s="443" t="s">
        <v>2815</v>
      </c>
      <c r="Z32" s="443" t="s">
        <v>2815</v>
      </c>
      <c r="AA32" s="443" t="s">
        <v>2815</v>
      </c>
      <c r="AB32" s="443" t="s">
        <v>2815</v>
      </c>
      <c r="AC32" s="443" t="s">
        <v>2815</v>
      </c>
      <c r="AD32" s="443" t="s">
        <v>2815</v>
      </c>
      <c r="AE32" s="443" t="s">
        <v>2815</v>
      </c>
      <c r="AF32" s="301"/>
      <c r="AG32" s="424" t="s">
        <v>2815</v>
      </c>
    </row>
    <row r="33" spans="1:33" ht="25.5">
      <c r="A33" s="282" t="s">
        <v>80</v>
      </c>
      <c r="B33" s="424" t="s">
        <v>2815</v>
      </c>
      <c r="C33" s="424" t="s">
        <v>2815</v>
      </c>
      <c r="D33" s="424" t="s">
        <v>2815</v>
      </c>
      <c r="E33" s="424" t="s">
        <v>2815</v>
      </c>
      <c r="F33" s="424" t="s">
        <v>2815</v>
      </c>
      <c r="G33" s="424" t="s">
        <v>2815</v>
      </c>
      <c r="H33" s="424" t="s">
        <v>2815</v>
      </c>
      <c r="I33" s="424" t="s">
        <v>2815</v>
      </c>
      <c r="J33" s="424" t="s">
        <v>2815</v>
      </c>
      <c r="K33" s="424" t="s">
        <v>2815</v>
      </c>
      <c r="L33" s="424" t="s">
        <v>2815</v>
      </c>
      <c r="M33" s="443" t="s">
        <v>2815</v>
      </c>
      <c r="N33" s="443" t="s">
        <v>2815</v>
      </c>
      <c r="O33" s="443" t="s">
        <v>2815</v>
      </c>
      <c r="P33" s="443" t="s">
        <v>2815</v>
      </c>
      <c r="Q33" s="443" t="s">
        <v>2815</v>
      </c>
      <c r="R33" s="443" t="s">
        <v>2815</v>
      </c>
      <c r="S33" s="443" t="s">
        <v>2815</v>
      </c>
      <c r="T33" s="443" t="s">
        <v>2815</v>
      </c>
      <c r="U33" s="443" t="s">
        <v>2815</v>
      </c>
      <c r="V33" s="443" t="s">
        <v>2815</v>
      </c>
      <c r="W33" s="443" t="s">
        <v>2815</v>
      </c>
      <c r="X33" s="443" t="s">
        <v>2815</v>
      </c>
      <c r="Y33" s="443" t="s">
        <v>2815</v>
      </c>
      <c r="Z33" s="443" t="s">
        <v>2815</v>
      </c>
      <c r="AA33" s="443" t="s">
        <v>2815</v>
      </c>
      <c r="AB33" s="443" t="s">
        <v>2815</v>
      </c>
      <c r="AC33" s="443" t="s">
        <v>2815</v>
      </c>
      <c r="AD33" s="443" t="s">
        <v>2815</v>
      </c>
      <c r="AE33" s="443" t="s">
        <v>2815</v>
      </c>
      <c r="AF33" s="301"/>
      <c r="AG33" s="424" t="s">
        <v>2815</v>
      </c>
    </row>
    <row r="34" spans="1:33" ht="15.75" thickBot="1">
      <c r="A34" s="310" t="s">
        <v>81</v>
      </c>
      <c r="B34" s="417" t="s">
        <v>2816</v>
      </c>
      <c r="C34" s="417" t="s">
        <v>2816</v>
      </c>
      <c r="D34" s="417" t="s">
        <v>2816</v>
      </c>
      <c r="E34" s="417" t="s">
        <v>2816</v>
      </c>
      <c r="F34" s="417" t="s">
        <v>2816</v>
      </c>
      <c r="G34" s="417" t="s">
        <v>2816</v>
      </c>
      <c r="H34" s="417" t="s">
        <v>2816</v>
      </c>
      <c r="I34" s="417" t="s">
        <v>2816</v>
      </c>
      <c r="J34" s="417" t="s">
        <v>2816</v>
      </c>
      <c r="K34" s="417" t="s">
        <v>2816</v>
      </c>
      <c r="L34" s="417" t="s">
        <v>2816</v>
      </c>
      <c r="M34" s="446" t="s">
        <v>2816</v>
      </c>
      <c r="N34" s="446" t="s">
        <v>2816</v>
      </c>
      <c r="O34" s="446" t="s">
        <v>2816</v>
      </c>
      <c r="P34" s="446" t="s">
        <v>2816</v>
      </c>
      <c r="Q34" s="446" t="s">
        <v>2816</v>
      </c>
      <c r="R34" s="446" t="s">
        <v>2816</v>
      </c>
      <c r="S34" s="446" t="s">
        <v>2816</v>
      </c>
      <c r="T34" s="446" t="s">
        <v>2816</v>
      </c>
      <c r="U34" s="446" t="s">
        <v>2816</v>
      </c>
      <c r="V34" s="446" t="s">
        <v>2816</v>
      </c>
      <c r="W34" s="446" t="s">
        <v>2816</v>
      </c>
      <c r="X34" s="446" t="s">
        <v>2816</v>
      </c>
      <c r="Y34" s="446" t="s">
        <v>2816</v>
      </c>
      <c r="Z34" s="446" t="s">
        <v>2816</v>
      </c>
      <c r="AA34" s="446" t="s">
        <v>2816</v>
      </c>
      <c r="AB34" s="446" t="s">
        <v>2816</v>
      </c>
      <c r="AC34" s="446" t="s">
        <v>2816</v>
      </c>
      <c r="AD34" s="446" t="s">
        <v>2816</v>
      </c>
      <c r="AE34" s="446" t="s">
        <v>2816</v>
      </c>
      <c r="AF34" s="301"/>
      <c r="AG34" s="417" t="s">
        <v>2816</v>
      </c>
    </row>
  </sheetData>
  <mergeCells count="1">
    <mergeCell ref="A1:AG1"/>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3D573-A707-4FCB-899D-3603E68D9178}">
  <dimension ref="A1:AK34"/>
  <sheetViews>
    <sheetView workbookViewId="0">
      <selection activeCell="I20" sqref="I20"/>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45839</v>
      </c>
      <c r="C2" s="281">
        <v>45840</v>
      </c>
      <c r="D2" s="281">
        <v>45841</v>
      </c>
      <c r="E2" s="281">
        <v>45842</v>
      </c>
      <c r="F2" s="281">
        <v>45843</v>
      </c>
      <c r="G2" s="281">
        <v>45844</v>
      </c>
      <c r="H2" s="281">
        <v>45845</v>
      </c>
      <c r="I2" s="281">
        <v>45846</v>
      </c>
      <c r="J2" s="281">
        <v>45847</v>
      </c>
      <c r="K2" s="281">
        <v>45848</v>
      </c>
      <c r="L2" s="281">
        <v>45849</v>
      </c>
      <c r="M2" s="281">
        <v>45850</v>
      </c>
      <c r="N2" s="281">
        <v>45851</v>
      </c>
      <c r="O2" s="281">
        <v>45852</v>
      </c>
      <c r="P2" s="281">
        <v>45853</v>
      </c>
      <c r="Q2" s="281">
        <v>45854</v>
      </c>
      <c r="R2" s="281">
        <v>45855</v>
      </c>
      <c r="S2" s="281">
        <v>45856</v>
      </c>
      <c r="T2" s="281">
        <v>45857</v>
      </c>
      <c r="U2" s="281">
        <v>45858</v>
      </c>
      <c r="V2" s="281">
        <v>45859</v>
      </c>
      <c r="W2" s="281">
        <v>45860</v>
      </c>
      <c r="X2" s="281">
        <v>45861</v>
      </c>
      <c r="Y2" s="281">
        <v>45862</v>
      </c>
      <c r="Z2" s="281">
        <v>45863</v>
      </c>
      <c r="AA2" s="281">
        <v>45864</v>
      </c>
      <c r="AB2" s="281">
        <v>45865</v>
      </c>
      <c r="AC2" s="281">
        <v>45866</v>
      </c>
      <c r="AD2" s="281">
        <v>45867</v>
      </c>
      <c r="AE2" s="281">
        <v>45868</v>
      </c>
      <c r="AF2" s="281">
        <v>45869</v>
      </c>
      <c r="AG2" s="281"/>
      <c r="AH2" s="281">
        <v>45838</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491655</v>
      </c>
      <c r="C4" s="420">
        <v>491908</v>
      </c>
      <c r="D4" s="420">
        <v>492165</v>
      </c>
      <c r="E4" s="420">
        <v>492409</v>
      </c>
      <c r="F4" s="420">
        <v>492658</v>
      </c>
      <c r="G4" s="420">
        <v>492897</v>
      </c>
      <c r="H4" s="420">
        <v>493144</v>
      </c>
      <c r="I4" s="420">
        <v>493400</v>
      </c>
      <c r="J4" s="420">
        <v>493649</v>
      </c>
      <c r="K4" s="420">
        <v>493904</v>
      </c>
      <c r="L4" s="420">
        <v>494155</v>
      </c>
      <c r="M4" s="420">
        <v>494388</v>
      </c>
      <c r="N4" s="420">
        <v>494633</v>
      </c>
      <c r="O4" s="420">
        <v>494885</v>
      </c>
      <c r="P4" s="420">
        <v>495139</v>
      </c>
      <c r="Q4" s="420">
        <v>495391</v>
      </c>
      <c r="R4" s="420">
        <v>495645</v>
      </c>
      <c r="S4" s="420">
        <v>495900</v>
      </c>
      <c r="T4" s="420">
        <v>496137</v>
      </c>
      <c r="U4" s="420">
        <v>496378</v>
      </c>
      <c r="V4" s="420">
        <v>496639</v>
      </c>
      <c r="W4" s="420">
        <v>496901</v>
      </c>
      <c r="X4" s="420">
        <v>497162</v>
      </c>
      <c r="Y4" s="420">
        <v>497421</v>
      </c>
      <c r="Z4" s="420">
        <v>497668</v>
      </c>
      <c r="AA4" s="420">
        <v>497918</v>
      </c>
      <c r="AB4" s="420">
        <v>498165</v>
      </c>
      <c r="AC4" s="420">
        <v>498428</v>
      </c>
      <c r="AD4" s="420">
        <v>498694</v>
      </c>
      <c r="AE4" s="420">
        <v>498954</v>
      </c>
      <c r="AF4" s="420">
        <v>499214</v>
      </c>
      <c r="AG4" s="290"/>
      <c r="AH4" s="420">
        <v>491394</v>
      </c>
      <c r="AI4" s="288"/>
    </row>
    <row r="5" spans="1:37" ht="20.100000000000001" customHeight="1">
      <c r="A5" s="285" t="s">
        <v>55</v>
      </c>
      <c r="B5" s="420">
        <v>13792339</v>
      </c>
      <c r="C5" s="420">
        <v>13799295</v>
      </c>
      <c r="D5" s="420">
        <v>13806480</v>
      </c>
      <c r="E5" s="420">
        <v>13813229</v>
      </c>
      <c r="F5" s="420">
        <v>13819198</v>
      </c>
      <c r="G5" s="420">
        <v>13825111</v>
      </c>
      <c r="H5" s="420">
        <v>13832087</v>
      </c>
      <c r="I5" s="420">
        <v>13839205</v>
      </c>
      <c r="J5" s="420">
        <v>13846019</v>
      </c>
      <c r="K5" s="420">
        <v>13853003</v>
      </c>
      <c r="L5" s="420">
        <v>13860158</v>
      </c>
      <c r="M5" s="420">
        <v>13866518</v>
      </c>
      <c r="N5" s="420">
        <v>13873166</v>
      </c>
      <c r="O5" s="420">
        <v>13880190</v>
      </c>
      <c r="P5" s="420">
        <v>13887098</v>
      </c>
      <c r="Q5" s="420">
        <v>13893983</v>
      </c>
      <c r="R5" s="420">
        <v>13900756</v>
      </c>
      <c r="S5" s="420">
        <v>13907561</v>
      </c>
      <c r="T5" s="420">
        <v>13913267</v>
      </c>
      <c r="U5" s="420">
        <v>13919173</v>
      </c>
      <c r="V5" s="420">
        <v>13926219</v>
      </c>
      <c r="W5" s="420">
        <v>13933081</v>
      </c>
      <c r="X5" s="420">
        <v>13939860</v>
      </c>
      <c r="Y5" s="420">
        <v>13946708</v>
      </c>
      <c r="Z5" s="420">
        <v>13953325</v>
      </c>
      <c r="AA5" s="420">
        <v>13959412</v>
      </c>
      <c r="AB5" s="420">
        <v>13965332</v>
      </c>
      <c r="AC5" s="420">
        <v>13972225</v>
      </c>
      <c r="AD5" s="420">
        <v>13979236</v>
      </c>
      <c r="AE5" s="420">
        <v>13986183</v>
      </c>
      <c r="AF5" s="420">
        <v>13993179</v>
      </c>
      <c r="AG5" s="290"/>
      <c r="AH5" s="420">
        <v>13785145</v>
      </c>
      <c r="AI5" s="288"/>
    </row>
    <row r="6" spans="1:37" ht="20.100000000000001" customHeight="1">
      <c r="A6" s="285" t="s">
        <v>56</v>
      </c>
      <c r="B6" s="420">
        <v>6382824</v>
      </c>
      <c r="C6" s="420">
        <v>6385921</v>
      </c>
      <c r="D6" s="420">
        <v>6388974</v>
      </c>
      <c r="E6" s="420">
        <v>6391903</v>
      </c>
      <c r="F6" s="420">
        <v>6394459</v>
      </c>
      <c r="G6" s="420">
        <v>6397144</v>
      </c>
      <c r="H6" s="420">
        <v>6400163</v>
      </c>
      <c r="I6" s="420">
        <v>6403280</v>
      </c>
      <c r="J6" s="420">
        <v>6406313</v>
      </c>
      <c r="K6" s="420">
        <v>6409393</v>
      </c>
      <c r="L6" s="420">
        <v>6412379</v>
      </c>
      <c r="M6" s="420">
        <v>6414783</v>
      </c>
      <c r="N6" s="420">
        <v>6417528</v>
      </c>
      <c r="O6" s="420">
        <v>6420559</v>
      </c>
      <c r="P6" s="420">
        <v>6423603</v>
      </c>
      <c r="Q6" s="420">
        <v>6426727</v>
      </c>
      <c r="R6" s="420">
        <v>6429777</v>
      </c>
      <c r="S6" s="420">
        <v>6432733</v>
      </c>
      <c r="T6" s="420">
        <v>6435161</v>
      </c>
      <c r="U6" s="420">
        <v>6437826</v>
      </c>
      <c r="V6" s="420">
        <v>6440948</v>
      </c>
      <c r="W6" s="420">
        <v>6444088</v>
      </c>
      <c r="X6" s="420">
        <v>6447201</v>
      </c>
      <c r="Y6" s="420">
        <v>6450331</v>
      </c>
      <c r="Z6" s="420">
        <v>6453178</v>
      </c>
      <c r="AA6" s="420">
        <v>6455728</v>
      </c>
      <c r="AB6" s="420">
        <v>6458381</v>
      </c>
      <c r="AC6" s="420">
        <v>6461478</v>
      </c>
      <c r="AD6" s="420">
        <v>6464625</v>
      </c>
      <c r="AE6" s="420">
        <v>6467705</v>
      </c>
      <c r="AF6" s="420">
        <v>6470697</v>
      </c>
      <c r="AG6" s="290"/>
      <c r="AH6" s="420">
        <v>6379657</v>
      </c>
      <c r="AI6" s="288"/>
    </row>
    <row r="7" spans="1:37" ht="20.100000000000001" customHeight="1">
      <c r="A7" s="285" t="s">
        <v>57</v>
      </c>
      <c r="B7" s="420">
        <v>961261</v>
      </c>
      <c r="C7" s="420">
        <v>961301</v>
      </c>
      <c r="D7" s="420">
        <v>961340</v>
      </c>
      <c r="E7" s="420">
        <v>961821</v>
      </c>
      <c r="F7" s="420">
        <v>961905</v>
      </c>
      <c r="G7" s="420">
        <v>961998</v>
      </c>
      <c r="H7" s="420">
        <v>962429</v>
      </c>
      <c r="I7" s="420">
        <v>964178</v>
      </c>
      <c r="J7" s="420">
        <v>965925</v>
      </c>
      <c r="K7" s="420">
        <v>967383</v>
      </c>
      <c r="L7" s="420">
        <v>968810</v>
      </c>
      <c r="M7" s="420">
        <v>968850</v>
      </c>
      <c r="N7" s="420">
        <v>976280</v>
      </c>
      <c r="O7" s="420">
        <v>988315</v>
      </c>
      <c r="P7" s="420">
        <v>1000676</v>
      </c>
      <c r="Q7" s="420">
        <v>1012673</v>
      </c>
      <c r="R7" s="420">
        <v>1024281</v>
      </c>
      <c r="S7" s="420">
        <v>1037154</v>
      </c>
      <c r="T7" s="420">
        <v>1047407</v>
      </c>
      <c r="U7" s="420">
        <v>1056970</v>
      </c>
      <c r="V7" s="420">
        <v>1068955</v>
      </c>
      <c r="W7" s="420">
        <v>1085281</v>
      </c>
      <c r="X7" s="420">
        <v>1098016</v>
      </c>
      <c r="Y7" s="420">
        <v>1110062</v>
      </c>
      <c r="Z7" s="420">
        <v>1125462</v>
      </c>
      <c r="AA7" s="420">
        <v>1142063</v>
      </c>
      <c r="AB7" s="420">
        <v>1152417</v>
      </c>
      <c r="AC7" s="420">
        <v>1161945</v>
      </c>
      <c r="AD7" s="420">
        <v>1172921</v>
      </c>
      <c r="AE7" s="420">
        <v>1183049</v>
      </c>
      <c r="AF7" s="420">
        <v>1192867</v>
      </c>
      <c r="AG7" s="290"/>
      <c r="AH7" s="420">
        <v>961221</v>
      </c>
      <c r="AI7" s="288"/>
    </row>
    <row r="8" spans="1:37" ht="20.100000000000001" customHeight="1">
      <c r="A8" s="285" t="s">
        <v>58</v>
      </c>
      <c r="B8" s="420">
        <v>967464</v>
      </c>
      <c r="C8" s="420">
        <v>981234</v>
      </c>
      <c r="D8" s="420">
        <v>994469</v>
      </c>
      <c r="E8" s="420">
        <v>1006630</v>
      </c>
      <c r="F8" s="420">
        <v>1018706</v>
      </c>
      <c r="G8" s="420">
        <v>1028103</v>
      </c>
      <c r="H8" s="420">
        <v>1037795</v>
      </c>
      <c r="I8" s="420">
        <v>1046839</v>
      </c>
      <c r="J8" s="420">
        <v>1056104</v>
      </c>
      <c r="K8" s="420">
        <v>1066025</v>
      </c>
      <c r="L8" s="420">
        <v>1075899</v>
      </c>
      <c r="M8" s="420">
        <v>1085364</v>
      </c>
      <c r="N8" s="420">
        <v>1088907</v>
      </c>
      <c r="O8" s="420">
        <v>1090038</v>
      </c>
      <c r="P8" s="420">
        <v>1090084</v>
      </c>
      <c r="Q8" s="420">
        <v>1090127</v>
      </c>
      <c r="R8" s="420">
        <v>1090169</v>
      </c>
      <c r="S8" s="420">
        <v>1090212</v>
      </c>
      <c r="T8" s="420">
        <v>1090256</v>
      </c>
      <c r="U8" s="420">
        <v>1090298</v>
      </c>
      <c r="V8" s="420">
        <v>1090647</v>
      </c>
      <c r="W8" s="420">
        <v>1090738</v>
      </c>
      <c r="X8" s="420">
        <v>1090830</v>
      </c>
      <c r="Y8" s="420">
        <v>1090921</v>
      </c>
      <c r="Z8" s="420">
        <v>1091009</v>
      </c>
      <c r="AA8" s="420">
        <v>1091106</v>
      </c>
      <c r="AB8" s="420">
        <v>1094403</v>
      </c>
      <c r="AC8" s="420">
        <v>1099678</v>
      </c>
      <c r="AD8" s="420">
        <v>1102917</v>
      </c>
      <c r="AE8" s="420">
        <v>1105999</v>
      </c>
      <c r="AF8" s="420">
        <v>1108665</v>
      </c>
      <c r="AG8" s="290"/>
      <c r="AH8" s="420">
        <v>954095</v>
      </c>
      <c r="AI8" s="288"/>
    </row>
    <row r="9" spans="1:37" ht="20.100000000000001" customHeight="1">
      <c r="A9" s="285" t="s">
        <v>59</v>
      </c>
      <c r="B9" s="420">
        <v>1389849</v>
      </c>
      <c r="C9" s="420">
        <v>1397795</v>
      </c>
      <c r="D9" s="420">
        <v>1405170</v>
      </c>
      <c r="E9" s="420">
        <v>1412408</v>
      </c>
      <c r="F9" s="420">
        <v>1418587</v>
      </c>
      <c r="G9" s="420">
        <v>1424638</v>
      </c>
      <c r="H9" s="420">
        <v>1430726</v>
      </c>
      <c r="I9" s="420">
        <v>1437551</v>
      </c>
      <c r="J9" s="420">
        <v>1444316</v>
      </c>
      <c r="K9" s="420">
        <v>1451239</v>
      </c>
      <c r="L9" s="420">
        <v>1457857</v>
      </c>
      <c r="M9" s="420">
        <v>1463657</v>
      </c>
      <c r="N9" s="420">
        <v>1469947</v>
      </c>
      <c r="O9" s="420">
        <v>1477891</v>
      </c>
      <c r="P9" s="420">
        <v>1485022</v>
      </c>
      <c r="Q9" s="420">
        <v>1491899</v>
      </c>
      <c r="R9" s="420">
        <v>1498594</v>
      </c>
      <c r="S9" s="420">
        <v>1506264</v>
      </c>
      <c r="T9" s="420">
        <v>1512156</v>
      </c>
      <c r="U9" s="420">
        <v>1517951</v>
      </c>
      <c r="V9" s="420">
        <v>1525032</v>
      </c>
      <c r="W9" s="420">
        <v>1534987</v>
      </c>
      <c r="X9" s="420">
        <v>1542347</v>
      </c>
      <c r="Y9" s="420">
        <v>1549205</v>
      </c>
      <c r="Z9" s="420">
        <v>1558573</v>
      </c>
      <c r="AA9" s="420">
        <v>1569176</v>
      </c>
      <c r="AB9" s="420">
        <v>1577252</v>
      </c>
      <c r="AC9" s="420">
        <v>1586179</v>
      </c>
      <c r="AD9" s="420">
        <v>1593977</v>
      </c>
      <c r="AE9" s="420">
        <v>1601391</v>
      </c>
      <c r="AF9" s="420">
        <v>1608943</v>
      </c>
      <c r="AG9" s="290"/>
      <c r="AH9" s="420">
        <v>1382459</v>
      </c>
      <c r="AI9" s="288"/>
    </row>
    <row r="10" spans="1:37" ht="20.100000000000001" customHeight="1">
      <c r="A10" s="285" t="s">
        <v>60</v>
      </c>
      <c r="B10" s="420">
        <v>8833761</v>
      </c>
      <c r="C10" s="420">
        <v>8837724</v>
      </c>
      <c r="D10" s="420">
        <v>8841782</v>
      </c>
      <c r="E10" s="420">
        <v>8845499</v>
      </c>
      <c r="F10" s="420">
        <v>8848053</v>
      </c>
      <c r="G10" s="420">
        <v>8850967</v>
      </c>
      <c r="H10" s="420">
        <v>8854934</v>
      </c>
      <c r="I10" s="420">
        <v>8858852</v>
      </c>
      <c r="J10" s="420">
        <v>8862721</v>
      </c>
      <c r="K10" s="420">
        <v>8866641</v>
      </c>
      <c r="L10" s="420">
        <v>8870382</v>
      </c>
      <c r="M10" s="420">
        <v>8872888</v>
      </c>
      <c r="N10" s="420">
        <v>8875786</v>
      </c>
      <c r="O10" s="420">
        <v>8879780</v>
      </c>
      <c r="P10" s="420">
        <v>8883747</v>
      </c>
      <c r="Q10" s="420">
        <v>8887690</v>
      </c>
      <c r="R10" s="420">
        <v>8891649</v>
      </c>
      <c r="S10" s="420">
        <v>8895469</v>
      </c>
      <c r="T10" s="420">
        <v>8898089</v>
      </c>
      <c r="U10" s="420">
        <v>8900929</v>
      </c>
      <c r="V10" s="420">
        <v>8904994</v>
      </c>
      <c r="W10" s="420">
        <v>8908982</v>
      </c>
      <c r="X10" s="420">
        <v>8913210</v>
      </c>
      <c r="Y10" s="420">
        <v>8917244</v>
      </c>
      <c r="Z10" s="420">
        <v>8920994</v>
      </c>
      <c r="AA10" s="420">
        <v>8923725</v>
      </c>
      <c r="AB10" s="420">
        <v>8926604</v>
      </c>
      <c r="AC10" s="420">
        <v>8930607</v>
      </c>
      <c r="AD10" s="420">
        <v>8934654</v>
      </c>
      <c r="AE10" s="420">
        <v>8938647</v>
      </c>
      <c r="AF10" s="420">
        <v>8942708</v>
      </c>
      <c r="AG10" s="290"/>
      <c r="AH10" s="420">
        <v>8829739</v>
      </c>
      <c r="AI10" s="288"/>
    </row>
    <row r="11" spans="1:37" ht="22.5" customHeight="1">
      <c r="A11" s="285" t="s">
        <v>61</v>
      </c>
      <c r="B11" s="420">
        <v>337898</v>
      </c>
      <c r="C11" s="420">
        <v>338035</v>
      </c>
      <c r="D11" s="420">
        <v>338173</v>
      </c>
      <c r="E11" s="420">
        <v>338304</v>
      </c>
      <c r="F11" s="420">
        <v>338408</v>
      </c>
      <c r="G11" s="420">
        <v>338517</v>
      </c>
      <c r="H11" s="420">
        <v>338651</v>
      </c>
      <c r="I11" s="420">
        <v>338792</v>
      </c>
      <c r="J11" s="420">
        <v>338927</v>
      </c>
      <c r="K11" s="420">
        <v>339063</v>
      </c>
      <c r="L11" s="420">
        <v>339201</v>
      </c>
      <c r="M11" s="420">
        <v>339302</v>
      </c>
      <c r="N11" s="420">
        <v>339413</v>
      </c>
      <c r="O11" s="420">
        <v>339550</v>
      </c>
      <c r="P11" s="420">
        <v>339684</v>
      </c>
      <c r="Q11" s="420">
        <v>339818</v>
      </c>
      <c r="R11" s="420">
        <v>339950</v>
      </c>
      <c r="S11" s="420">
        <v>340080</v>
      </c>
      <c r="T11" s="420">
        <v>340175</v>
      </c>
      <c r="U11" s="420">
        <v>340281</v>
      </c>
      <c r="V11" s="420">
        <v>340416</v>
      </c>
      <c r="W11" s="420">
        <v>340549</v>
      </c>
      <c r="X11" s="420">
        <v>340683</v>
      </c>
      <c r="Y11" s="420">
        <v>340815</v>
      </c>
      <c r="Z11" s="420">
        <v>340942</v>
      </c>
      <c r="AA11" s="420">
        <v>341044</v>
      </c>
      <c r="AB11" s="420">
        <v>341148</v>
      </c>
      <c r="AC11" s="420">
        <v>341282</v>
      </c>
      <c r="AD11" s="420">
        <v>341419</v>
      </c>
      <c r="AE11" s="420">
        <v>341550</v>
      </c>
      <c r="AF11" s="420">
        <v>341683</v>
      </c>
      <c r="AG11" s="290"/>
      <c r="AH11" s="420">
        <v>337757</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32322</v>
      </c>
      <c r="C14" s="409">
        <v>32422</v>
      </c>
      <c r="D14" s="409">
        <v>32522</v>
      </c>
      <c r="E14" s="409">
        <v>32789</v>
      </c>
      <c r="F14" s="409">
        <v>32988</v>
      </c>
      <c r="G14" s="409">
        <v>33096</v>
      </c>
      <c r="H14" s="409">
        <v>33248</v>
      </c>
      <c r="I14" s="409">
        <v>33381</v>
      </c>
      <c r="J14" s="409">
        <v>33480</v>
      </c>
      <c r="K14" s="409">
        <v>33585</v>
      </c>
      <c r="L14" s="409">
        <v>33698</v>
      </c>
      <c r="M14" s="409">
        <v>33726</v>
      </c>
      <c r="N14" s="409">
        <v>33809</v>
      </c>
      <c r="O14" s="409">
        <v>33910</v>
      </c>
      <c r="P14" s="409">
        <v>34004</v>
      </c>
      <c r="Q14" s="409">
        <v>34096</v>
      </c>
      <c r="R14" s="409">
        <v>34196</v>
      </c>
      <c r="S14" s="409">
        <v>34307</v>
      </c>
      <c r="T14" s="409">
        <v>34338</v>
      </c>
      <c r="U14" s="409">
        <v>34444</v>
      </c>
      <c r="V14" s="409">
        <v>34533</v>
      </c>
      <c r="W14" s="409">
        <v>34624</v>
      </c>
      <c r="X14" s="409">
        <v>34705</v>
      </c>
      <c r="Y14" s="409">
        <v>34787</v>
      </c>
      <c r="Z14" s="409">
        <v>34924</v>
      </c>
      <c r="AA14" s="409">
        <v>34956</v>
      </c>
      <c r="AB14" s="409">
        <v>35062</v>
      </c>
      <c r="AC14" s="409">
        <v>35145</v>
      </c>
      <c r="AD14" s="409">
        <v>35228</v>
      </c>
      <c r="AE14" s="409">
        <v>35313</v>
      </c>
      <c r="AF14" s="409">
        <v>35401</v>
      </c>
      <c r="AG14" s="301">
        <f>AF14-AH14</f>
        <v>3190</v>
      </c>
      <c r="AH14" s="409">
        <v>32211</v>
      </c>
      <c r="AI14" s="299">
        <v>3090</v>
      </c>
      <c r="AJ14" s="299"/>
      <c r="AK14" s="436"/>
    </row>
    <row r="15" spans="1:37" ht="25.5">
      <c r="A15" s="282" t="s">
        <v>67</v>
      </c>
      <c r="B15" s="409">
        <v>8916</v>
      </c>
      <c r="C15" s="409">
        <v>8916</v>
      </c>
      <c r="D15" s="409">
        <v>8916</v>
      </c>
      <c r="E15" s="409">
        <v>8916</v>
      </c>
      <c r="F15" s="409">
        <v>8916</v>
      </c>
      <c r="G15" s="409">
        <v>8916</v>
      </c>
      <c r="H15" s="409">
        <v>8916</v>
      </c>
      <c r="I15" s="409">
        <v>8916</v>
      </c>
      <c r="J15" s="409">
        <v>8916</v>
      </c>
      <c r="K15" s="409">
        <v>8916</v>
      </c>
      <c r="L15" s="409">
        <v>8916</v>
      </c>
      <c r="M15" s="409">
        <v>8916</v>
      </c>
      <c r="N15" s="409">
        <v>8916</v>
      </c>
      <c r="O15" s="409">
        <v>8916</v>
      </c>
      <c r="P15" s="409">
        <v>8916</v>
      </c>
      <c r="Q15" s="409">
        <v>8916</v>
      </c>
      <c r="R15" s="409">
        <v>8916</v>
      </c>
      <c r="S15" s="409">
        <v>8916</v>
      </c>
      <c r="T15" s="409">
        <v>8916</v>
      </c>
      <c r="U15" s="409">
        <v>8916</v>
      </c>
      <c r="V15" s="409">
        <v>8916</v>
      </c>
      <c r="W15" s="409">
        <v>8916</v>
      </c>
      <c r="X15" s="409">
        <v>8916</v>
      </c>
      <c r="Y15" s="409">
        <v>8916</v>
      </c>
      <c r="Z15" s="409">
        <v>8916</v>
      </c>
      <c r="AA15" s="409">
        <v>8916</v>
      </c>
      <c r="AB15" s="409">
        <v>8916</v>
      </c>
      <c r="AC15" s="409">
        <v>8916</v>
      </c>
      <c r="AD15" s="409">
        <v>8916</v>
      </c>
      <c r="AE15" s="409">
        <v>8916</v>
      </c>
      <c r="AF15" s="409">
        <v>8916</v>
      </c>
      <c r="AG15" s="301">
        <f t="shared" ref="AG15:AG29" si="0">AF15-AH15</f>
        <v>0</v>
      </c>
      <c r="AH15" s="409">
        <v>8916</v>
      </c>
      <c r="AI15" s="144">
        <v>0</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301">
        <f t="shared" si="0"/>
        <v>0</v>
      </c>
      <c r="AH17" s="437"/>
      <c r="AK17" s="411"/>
    </row>
    <row r="18" spans="1:37">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439" t="s">
        <v>64</v>
      </c>
      <c r="AG18" s="301"/>
      <c r="AH18" s="439" t="s">
        <v>64</v>
      </c>
      <c r="AK18" s="412"/>
    </row>
    <row r="19" spans="1:37" ht="25.5">
      <c r="A19" s="282" t="s">
        <v>70</v>
      </c>
      <c r="B19" s="413">
        <v>13507</v>
      </c>
      <c r="C19" s="413">
        <v>13507</v>
      </c>
      <c r="D19" s="413">
        <v>13507</v>
      </c>
      <c r="E19" s="413">
        <v>13507</v>
      </c>
      <c r="F19" s="413">
        <v>13507</v>
      </c>
      <c r="G19" s="413">
        <v>13507</v>
      </c>
      <c r="H19" s="413">
        <v>2.4089999999999998</v>
      </c>
      <c r="I19" s="413">
        <v>3.4</v>
      </c>
      <c r="J19" s="413">
        <v>4</v>
      </c>
      <c r="K19" s="413">
        <v>5</v>
      </c>
      <c r="L19" s="413">
        <v>7</v>
      </c>
      <c r="M19" s="413">
        <v>8</v>
      </c>
      <c r="N19" s="413">
        <v>9</v>
      </c>
      <c r="O19" s="413">
        <v>10</v>
      </c>
      <c r="P19" s="413">
        <v>11</v>
      </c>
      <c r="Q19" s="413">
        <v>12</v>
      </c>
      <c r="R19" s="413">
        <v>14</v>
      </c>
      <c r="S19" s="413">
        <v>15</v>
      </c>
      <c r="T19" s="413">
        <v>16</v>
      </c>
      <c r="U19" s="413">
        <v>17</v>
      </c>
      <c r="V19" s="413">
        <v>18</v>
      </c>
      <c r="W19" s="413">
        <v>20</v>
      </c>
      <c r="X19" s="413">
        <v>21</v>
      </c>
      <c r="Y19" s="413">
        <v>22</v>
      </c>
      <c r="Z19" s="413">
        <v>23</v>
      </c>
      <c r="AA19" s="413">
        <v>24</v>
      </c>
      <c r="AB19" s="413">
        <v>26</v>
      </c>
      <c r="AC19" s="413">
        <v>27</v>
      </c>
      <c r="AD19" s="413">
        <v>28</v>
      </c>
      <c r="AE19" s="413">
        <v>29</v>
      </c>
      <c r="AF19" s="413">
        <v>31</v>
      </c>
      <c r="AG19" s="301">
        <f t="shared" si="0"/>
        <v>-13476</v>
      </c>
      <c r="AH19" s="413">
        <v>13507</v>
      </c>
      <c r="AI19" s="307">
        <v>0</v>
      </c>
      <c r="AJ19" s="307"/>
      <c r="AK19" s="436"/>
    </row>
    <row r="20" spans="1:37" ht="25.5">
      <c r="A20" s="282" t="s">
        <v>2715</v>
      </c>
      <c r="B20" s="413">
        <v>6941997</v>
      </c>
      <c r="C20" s="413">
        <v>6941997</v>
      </c>
      <c r="D20" s="413">
        <v>7043700</v>
      </c>
      <c r="E20" s="413">
        <v>7043700</v>
      </c>
      <c r="F20" s="413">
        <v>7121737</v>
      </c>
      <c r="G20" s="413">
        <v>7121737</v>
      </c>
      <c r="H20" s="413">
        <v>7121737</v>
      </c>
      <c r="I20" s="413">
        <v>7121737</v>
      </c>
      <c r="J20" s="413">
        <v>7121737</v>
      </c>
      <c r="K20" s="413">
        <v>7228444</v>
      </c>
      <c r="L20" s="413">
        <v>7228444</v>
      </c>
      <c r="M20" s="413">
        <v>7333426</v>
      </c>
      <c r="N20" s="413">
        <v>7333426</v>
      </c>
      <c r="O20" s="413">
        <v>7333426</v>
      </c>
      <c r="P20" s="413">
        <v>7409528</v>
      </c>
      <c r="Q20" s="413">
        <v>7409528</v>
      </c>
      <c r="R20" s="413">
        <v>7524194</v>
      </c>
      <c r="S20" s="413">
        <v>7524194</v>
      </c>
      <c r="T20" s="413">
        <v>7524194</v>
      </c>
      <c r="U20" s="413">
        <v>7524194</v>
      </c>
      <c r="V20" s="413">
        <v>7689064</v>
      </c>
      <c r="W20" s="413">
        <v>7726217</v>
      </c>
      <c r="X20" s="413">
        <v>7790684</v>
      </c>
      <c r="Y20" s="413">
        <v>7790684</v>
      </c>
      <c r="Z20" s="413">
        <v>7847225</v>
      </c>
      <c r="AA20" s="413">
        <v>7847225</v>
      </c>
      <c r="AB20" s="413">
        <v>7847225</v>
      </c>
      <c r="AC20" s="413">
        <v>7847225</v>
      </c>
      <c r="AD20" s="413">
        <v>7847225</v>
      </c>
      <c r="AE20" s="413">
        <v>7847225</v>
      </c>
      <c r="AF20" s="413">
        <v>7910182</v>
      </c>
      <c r="AG20" s="301">
        <f t="shared" si="0"/>
        <v>968185</v>
      </c>
      <c r="AH20" s="413">
        <v>6941997</v>
      </c>
      <c r="AI20" s="144">
        <v>968185</v>
      </c>
      <c r="AJ20" s="307"/>
      <c r="AK20" s="414"/>
    </row>
    <row r="21" spans="1:37">
      <c r="A21" s="282" t="s">
        <v>72</v>
      </c>
      <c r="B21" s="409">
        <v>257683</v>
      </c>
      <c r="C21" s="409">
        <v>257958</v>
      </c>
      <c r="D21" s="409">
        <v>258203</v>
      </c>
      <c r="E21" s="409">
        <v>258669</v>
      </c>
      <c r="F21" s="409">
        <v>258672</v>
      </c>
      <c r="G21" s="409">
        <v>258750</v>
      </c>
      <c r="H21" s="409">
        <v>258984</v>
      </c>
      <c r="I21" s="409">
        <v>259241</v>
      </c>
      <c r="J21" s="409">
        <v>259450</v>
      </c>
      <c r="K21" s="409">
        <v>259700</v>
      </c>
      <c r="L21" s="409">
        <v>260022</v>
      </c>
      <c r="M21" s="409">
        <v>260025</v>
      </c>
      <c r="N21" s="409">
        <v>260331</v>
      </c>
      <c r="O21" s="409">
        <v>260559</v>
      </c>
      <c r="P21" s="409">
        <v>260820</v>
      </c>
      <c r="Q21" s="409">
        <v>261022</v>
      </c>
      <c r="R21" s="409">
        <v>261257</v>
      </c>
      <c r="S21" s="409">
        <v>261676</v>
      </c>
      <c r="T21" s="409">
        <v>261686</v>
      </c>
      <c r="U21" s="409">
        <v>261945</v>
      </c>
      <c r="V21" s="409">
        <v>262118</v>
      </c>
      <c r="W21" s="409">
        <v>262395</v>
      </c>
      <c r="X21" s="409">
        <v>262625</v>
      </c>
      <c r="Y21" s="409">
        <v>262827</v>
      </c>
      <c r="Z21" s="409">
        <v>263337</v>
      </c>
      <c r="AA21" s="409">
        <v>263347</v>
      </c>
      <c r="AB21" s="409">
        <v>263627</v>
      </c>
      <c r="AC21" s="409">
        <v>263946</v>
      </c>
      <c r="AD21" s="409">
        <v>264222</v>
      </c>
      <c r="AE21" s="409">
        <v>264481</v>
      </c>
      <c r="AF21" s="409">
        <v>264755</v>
      </c>
      <c r="AG21" s="301">
        <f t="shared" si="0"/>
        <v>7286</v>
      </c>
      <c r="AH21" s="409">
        <v>257469</v>
      </c>
      <c r="AI21" s="144">
        <v>7286</v>
      </c>
      <c r="AJ21" s="307"/>
      <c r="AK21" s="415"/>
    </row>
    <row r="22" spans="1:37">
      <c r="A22" s="282" t="s">
        <v>73</v>
      </c>
      <c r="B22" s="409">
        <v>248441</v>
      </c>
      <c r="C22" s="409">
        <v>248587</v>
      </c>
      <c r="D22" s="409">
        <v>248707</v>
      </c>
      <c r="E22" s="409">
        <v>248872</v>
      </c>
      <c r="F22" s="409">
        <v>248932</v>
      </c>
      <c r="G22" s="409">
        <v>249029</v>
      </c>
      <c r="H22" s="409">
        <v>249126</v>
      </c>
      <c r="I22" s="409">
        <v>249246</v>
      </c>
      <c r="J22" s="409">
        <v>249357</v>
      </c>
      <c r="K22" s="409">
        <v>249466</v>
      </c>
      <c r="L22" s="409">
        <v>249636</v>
      </c>
      <c r="M22" s="409">
        <v>249686</v>
      </c>
      <c r="N22" s="409">
        <v>249793</v>
      </c>
      <c r="O22" s="409">
        <v>249922</v>
      </c>
      <c r="P22" s="409">
        <v>250044</v>
      </c>
      <c r="Q22" s="409">
        <v>250167</v>
      </c>
      <c r="R22" s="409">
        <v>250294</v>
      </c>
      <c r="S22" s="409">
        <v>250470</v>
      </c>
      <c r="T22" s="409">
        <v>250515</v>
      </c>
      <c r="U22" s="409">
        <v>250617</v>
      </c>
      <c r="V22" s="409">
        <v>250753</v>
      </c>
      <c r="W22" s="409">
        <v>250880</v>
      </c>
      <c r="X22" s="409">
        <v>251028</v>
      </c>
      <c r="Y22" s="409">
        <v>251171</v>
      </c>
      <c r="Z22" s="409">
        <v>251346</v>
      </c>
      <c r="AA22" s="409">
        <v>251422</v>
      </c>
      <c r="AB22" s="409">
        <v>251548</v>
      </c>
      <c r="AC22" s="409">
        <v>251689</v>
      </c>
      <c r="AD22" s="409">
        <v>251824</v>
      </c>
      <c r="AE22" s="409">
        <v>251948</v>
      </c>
      <c r="AF22" s="409">
        <v>252076</v>
      </c>
      <c r="AG22" s="301">
        <f t="shared" si="0"/>
        <v>3753</v>
      </c>
      <c r="AH22" s="409">
        <v>248323</v>
      </c>
      <c r="AI22" s="144">
        <v>3753</v>
      </c>
      <c r="AJ22" s="307"/>
      <c r="AK22" s="415"/>
    </row>
    <row r="23" spans="1:37">
      <c r="A23" s="309" t="s">
        <v>136</v>
      </c>
      <c r="B23" s="409">
        <v>15342</v>
      </c>
      <c r="C23" s="409">
        <v>15353</v>
      </c>
      <c r="D23" s="409">
        <v>15364</v>
      </c>
      <c r="E23" s="409">
        <v>15598</v>
      </c>
      <c r="F23" s="413">
        <v>15700</v>
      </c>
      <c r="G23" s="413">
        <v>15700</v>
      </c>
      <c r="H23" s="409">
        <v>15711</v>
      </c>
      <c r="I23" s="409">
        <v>15723</v>
      </c>
      <c r="J23" s="409">
        <v>15734</v>
      </c>
      <c r="K23" s="409">
        <v>15750</v>
      </c>
      <c r="L23" s="409">
        <v>15760</v>
      </c>
      <c r="M23" s="409">
        <v>15760</v>
      </c>
      <c r="N23" s="409">
        <v>15765</v>
      </c>
      <c r="O23" s="409">
        <v>15776</v>
      </c>
      <c r="P23" s="409">
        <v>15786</v>
      </c>
      <c r="Q23" s="409">
        <v>15796</v>
      </c>
      <c r="R23" s="409">
        <v>15807</v>
      </c>
      <c r="S23" s="409">
        <v>15816</v>
      </c>
      <c r="T23" s="409">
        <v>15816</v>
      </c>
      <c r="U23" s="409">
        <v>15818</v>
      </c>
      <c r="V23" s="409">
        <v>15828</v>
      </c>
      <c r="W23" s="409">
        <v>15838</v>
      </c>
      <c r="X23" s="409">
        <v>15847</v>
      </c>
      <c r="Y23" s="409">
        <v>15857</v>
      </c>
      <c r="Z23" s="409">
        <v>15866</v>
      </c>
      <c r="AA23" s="409">
        <v>15866</v>
      </c>
      <c r="AB23" s="409">
        <v>15868</v>
      </c>
      <c r="AC23" s="409">
        <v>15877</v>
      </c>
      <c r="AD23" s="409">
        <v>15886</v>
      </c>
      <c r="AE23" s="409">
        <v>15896</v>
      </c>
      <c r="AF23" s="409">
        <v>15907</v>
      </c>
      <c r="AG23" s="301">
        <f t="shared" si="0"/>
        <v>577</v>
      </c>
      <c r="AH23" s="409">
        <v>15330</v>
      </c>
      <c r="AI23" s="144">
        <v>577</v>
      </c>
      <c r="AJ23" s="307"/>
      <c r="AK23" s="414"/>
    </row>
    <row r="24" spans="1:37">
      <c r="A24" s="309" t="s">
        <v>139</v>
      </c>
      <c r="B24" s="409">
        <v>10393</v>
      </c>
      <c r="C24" s="409">
        <v>10401</v>
      </c>
      <c r="D24" s="409">
        <v>10410</v>
      </c>
      <c r="E24" s="409">
        <v>10423</v>
      </c>
      <c r="F24" s="409">
        <v>10425</v>
      </c>
      <c r="G24" s="409">
        <v>10428</v>
      </c>
      <c r="H24" s="409">
        <v>10440</v>
      </c>
      <c r="I24" s="409">
        <v>10449</v>
      </c>
      <c r="J24" s="409">
        <v>10460</v>
      </c>
      <c r="K24" s="409">
        <v>10470</v>
      </c>
      <c r="L24" s="409">
        <v>10484</v>
      </c>
      <c r="M24" s="409">
        <v>10488</v>
      </c>
      <c r="N24" s="409">
        <v>10498</v>
      </c>
      <c r="O24" s="409">
        <v>10512</v>
      </c>
      <c r="P24" s="409">
        <v>10522</v>
      </c>
      <c r="Q24" s="409">
        <v>10534</v>
      </c>
      <c r="R24" s="409">
        <v>10546</v>
      </c>
      <c r="S24" s="409">
        <v>10554</v>
      </c>
      <c r="T24" s="409">
        <v>10554</v>
      </c>
      <c r="U24" s="409">
        <v>10560</v>
      </c>
      <c r="V24" s="409">
        <v>10572</v>
      </c>
      <c r="W24" s="409">
        <v>10583</v>
      </c>
      <c r="X24" s="409">
        <v>10590</v>
      </c>
      <c r="Y24" s="409">
        <v>10597</v>
      </c>
      <c r="Z24" s="409">
        <v>10603</v>
      </c>
      <c r="AA24" s="409">
        <v>10603</v>
      </c>
      <c r="AB24" s="409">
        <v>10603</v>
      </c>
      <c r="AC24" s="409">
        <v>10610</v>
      </c>
      <c r="AD24" s="409">
        <v>10616</v>
      </c>
      <c r="AE24" s="409">
        <v>10622</v>
      </c>
      <c r="AF24" s="409">
        <v>10630</v>
      </c>
      <c r="AG24" s="301">
        <f t="shared" si="0"/>
        <v>248</v>
      </c>
      <c r="AH24" s="409">
        <v>10382</v>
      </c>
      <c r="AI24" s="144">
        <v>248</v>
      </c>
      <c r="AJ24" s="307"/>
      <c r="AK24" s="414"/>
    </row>
    <row r="25" spans="1:37">
      <c r="A25" s="309" t="s">
        <v>142</v>
      </c>
      <c r="B25" s="409">
        <v>4247</v>
      </c>
      <c r="C25" s="409">
        <v>4250</v>
      </c>
      <c r="D25" s="409">
        <v>4254</v>
      </c>
      <c r="E25" s="409">
        <v>4258</v>
      </c>
      <c r="F25" s="409">
        <v>4258</v>
      </c>
      <c r="G25" s="409">
        <v>4258</v>
      </c>
      <c r="H25" s="409">
        <v>4263</v>
      </c>
      <c r="I25" s="409">
        <v>4267</v>
      </c>
      <c r="J25" s="409">
        <v>4271</v>
      </c>
      <c r="K25" s="409">
        <v>4274</v>
      </c>
      <c r="L25" s="409">
        <v>4277</v>
      </c>
      <c r="M25" s="409">
        <v>4277</v>
      </c>
      <c r="N25" s="409">
        <v>4277</v>
      </c>
      <c r="O25" s="409">
        <v>4283</v>
      </c>
      <c r="P25" s="409">
        <v>4287</v>
      </c>
      <c r="Q25" s="409">
        <v>4289</v>
      </c>
      <c r="R25" s="409">
        <v>4292</v>
      </c>
      <c r="S25" s="409">
        <v>4294</v>
      </c>
      <c r="T25" s="409">
        <v>4294</v>
      </c>
      <c r="U25" s="409">
        <v>4294</v>
      </c>
      <c r="V25" s="409">
        <v>4297</v>
      </c>
      <c r="W25" s="409">
        <v>4300</v>
      </c>
      <c r="X25" s="409">
        <v>4303</v>
      </c>
      <c r="Y25" s="409">
        <v>4306</v>
      </c>
      <c r="Z25" s="409">
        <v>4309</v>
      </c>
      <c r="AA25" s="409">
        <v>4309</v>
      </c>
      <c r="AB25" s="409">
        <v>4309</v>
      </c>
      <c r="AC25" s="409">
        <v>4311</v>
      </c>
      <c r="AD25" s="409">
        <v>4316</v>
      </c>
      <c r="AE25" s="409">
        <v>4321</v>
      </c>
      <c r="AF25" s="409">
        <v>4326</v>
      </c>
      <c r="AG25" s="301">
        <f t="shared" si="0"/>
        <v>83</v>
      </c>
      <c r="AH25" s="409">
        <v>4243</v>
      </c>
      <c r="AI25" s="144">
        <v>83</v>
      </c>
      <c r="AJ25" s="307"/>
      <c r="AK25" s="414"/>
    </row>
    <row r="26" spans="1:37">
      <c r="A26" s="309" t="s">
        <v>145</v>
      </c>
      <c r="B26" s="409">
        <v>2600</v>
      </c>
      <c r="C26" s="409">
        <v>2604</v>
      </c>
      <c r="D26" s="409">
        <v>2606</v>
      </c>
      <c r="E26" s="409">
        <v>2609</v>
      </c>
      <c r="F26" s="409">
        <v>2609</v>
      </c>
      <c r="G26" s="409">
        <v>2610</v>
      </c>
      <c r="H26" s="409">
        <v>2613</v>
      </c>
      <c r="I26" s="409">
        <v>2616</v>
      </c>
      <c r="J26" s="409">
        <v>2619</v>
      </c>
      <c r="K26" s="409">
        <v>2622</v>
      </c>
      <c r="L26" s="409">
        <v>2625</v>
      </c>
      <c r="M26" s="409">
        <v>2625</v>
      </c>
      <c r="N26" s="409">
        <v>2626</v>
      </c>
      <c r="O26" s="409">
        <v>2628</v>
      </c>
      <c r="P26" s="409">
        <v>2631</v>
      </c>
      <c r="Q26" s="409">
        <v>2634</v>
      </c>
      <c r="R26" s="409">
        <v>2636</v>
      </c>
      <c r="S26" s="409">
        <v>2638</v>
      </c>
      <c r="T26" s="409">
        <v>2638</v>
      </c>
      <c r="U26" s="409">
        <v>2640</v>
      </c>
      <c r="V26" s="409">
        <v>2643</v>
      </c>
      <c r="W26" s="409">
        <v>2645</v>
      </c>
      <c r="X26" s="409">
        <v>2647</v>
      </c>
      <c r="Y26" s="409">
        <v>2649</v>
      </c>
      <c r="Z26" s="409">
        <v>2652</v>
      </c>
      <c r="AA26" s="409">
        <v>2652</v>
      </c>
      <c r="AB26" s="409">
        <v>2653</v>
      </c>
      <c r="AC26" s="409">
        <v>2655</v>
      </c>
      <c r="AD26" s="409">
        <v>2657</v>
      </c>
      <c r="AE26" s="409">
        <v>2660</v>
      </c>
      <c r="AF26" s="409">
        <v>2662</v>
      </c>
      <c r="AG26" s="301">
        <f t="shared" si="0"/>
        <v>67</v>
      </c>
      <c r="AH26" s="409">
        <v>2595</v>
      </c>
      <c r="AI26" s="144">
        <v>67</v>
      </c>
      <c r="AJ26" s="307"/>
      <c r="AK26" s="414"/>
    </row>
    <row r="27" spans="1:37">
      <c r="A27" s="309" t="s">
        <v>148</v>
      </c>
      <c r="B27" s="409">
        <v>16650</v>
      </c>
      <c r="C27" s="409">
        <v>16662</v>
      </c>
      <c r="D27" s="409">
        <v>16672</v>
      </c>
      <c r="E27" s="409">
        <v>16682</v>
      </c>
      <c r="F27" s="409">
        <v>16682</v>
      </c>
      <c r="G27" s="409">
        <v>16687</v>
      </c>
      <c r="H27" s="409">
        <v>16697</v>
      </c>
      <c r="I27" s="409">
        <v>16709</v>
      </c>
      <c r="J27" s="409">
        <v>16720</v>
      </c>
      <c r="K27" s="409">
        <v>16731</v>
      </c>
      <c r="L27" s="409">
        <v>16739</v>
      </c>
      <c r="M27" s="409">
        <v>16740</v>
      </c>
      <c r="N27" s="409">
        <v>16741</v>
      </c>
      <c r="O27" s="409">
        <v>16749</v>
      </c>
      <c r="P27" s="409">
        <v>16756</v>
      </c>
      <c r="Q27" s="409">
        <v>16765</v>
      </c>
      <c r="R27" s="409">
        <v>16777</v>
      </c>
      <c r="S27" s="409">
        <v>16786</v>
      </c>
      <c r="T27" s="409">
        <v>16787</v>
      </c>
      <c r="U27" s="409">
        <v>16790</v>
      </c>
      <c r="V27" s="409">
        <v>16798</v>
      </c>
      <c r="W27" s="409">
        <v>16805</v>
      </c>
      <c r="X27" s="409">
        <v>16812</v>
      </c>
      <c r="Y27" s="409">
        <v>16818</v>
      </c>
      <c r="Z27" s="409">
        <v>16823</v>
      </c>
      <c r="AA27" s="409">
        <v>16824</v>
      </c>
      <c r="AB27" s="409">
        <v>16826</v>
      </c>
      <c r="AC27" s="409">
        <v>16832</v>
      </c>
      <c r="AD27" s="409">
        <v>16837</v>
      </c>
      <c r="AE27" s="409">
        <v>16843</v>
      </c>
      <c r="AF27" s="409">
        <v>16848</v>
      </c>
      <c r="AG27" s="301">
        <f t="shared" si="0"/>
        <v>211</v>
      </c>
      <c r="AH27" s="409">
        <v>16637</v>
      </c>
      <c r="AI27" s="144">
        <v>211</v>
      </c>
      <c r="AJ27" s="307"/>
      <c r="AK27" s="414"/>
    </row>
    <row r="28" spans="1:37">
      <c r="A28" s="309"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43">
        <v>1330</v>
      </c>
      <c r="T28" s="443">
        <v>1330</v>
      </c>
      <c r="U28" s="443">
        <v>1330</v>
      </c>
      <c r="V28" s="443">
        <v>1330</v>
      </c>
      <c r="W28" s="443">
        <v>1330</v>
      </c>
      <c r="X28" s="443">
        <v>1330</v>
      </c>
      <c r="Y28" s="443">
        <v>1330</v>
      </c>
      <c r="Z28" s="443">
        <v>1330</v>
      </c>
      <c r="AA28" s="443">
        <v>1330</v>
      </c>
      <c r="AB28" s="443">
        <v>1330</v>
      </c>
      <c r="AC28" s="443">
        <v>1330</v>
      </c>
      <c r="AD28" s="443">
        <v>1330</v>
      </c>
      <c r="AE28" s="443">
        <v>1330</v>
      </c>
      <c r="AF28" s="443">
        <v>1330</v>
      </c>
      <c r="AG28" s="301">
        <f t="shared" si="0"/>
        <v>0</v>
      </c>
      <c r="AH28" s="443">
        <v>1330</v>
      </c>
      <c r="AI28" s="144">
        <v>0</v>
      </c>
      <c r="AJ28" s="307"/>
      <c r="AK28" s="414"/>
    </row>
    <row r="29" spans="1:37">
      <c r="A29" s="309" t="s">
        <v>154</v>
      </c>
      <c r="B29" s="443">
        <v>1299</v>
      </c>
      <c r="C29" s="443">
        <v>1300</v>
      </c>
      <c r="D29" s="443">
        <v>1301</v>
      </c>
      <c r="E29" s="443">
        <v>1301</v>
      </c>
      <c r="F29" s="443">
        <v>1302</v>
      </c>
      <c r="G29" s="443">
        <v>1302</v>
      </c>
      <c r="H29" s="443">
        <v>1303</v>
      </c>
      <c r="I29" s="443">
        <v>1304</v>
      </c>
      <c r="J29" s="443">
        <v>1305</v>
      </c>
      <c r="K29" s="443">
        <v>1307</v>
      </c>
      <c r="L29" s="443">
        <v>1307</v>
      </c>
      <c r="M29" s="443">
        <v>1308</v>
      </c>
      <c r="N29" s="443">
        <v>1309</v>
      </c>
      <c r="O29" s="443">
        <v>1309</v>
      </c>
      <c r="P29" s="443">
        <v>1310</v>
      </c>
      <c r="Q29" s="443">
        <v>1311</v>
      </c>
      <c r="R29" s="443">
        <v>1312</v>
      </c>
      <c r="S29" s="443">
        <v>1313</v>
      </c>
      <c r="T29" s="443">
        <v>1313</v>
      </c>
      <c r="U29" s="443">
        <v>1314</v>
      </c>
      <c r="V29" s="443">
        <v>1315</v>
      </c>
      <c r="W29" s="443">
        <v>1316</v>
      </c>
      <c r="X29" s="443">
        <v>1317</v>
      </c>
      <c r="Y29" s="443">
        <v>1318</v>
      </c>
      <c r="Z29" s="443">
        <v>1318</v>
      </c>
      <c r="AA29" s="443">
        <v>1319</v>
      </c>
      <c r="AB29" s="443">
        <v>1319</v>
      </c>
      <c r="AC29" s="443">
        <v>1320</v>
      </c>
      <c r="AD29" s="443">
        <v>1321</v>
      </c>
      <c r="AE29" s="443">
        <v>1322</v>
      </c>
      <c r="AF29" s="443">
        <v>1323</v>
      </c>
      <c r="AG29" s="301">
        <f t="shared" si="0"/>
        <v>25</v>
      </c>
      <c r="AH29" s="443">
        <v>1298</v>
      </c>
      <c r="AI29" s="144">
        <v>25</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c r="A32" s="282" t="s">
        <v>77</v>
      </c>
      <c r="B32" s="443" t="s">
        <v>2815</v>
      </c>
      <c r="C32" s="443" t="s">
        <v>2815</v>
      </c>
      <c r="D32" s="443" t="s">
        <v>2815</v>
      </c>
      <c r="E32" s="443" t="s">
        <v>2815</v>
      </c>
      <c r="F32" s="443" t="s">
        <v>2815</v>
      </c>
      <c r="G32" s="443" t="s">
        <v>2815</v>
      </c>
      <c r="H32" s="443" t="s">
        <v>2815</v>
      </c>
      <c r="I32" s="443" t="s">
        <v>2815</v>
      </c>
      <c r="J32" s="443" t="s">
        <v>2815</v>
      </c>
      <c r="K32" s="443" t="s">
        <v>2815</v>
      </c>
      <c r="L32" s="443" t="s">
        <v>2815</v>
      </c>
      <c r="M32" s="443" t="s">
        <v>2815</v>
      </c>
      <c r="N32" s="443" t="s">
        <v>2815</v>
      </c>
      <c r="O32" s="443" t="s">
        <v>2815</v>
      </c>
      <c r="P32" s="443" t="s">
        <v>2815</v>
      </c>
      <c r="Q32" s="443" t="s">
        <v>2815</v>
      </c>
      <c r="R32" s="443" t="s">
        <v>2815</v>
      </c>
      <c r="S32" s="443" t="s">
        <v>2815</v>
      </c>
      <c r="T32" s="443" t="s">
        <v>2815</v>
      </c>
      <c r="U32" s="443" t="s">
        <v>2815</v>
      </c>
      <c r="V32" s="443" t="s">
        <v>2815</v>
      </c>
      <c r="W32" s="443" t="s">
        <v>2815</v>
      </c>
      <c r="X32" s="443" t="s">
        <v>2815</v>
      </c>
      <c r="Y32" s="443" t="s">
        <v>2815</v>
      </c>
      <c r="Z32" s="443" t="s">
        <v>2815</v>
      </c>
      <c r="AA32" s="443" t="s">
        <v>2815</v>
      </c>
      <c r="AB32" s="443" t="s">
        <v>2815</v>
      </c>
      <c r="AC32" s="443" t="s">
        <v>2815</v>
      </c>
      <c r="AD32" s="443" t="s">
        <v>2815</v>
      </c>
      <c r="AE32" s="443" t="s">
        <v>2815</v>
      </c>
      <c r="AF32" s="443" t="s">
        <v>2815</v>
      </c>
      <c r="AG32" s="301"/>
      <c r="AH32" s="443" t="s">
        <v>2815</v>
      </c>
    </row>
    <row r="33" spans="1:34" ht="25.5">
      <c r="A33" s="282" t="s">
        <v>80</v>
      </c>
      <c r="B33" s="443" t="s">
        <v>2815</v>
      </c>
      <c r="C33" s="443" t="s">
        <v>2815</v>
      </c>
      <c r="D33" s="443" t="s">
        <v>2815</v>
      </c>
      <c r="E33" s="443" t="s">
        <v>2815</v>
      </c>
      <c r="F33" s="443" t="s">
        <v>2815</v>
      </c>
      <c r="G33" s="443" t="s">
        <v>2815</v>
      </c>
      <c r="H33" s="443" t="s">
        <v>2815</v>
      </c>
      <c r="I33" s="443" t="s">
        <v>2815</v>
      </c>
      <c r="J33" s="443" t="s">
        <v>2815</v>
      </c>
      <c r="K33" s="443" t="s">
        <v>2815</v>
      </c>
      <c r="L33" s="443" t="s">
        <v>2815</v>
      </c>
      <c r="M33" s="443" t="s">
        <v>2815</v>
      </c>
      <c r="N33" s="443" t="s">
        <v>2815</v>
      </c>
      <c r="O33" s="443" t="s">
        <v>2815</v>
      </c>
      <c r="P33" s="443" t="s">
        <v>2815</v>
      </c>
      <c r="Q33" s="443" t="s">
        <v>2815</v>
      </c>
      <c r="R33" s="443" t="s">
        <v>2815</v>
      </c>
      <c r="S33" s="443" t="s">
        <v>2815</v>
      </c>
      <c r="T33" s="443" t="s">
        <v>2815</v>
      </c>
      <c r="U33" s="443" t="s">
        <v>2815</v>
      </c>
      <c r="V33" s="443" t="s">
        <v>2815</v>
      </c>
      <c r="W33" s="443" t="s">
        <v>2815</v>
      </c>
      <c r="X33" s="443" t="s">
        <v>2815</v>
      </c>
      <c r="Y33" s="443" t="s">
        <v>2815</v>
      </c>
      <c r="Z33" s="443" t="s">
        <v>2815</v>
      </c>
      <c r="AA33" s="443" t="s">
        <v>2815</v>
      </c>
      <c r="AB33" s="443" t="s">
        <v>2815</v>
      </c>
      <c r="AC33" s="443" t="s">
        <v>2815</v>
      </c>
      <c r="AD33" s="443" t="s">
        <v>2815</v>
      </c>
      <c r="AE33" s="443" t="s">
        <v>2815</v>
      </c>
      <c r="AF33" s="443" t="s">
        <v>2815</v>
      </c>
      <c r="AG33" s="301"/>
      <c r="AH33" s="443" t="s">
        <v>2815</v>
      </c>
    </row>
    <row r="34" spans="1:34" ht="15.75" thickBot="1">
      <c r="A34" s="310" t="s">
        <v>81</v>
      </c>
      <c r="B34" s="446" t="s">
        <v>2816</v>
      </c>
      <c r="C34" s="446" t="s">
        <v>2816</v>
      </c>
      <c r="D34" s="446" t="s">
        <v>2816</v>
      </c>
      <c r="E34" s="446" t="s">
        <v>2816</v>
      </c>
      <c r="F34" s="446" t="s">
        <v>2816</v>
      </c>
      <c r="G34" s="446" t="s">
        <v>2816</v>
      </c>
      <c r="H34" s="446" t="s">
        <v>2816</v>
      </c>
      <c r="I34" s="446" t="s">
        <v>2816</v>
      </c>
      <c r="J34" s="446" t="s">
        <v>2816</v>
      </c>
      <c r="K34" s="446" t="s">
        <v>2816</v>
      </c>
      <c r="L34" s="446" t="s">
        <v>2816</v>
      </c>
      <c r="M34" s="446" t="s">
        <v>2816</v>
      </c>
      <c r="N34" s="446" t="s">
        <v>2816</v>
      </c>
      <c r="O34" s="446" t="s">
        <v>2816</v>
      </c>
      <c r="P34" s="446" t="s">
        <v>2816</v>
      </c>
      <c r="Q34" s="446" t="s">
        <v>2816</v>
      </c>
      <c r="R34" s="446" t="s">
        <v>2816</v>
      </c>
      <c r="S34" s="446" t="s">
        <v>2816</v>
      </c>
      <c r="T34" s="446" t="s">
        <v>2816</v>
      </c>
      <c r="U34" s="446" t="s">
        <v>2816</v>
      </c>
      <c r="V34" s="446" t="s">
        <v>2816</v>
      </c>
      <c r="W34" s="446" t="s">
        <v>2816</v>
      </c>
      <c r="X34" s="446" t="s">
        <v>2816</v>
      </c>
      <c r="Y34" s="446" t="s">
        <v>2816</v>
      </c>
      <c r="Z34" s="446" t="s">
        <v>2816</v>
      </c>
      <c r="AA34" s="446" t="s">
        <v>2816</v>
      </c>
      <c r="AB34" s="446" t="s">
        <v>2816</v>
      </c>
      <c r="AC34" s="446" t="s">
        <v>2816</v>
      </c>
      <c r="AD34" s="446" t="s">
        <v>2816</v>
      </c>
      <c r="AE34" s="446" t="s">
        <v>2816</v>
      </c>
      <c r="AF34" s="446" t="s">
        <v>2816</v>
      </c>
      <c r="AG34" s="301"/>
      <c r="AH34" s="446" t="s">
        <v>2816</v>
      </c>
    </row>
  </sheetData>
  <mergeCells count="1">
    <mergeCell ref="A1:AH1"/>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1F48-7E6B-4439-927A-831F4B28FE0C}">
  <dimension ref="A1:AK34"/>
  <sheetViews>
    <sheetView workbookViewId="0">
      <selection activeCell="H17" sqref="H17"/>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45870</v>
      </c>
      <c r="C2" s="281">
        <v>45871</v>
      </c>
      <c r="D2" s="281">
        <v>45872</v>
      </c>
      <c r="E2" s="281">
        <v>45873</v>
      </c>
      <c r="F2" s="281">
        <v>45874</v>
      </c>
      <c r="G2" s="281">
        <v>45875</v>
      </c>
      <c r="H2" s="281">
        <v>45876</v>
      </c>
      <c r="I2" s="281">
        <v>45877</v>
      </c>
      <c r="J2" s="281">
        <v>45878</v>
      </c>
      <c r="K2" s="281">
        <v>45879</v>
      </c>
      <c r="L2" s="281">
        <v>45880</v>
      </c>
      <c r="M2" s="281">
        <v>45881</v>
      </c>
      <c r="N2" s="281">
        <v>45882</v>
      </c>
      <c r="O2" s="281">
        <v>45883</v>
      </c>
      <c r="P2" s="281">
        <v>45884</v>
      </c>
      <c r="Q2" s="281">
        <v>45885</v>
      </c>
      <c r="R2" s="281">
        <v>45886</v>
      </c>
      <c r="S2" s="281">
        <v>45887</v>
      </c>
      <c r="T2" s="281">
        <v>45888</v>
      </c>
      <c r="U2" s="281">
        <v>45889</v>
      </c>
      <c r="V2" s="281">
        <v>45890</v>
      </c>
      <c r="W2" s="281">
        <v>45891</v>
      </c>
      <c r="X2" s="281">
        <v>45892</v>
      </c>
      <c r="Y2" s="281">
        <v>45893</v>
      </c>
      <c r="Z2" s="281">
        <v>45894</v>
      </c>
      <c r="AA2" s="281">
        <v>45895</v>
      </c>
      <c r="AB2" s="281">
        <v>45896</v>
      </c>
      <c r="AC2" s="281">
        <v>45897</v>
      </c>
      <c r="AD2" s="281">
        <v>45898</v>
      </c>
      <c r="AE2" s="281">
        <v>45899</v>
      </c>
      <c r="AF2" s="281">
        <v>45900</v>
      </c>
      <c r="AG2" s="281"/>
      <c r="AH2" s="281">
        <v>45869</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499455</v>
      </c>
      <c r="C4" s="420">
        <v>499697</v>
      </c>
      <c r="D4" s="420">
        <v>499938</v>
      </c>
      <c r="E4" s="420">
        <v>500193</v>
      </c>
      <c r="F4" s="420">
        <v>500446</v>
      </c>
      <c r="G4" s="420">
        <v>500701</v>
      </c>
      <c r="H4" s="420">
        <v>500956</v>
      </c>
      <c r="I4" s="420">
        <v>501201</v>
      </c>
      <c r="J4" s="420">
        <v>501460</v>
      </c>
      <c r="K4" s="420">
        <v>501711</v>
      </c>
      <c r="L4" s="420">
        <v>501947</v>
      </c>
      <c r="M4" s="420">
        <v>502202</v>
      </c>
      <c r="N4" s="420">
        <v>502450</v>
      </c>
      <c r="O4" s="420">
        <v>502699</v>
      </c>
      <c r="P4" s="420">
        <v>502938</v>
      </c>
      <c r="Q4" s="420">
        <v>503202</v>
      </c>
      <c r="R4" s="420">
        <v>503454</v>
      </c>
      <c r="S4" s="420">
        <v>503711</v>
      </c>
      <c r="T4" s="420">
        <v>503962</v>
      </c>
      <c r="U4" s="420">
        <v>504212</v>
      </c>
      <c r="V4" s="420">
        <v>504461</v>
      </c>
      <c r="W4" s="420">
        <v>504701</v>
      </c>
      <c r="X4" s="420">
        <v>504943</v>
      </c>
      <c r="Y4" s="420">
        <v>505176</v>
      </c>
      <c r="Z4" s="420">
        <v>505428</v>
      </c>
      <c r="AA4" s="420">
        <v>505676</v>
      </c>
      <c r="AB4" s="420">
        <v>505923</v>
      </c>
      <c r="AC4" s="420">
        <v>506173</v>
      </c>
      <c r="AD4" s="420">
        <v>506410</v>
      </c>
      <c r="AE4" s="420">
        <v>506648</v>
      </c>
      <c r="AF4" s="420">
        <v>506890</v>
      </c>
      <c r="AG4" s="290"/>
      <c r="AH4" s="420">
        <v>499214</v>
      </c>
      <c r="AI4" s="288"/>
    </row>
    <row r="5" spans="1:37" ht="20.100000000000001" customHeight="1">
      <c r="A5" s="285" t="s">
        <v>55</v>
      </c>
      <c r="B5" s="420">
        <v>13999676</v>
      </c>
      <c r="C5" s="420">
        <v>14005649</v>
      </c>
      <c r="D5" s="420">
        <v>14011627</v>
      </c>
      <c r="E5" s="420">
        <v>14018694</v>
      </c>
      <c r="F5" s="420">
        <v>14025653</v>
      </c>
      <c r="G5" s="420">
        <v>14032709</v>
      </c>
      <c r="H5" s="420">
        <v>14039846</v>
      </c>
      <c r="I5" s="420">
        <v>14046696</v>
      </c>
      <c r="J5" s="420">
        <v>14053471</v>
      </c>
      <c r="K5" s="420">
        <v>14059652</v>
      </c>
      <c r="L5" s="420">
        <v>14067008</v>
      </c>
      <c r="M5" s="420">
        <v>14074543</v>
      </c>
      <c r="N5" s="420">
        <v>14081930</v>
      </c>
      <c r="O5" s="420">
        <v>14088954</v>
      </c>
      <c r="P5" s="420">
        <v>14095867</v>
      </c>
      <c r="Q5" s="420">
        <v>14103050</v>
      </c>
      <c r="R5" s="420">
        <v>14109714</v>
      </c>
      <c r="S5" s="420">
        <v>14116929</v>
      </c>
      <c r="T5" s="420">
        <v>14124038</v>
      </c>
      <c r="U5" s="420">
        <v>14131289</v>
      </c>
      <c r="V5" s="420">
        <v>14138301</v>
      </c>
      <c r="W5" s="420">
        <v>14145218</v>
      </c>
      <c r="X5" s="420">
        <v>14151104</v>
      </c>
      <c r="Y5" s="420">
        <v>14157034</v>
      </c>
      <c r="Z5" s="420">
        <v>14164184</v>
      </c>
      <c r="AA5" s="420">
        <v>14171215</v>
      </c>
      <c r="AB5" s="420">
        <v>14178133</v>
      </c>
      <c r="AC5" s="420">
        <v>14185060</v>
      </c>
      <c r="AD5" s="420">
        <v>14191588</v>
      </c>
      <c r="AE5" s="420">
        <v>14197684</v>
      </c>
      <c r="AF5" s="420">
        <v>14203893</v>
      </c>
      <c r="AG5" s="290"/>
      <c r="AH5" s="420">
        <v>13993179</v>
      </c>
      <c r="AI5" s="288"/>
    </row>
    <row r="6" spans="1:37" ht="20.100000000000001" customHeight="1">
      <c r="A6" s="285" t="s">
        <v>56</v>
      </c>
      <c r="B6" s="420">
        <v>6473371</v>
      </c>
      <c r="C6" s="420">
        <v>6475756</v>
      </c>
      <c r="D6" s="420">
        <v>6478228</v>
      </c>
      <c r="E6" s="420">
        <v>6481097</v>
      </c>
      <c r="F6" s="420">
        <v>6484028</v>
      </c>
      <c r="G6" s="420">
        <v>6486927</v>
      </c>
      <c r="H6" s="420">
        <v>6489786</v>
      </c>
      <c r="I6" s="420">
        <v>6492976</v>
      </c>
      <c r="J6" s="420">
        <v>6496064</v>
      </c>
      <c r="K6" s="420">
        <v>6498809</v>
      </c>
      <c r="L6" s="420">
        <v>6501513</v>
      </c>
      <c r="M6" s="420">
        <v>6504511</v>
      </c>
      <c r="N6" s="420">
        <v>6507471</v>
      </c>
      <c r="O6" s="420">
        <v>6510480</v>
      </c>
      <c r="P6" s="420">
        <v>6513234</v>
      </c>
      <c r="Q6" s="420">
        <v>6517193</v>
      </c>
      <c r="R6" s="420">
        <v>6520732</v>
      </c>
      <c r="S6" s="420">
        <v>6523912</v>
      </c>
      <c r="T6" s="420">
        <v>6526946</v>
      </c>
      <c r="U6" s="420">
        <v>6530024</v>
      </c>
      <c r="V6" s="420">
        <v>6533103</v>
      </c>
      <c r="W6" s="420">
        <v>6535855</v>
      </c>
      <c r="X6" s="420">
        <v>6538377</v>
      </c>
      <c r="Y6" s="420">
        <v>6540926</v>
      </c>
      <c r="Z6" s="420">
        <v>6544102</v>
      </c>
      <c r="AA6" s="420">
        <v>6547196</v>
      </c>
      <c r="AB6" s="420">
        <v>6550222</v>
      </c>
      <c r="AC6" s="420">
        <v>6553245</v>
      </c>
      <c r="AD6" s="420">
        <v>6555965</v>
      </c>
      <c r="AE6" s="420">
        <v>6558336</v>
      </c>
      <c r="AF6" s="420">
        <v>6560923</v>
      </c>
      <c r="AG6" s="290"/>
      <c r="AH6" s="420">
        <v>6470697</v>
      </c>
      <c r="AI6" s="288"/>
    </row>
    <row r="7" spans="1:37" ht="20.100000000000001" customHeight="1">
      <c r="A7" s="285" t="s">
        <v>57</v>
      </c>
      <c r="B7" s="420">
        <v>1202123</v>
      </c>
      <c r="C7" s="420">
        <v>1214083</v>
      </c>
      <c r="D7" s="420">
        <v>1214514</v>
      </c>
      <c r="E7" s="420">
        <v>1214593</v>
      </c>
      <c r="F7" s="420">
        <v>1220557</v>
      </c>
      <c r="G7" s="420">
        <v>1221996</v>
      </c>
      <c r="H7" s="420">
        <v>1232414</v>
      </c>
      <c r="I7" s="420">
        <v>1248630</v>
      </c>
      <c r="J7" s="420">
        <v>1263132</v>
      </c>
      <c r="K7" s="420">
        <v>1271748</v>
      </c>
      <c r="L7" s="420">
        <v>1280385</v>
      </c>
      <c r="M7" s="420">
        <v>1289260</v>
      </c>
      <c r="N7" s="420">
        <v>1298109</v>
      </c>
      <c r="O7" s="420">
        <v>1307385</v>
      </c>
      <c r="P7" s="420">
        <v>1315931</v>
      </c>
      <c r="Q7" s="420">
        <v>1323765</v>
      </c>
      <c r="R7" s="420">
        <v>1339042</v>
      </c>
      <c r="S7" s="420">
        <v>1357250</v>
      </c>
      <c r="T7" s="420">
        <v>1368558</v>
      </c>
      <c r="U7" s="420">
        <v>1377636</v>
      </c>
      <c r="V7" s="420">
        <v>1386274</v>
      </c>
      <c r="W7" s="420">
        <v>1394821</v>
      </c>
      <c r="X7" s="420">
        <v>1406633</v>
      </c>
      <c r="Y7" s="420">
        <v>1406866</v>
      </c>
      <c r="Z7" s="420">
        <v>1407753</v>
      </c>
      <c r="AA7" s="420">
        <v>1407835</v>
      </c>
      <c r="AB7" s="420">
        <v>1407916</v>
      </c>
      <c r="AC7" s="420">
        <v>1407997</v>
      </c>
      <c r="AD7" s="420">
        <v>1413483</v>
      </c>
      <c r="AE7" s="420">
        <v>1423436</v>
      </c>
      <c r="AF7" s="420">
        <v>1423646</v>
      </c>
      <c r="AG7" s="290"/>
      <c r="AH7" s="420">
        <v>1192867</v>
      </c>
      <c r="AI7" s="288"/>
    </row>
    <row r="8" spans="1:37" ht="20.100000000000001" customHeight="1">
      <c r="A8" s="285" t="s">
        <v>58</v>
      </c>
      <c r="B8" s="420">
        <v>1111389</v>
      </c>
      <c r="C8" s="420">
        <v>1111470</v>
      </c>
      <c r="D8" s="420">
        <v>1125420</v>
      </c>
      <c r="E8" s="420">
        <v>1138247</v>
      </c>
      <c r="F8" s="420">
        <v>1148690</v>
      </c>
      <c r="G8" s="420">
        <v>1164637</v>
      </c>
      <c r="H8" s="420">
        <v>1172018</v>
      </c>
      <c r="I8" s="420">
        <v>1172193</v>
      </c>
      <c r="J8" s="420">
        <v>1172300</v>
      </c>
      <c r="K8" s="420">
        <v>1180421</v>
      </c>
      <c r="L8" s="420">
        <v>1188591</v>
      </c>
      <c r="M8" s="420">
        <v>1196867</v>
      </c>
      <c r="N8" s="420">
        <v>1202938</v>
      </c>
      <c r="O8" s="420">
        <v>1207941</v>
      </c>
      <c r="P8" s="420">
        <v>1215099</v>
      </c>
      <c r="Q8" s="420">
        <v>1215748</v>
      </c>
      <c r="R8" s="420">
        <v>1217260</v>
      </c>
      <c r="S8" s="420">
        <v>1218970</v>
      </c>
      <c r="T8" s="420">
        <v>1224357</v>
      </c>
      <c r="U8" s="420">
        <v>1232333</v>
      </c>
      <c r="V8" s="420">
        <v>1240542</v>
      </c>
      <c r="W8" s="420">
        <v>1247697</v>
      </c>
      <c r="X8" s="420">
        <v>1249899</v>
      </c>
      <c r="Y8" s="420">
        <v>1259832</v>
      </c>
      <c r="Z8" s="420">
        <v>1273602</v>
      </c>
      <c r="AA8" s="420">
        <v>1286947</v>
      </c>
      <c r="AB8" s="420">
        <v>1301836</v>
      </c>
      <c r="AC8" s="420">
        <v>1318724</v>
      </c>
      <c r="AD8" s="420">
        <v>1329143</v>
      </c>
      <c r="AE8" s="420">
        <v>1332471</v>
      </c>
      <c r="AF8" s="420">
        <v>1346649</v>
      </c>
      <c r="AG8" s="290"/>
      <c r="AH8" s="420">
        <v>1108665</v>
      </c>
      <c r="AI8" s="288"/>
    </row>
    <row r="9" spans="1:37" ht="20.100000000000001" customHeight="1">
      <c r="A9" s="285" t="s">
        <v>59</v>
      </c>
      <c r="B9" s="420">
        <v>1616343</v>
      </c>
      <c r="C9" s="420">
        <v>1623125</v>
      </c>
      <c r="D9" s="420">
        <v>1632173</v>
      </c>
      <c r="E9" s="420">
        <v>1640179</v>
      </c>
      <c r="F9" s="420">
        <v>1650556</v>
      </c>
      <c r="G9" s="420">
        <v>1661094</v>
      </c>
      <c r="H9" s="420">
        <v>1671192</v>
      </c>
      <c r="I9" s="420">
        <v>1680676</v>
      </c>
      <c r="J9" s="420">
        <v>1689603</v>
      </c>
      <c r="K9" s="420">
        <v>1699769</v>
      </c>
      <c r="L9" s="420">
        <v>1710135</v>
      </c>
      <c r="M9" s="420">
        <v>1720810</v>
      </c>
      <c r="N9" s="420">
        <v>1730448</v>
      </c>
      <c r="O9" s="420">
        <v>1739574</v>
      </c>
      <c r="P9" s="420">
        <v>1749533</v>
      </c>
      <c r="Q9" s="420">
        <v>1758354</v>
      </c>
      <c r="R9" s="420">
        <v>1768127</v>
      </c>
      <c r="S9" s="420">
        <v>1778975</v>
      </c>
      <c r="T9" s="420">
        <v>1788497</v>
      </c>
      <c r="U9" s="420">
        <v>1798449</v>
      </c>
      <c r="V9" s="420">
        <v>1808338</v>
      </c>
      <c r="W9" s="420">
        <v>1818287</v>
      </c>
      <c r="X9" s="420">
        <v>1825225</v>
      </c>
      <c r="Y9" s="420">
        <v>1831125</v>
      </c>
      <c r="Z9" s="420">
        <v>1839898</v>
      </c>
      <c r="AA9" s="420">
        <v>1848144</v>
      </c>
      <c r="AB9" s="420">
        <v>1857334</v>
      </c>
      <c r="AC9" s="420">
        <v>1867331</v>
      </c>
      <c r="AD9" s="420">
        <v>1876898</v>
      </c>
      <c r="AE9" s="420">
        <v>1883901</v>
      </c>
      <c r="AF9" s="420">
        <v>1892221</v>
      </c>
      <c r="AG9" s="290"/>
      <c r="AH9" s="420">
        <v>1608943</v>
      </c>
      <c r="AI9" s="288"/>
    </row>
    <row r="10" spans="1:37" ht="20.100000000000001" customHeight="1">
      <c r="A10" s="285" t="s">
        <v>60</v>
      </c>
      <c r="B10" s="420">
        <v>8946451</v>
      </c>
      <c r="C10" s="420">
        <v>8949151</v>
      </c>
      <c r="D10" s="420">
        <v>8951981</v>
      </c>
      <c r="E10" s="420">
        <v>8955964</v>
      </c>
      <c r="F10" s="420">
        <v>8959895</v>
      </c>
      <c r="G10" s="420">
        <v>8963768</v>
      </c>
      <c r="H10" s="420">
        <v>8967687</v>
      </c>
      <c r="I10" s="420">
        <v>8971368</v>
      </c>
      <c r="J10" s="420">
        <v>8973935</v>
      </c>
      <c r="K10" s="420">
        <v>8977084</v>
      </c>
      <c r="L10" s="420">
        <v>8980433</v>
      </c>
      <c r="M10" s="420">
        <v>8984467</v>
      </c>
      <c r="N10" s="420">
        <v>8988350</v>
      </c>
      <c r="O10" s="420">
        <v>8992307</v>
      </c>
      <c r="P10" s="420">
        <v>8995969</v>
      </c>
      <c r="Q10" s="420">
        <v>8998637</v>
      </c>
      <c r="R10" s="420">
        <v>9001339</v>
      </c>
      <c r="S10" s="420">
        <v>9005297</v>
      </c>
      <c r="T10" s="420">
        <v>9009264</v>
      </c>
      <c r="U10" s="420">
        <v>9013148</v>
      </c>
      <c r="V10" s="420">
        <v>9016973</v>
      </c>
      <c r="W10" s="420">
        <v>9020626</v>
      </c>
      <c r="X10" s="420">
        <v>9023385</v>
      </c>
      <c r="Y10" s="420">
        <v>9026166</v>
      </c>
      <c r="Z10" s="420">
        <v>9030211</v>
      </c>
      <c r="AA10" s="420">
        <v>9034180</v>
      </c>
      <c r="AB10" s="420">
        <v>9037960</v>
      </c>
      <c r="AC10" s="420">
        <v>9041840</v>
      </c>
      <c r="AD10" s="420">
        <v>9045445</v>
      </c>
      <c r="AE10" s="420">
        <v>9048099</v>
      </c>
      <c r="AF10" s="420">
        <v>9051079</v>
      </c>
      <c r="AG10" s="290"/>
      <c r="AH10" s="420">
        <v>8942708</v>
      </c>
      <c r="AI10" s="288"/>
    </row>
    <row r="11" spans="1:37" ht="22.5" customHeight="1">
      <c r="A11" s="285" t="s">
        <v>61</v>
      </c>
      <c r="B11" s="420">
        <v>341809</v>
      </c>
      <c r="C11" s="420">
        <v>341914</v>
      </c>
      <c r="D11" s="420">
        <v>342021</v>
      </c>
      <c r="E11" s="420">
        <v>342158</v>
      </c>
      <c r="F11" s="420">
        <v>342290</v>
      </c>
      <c r="G11" s="420">
        <v>342426</v>
      </c>
      <c r="H11" s="420">
        <v>342562</v>
      </c>
      <c r="I11" s="420">
        <v>342684</v>
      </c>
      <c r="J11" s="420">
        <v>342789</v>
      </c>
      <c r="K11" s="420">
        <v>342906</v>
      </c>
      <c r="L11" s="420">
        <v>343023</v>
      </c>
      <c r="M11" s="420">
        <v>343158</v>
      </c>
      <c r="N11" s="420">
        <v>343285</v>
      </c>
      <c r="O11" s="420">
        <v>343414</v>
      </c>
      <c r="P11" s="420">
        <v>343536</v>
      </c>
      <c r="Q11" s="420">
        <v>343652</v>
      </c>
      <c r="R11" s="420">
        <v>343765</v>
      </c>
      <c r="S11" s="420">
        <v>343900</v>
      </c>
      <c r="T11" s="420">
        <v>344034</v>
      </c>
      <c r="U11" s="420">
        <v>344168</v>
      </c>
      <c r="V11" s="420">
        <v>344301</v>
      </c>
      <c r="W11" s="420">
        <v>344421</v>
      </c>
      <c r="X11" s="420">
        <v>344531</v>
      </c>
      <c r="Y11" s="420">
        <v>344637</v>
      </c>
      <c r="Z11" s="420">
        <v>344778</v>
      </c>
      <c r="AA11" s="420">
        <v>344916</v>
      </c>
      <c r="AB11" s="420">
        <v>345055</v>
      </c>
      <c r="AC11" s="420">
        <v>345196</v>
      </c>
      <c r="AD11" s="420">
        <v>345323</v>
      </c>
      <c r="AE11" s="420">
        <v>345425</v>
      </c>
      <c r="AF11" s="420">
        <v>345537</v>
      </c>
      <c r="AG11" s="290"/>
      <c r="AH11" s="420">
        <v>341683</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35507</v>
      </c>
      <c r="C14" s="409">
        <v>35539</v>
      </c>
      <c r="D14" s="409">
        <v>35625</v>
      </c>
      <c r="E14" s="409">
        <v>35711</v>
      </c>
      <c r="F14" s="409">
        <v>35806</v>
      </c>
      <c r="G14" s="409">
        <v>35891</v>
      </c>
      <c r="H14" s="409">
        <v>35988</v>
      </c>
      <c r="I14" s="409">
        <v>36048</v>
      </c>
      <c r="J14" s="409">
        <v>36135</v>
      </c>
      <c r="K14" s="409">
        <f>J14+87</f>
        <v>36222</v>
      </c>
      <c r="L14" s="409">
        <f>K14+79</f>
        <v>36301</v>
      </c>
      <c r="M14" s="409">
        <v>36400</v>
      </c>
      <c r="N14" s="409">
        <v>36486</v>
      </c>
      <c r="O14" s="409">
        <v>36583</v>
      </c>
      <c r="P14" s="409">
        <v>36583</v>
      </c>
      <c r="Q14" s="409">
        <v>36722</v>
      </c>
      <c r="R14" s="409">
        <v>36819</v>
      </c>
      <c r="S14" s="409">
        <v>36898</v>
      </c>
      <c r="T14" s="409">
        <v>37005</v>
      </c>
      <c r="U14" s="409">
        <v>37095</v>
      </c>
      <c r="V14" s="409">
        <v>37195</v>
      </c>
      <c r="W14" s="409">
        <v>37257</v>
      </c>
      <c r="X14" s="409">
        <v>37335</v>
      </c>
      <c r="Y14" s="409">
        <v>37417</v>
      </c>
      <c r="Z14" s="409">
        <v>37518</v>
      </c>
      <c r="AA14" s="409">
        <v>37625</v>
      </c>
      <c r="AB14" s="409">
        <v>37718</v>
      </c>
      <c r="AC14" s="409">
        <v>37826</v>
      </c>
      <c r="AD14" s="409">
        <v>37892</v>
      </c>
      <c r="AE14" s="409">
        <v>37985</v>
      </c>
      <c r="AF14" s="409">
        <v>38201</v>
      </c>
      <c r="AG14" s="301">
        <f>AF14-AH14</f>
        <v>2800</v>
      </c>
      <c r="AH14" s="409">
        <v>35401</v>
      </c>
      <c r="AI14" s="299">
        <v>2800</v>
      </c>
      <c r="AJ14" s="299"/>
      <c r="AK14" s="436"/>
    </row>
    <row r="15" spans="1:37" ht="25.5">
      <c r="A15" s="282" t="s">
        <v>67</v>
      </c>
      <c r="B15" s="409">
        <v>8916</v>
      </c>
      <c r="C15" s="409">
        <v>8916</v>
      </c>
      <c r="D15" s="409">
        <v>8916</v>
      </c>
      <c r="E15" s="409">
        <v>8916</v>
      </c>
      <c r="F15" s="409">
        <v>8916</v>
      </c>
      <c r="G15" s="409">
        <v>8916</v>
      </c>
      <c r="H15" s="409">
        <v>8916</v>
      </c>
      <c r="I15" s="409">
        <v>8916</v>
      </c>
      <c r="J15" s="409">
        <v>8916</v>
      </c>
      <c r="K15" s="409">
        <v>8916</v>
      </c>
      <c r="L15" s="409">
        <v>8916</v>
      </c>
      <c r="M15" s="409">
        <v>8916</v>
      </c>
      <c r="N15" s="409">
        <v>8916</v>
      </c>
      <c r="O15" s="409">
        <v>8916</v>
      </c>
      <c r="P15" s="409">
        <v>8916</v>
      </c>
      <c r="Q15" s="409">
        <v>8916</v>
      </c>
      <c r="R15" s="409">
        <v>8916</v>
      </c>
      <c r="S15" s="409">
        <v>8916</v>
      </c>
      <c r="T15" s="409">
        <v>8916</v>
      </c>
      <c r="U15" s="409">
        <v>8916</v>
      </c>
      <c r="V15" s="409">
        <v>8916</v>
      </c>
      <c r="W15" s="409">
        <v>8916</v>
      </c>
      <c r="X15" s="409">
        <v>8916</v>
      </c>
      <c r="Y15" s="409">
        <v>8916</v>
      </c>
      <c r="Z15" s="409">
        <v>8916</v>
      </c>
      <c r="AA15" s="409">
        <v>8916</v>
      </c>
      <c r="AB15" s="409">
        <v>8916</v>
      </c>
      <c r="AC15" s="409">
        <v>8916</v>
      </c>
      <c r="AD15" s="409">
        <v>8916</v>
      </c>
      <c r="AE15" s="409">
        <v>8916</v>
      </c>
      <c r="AF15" s="409">
        <v>8916</v>
      </c>
      <c r="AG15" s="301">
        <f t="shared" ref="AG15:AG29" si="0">AF15-AH15</f>
        <v>0</v>
      </c>
      <c r="AH15" s="409">
        <v>8916</v>
      </c>
      <c r="AI15" s="144">
        <v>0</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09">
        <v>12874</v>
      </c>
      <c r="AG16" s="301">
        <f t="shared" si="0"/>
        <v>0</v>
      </c>
      <c r="AH16" s="409">
        <v>12874</v>
      </c>
      <c r="AI16" s="144">
        <v>0</v>
      </c>
      <c r="AJ16" s="299"/>
      <c r="AK16" s="411"/>
    </row>
    <row r="17" spans="1:37"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301">
        <f t="shared" si="0"/>
        <v>0</v>
      </c>
      <c r="AH17" s="437"/>
      <c r="AK17" s="411"/>
    </row>
    <row r="18" spans="1:37">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439" t="s">
        <v>64</v>
      </c>
      <c r="AG18" s="301"/>
      <c r="AH18" s="439" t="s">
        <v>64</v>
      </c>
      <c r="AK18" s="412"/>
    </row>
    <row r="19" spans="1:37" ht="25.5">
      <c r="A19" s="282" t="s">
        <v>70</v>
      </c>
      <c r="B19" s="413">
        <v>32</v>
      </c>
      <c r="C19" s="413">
        <v>33</v>
      </c>
      <c r="D19" s="413">
        <v>34</v>
      </c>
      <c r="E19" s="413">
        <v>35</v>
      </c>
      <c r="F19" s="413">
        <v>37</v>
      </c>
      <c r="G19" s="413">
        <v>38</v>
      </c>
      <c r="H19" s="413">
        <v>39</v>
      </c>
      <c r="I19" s="413">
        <v>40</v>
      </c>
      <c r="J19" s="413">
        <v>42</v>
      </c>
      <c r="K19" s="413">
        <v>43</v>
      </c>
      <c r="L19" s="413">
        <v>44</v>
      </c>
      <c r="M19" s="413">
        <v>45</v>
      </c>
      <c r="N19" s="413">
        <v>47</v>
      </c>
      <c r="O19" s="413">
        <v>48</v>
      </c>
      <c r="P19" s="413">
        <v>48</v>
      </c>
      <c r="Q19" s="413">
        <v>50</v>
      </c>
      <c r="R19" s="413">
        <v>50</v>
      </c>
      <c r="S19" s="413">
        <v>52</v>
      </c>
      <c r="T19" s="413">
        <v>53</v>
      </c>
      <c r="U19" s="413">
        <v>55</v>
      </c>
      <c r="V19" s="413">
        <v>56</v>
      </c>
      <c r="W19" s="413">
        <v>58</v>
      </c>
      <c r="X19" s="413">
        <v>59</v>
      </c>
      <c r="Y19" s="413">
        <v>60</v>
      </c>
      <c r="Z19" s="413">
        <v>61</v>
      </c>
      <c r="AA19" s="413">
        <v>62</v>
      </c>
      <c r="AB19" s="413">
        <v>63</v>
      </c>
      <c r="AC19" s="413">
        <v>65</v>
      </c>
      <c r="AD19" s="413">
        <v>65</v>
      </c>
      <c r="AE19" s="413">
        <v>67</v>
      </c>
      <c r="AF19" s="413">
        <v>69</v>
      </c>
      <c r="AG19" s="301">
        <f t="shared" si="0"/>
        <v>38</v>
      </c>
      <c r="AH19" s="413">
        <v>31</v>
      </c>
      <c r="AI19" s="307">
        <v>38</v>
      </c>
      <c r="AJ19" s="307"/>
      <c r="AK19" s="436"/>
    </row>
    <row r="20" spans="1:37" ht="25.5">
      <c r="A20" s="282" t="s">
        <v>2715</v>
      </c>
      <c r="B20" s="413">
        <v>7976733</v>
      </c>
      <c r="C20" s="413">
        <v>7976733</v>
      </c>
      <c r="D20" s="413">
        <v>8023374</v>
      </c>
      <c r="E20" s="413">
        <v>8103844</v>
      </c>
      <c r="F20" s="413">
        <v>8103844</v>
      </c>
      <c r="G20" s="413">
        <v>8103844</v>
      </c>
      <c r="H20" s="413">
        <v>8213089</v>
      </c>
      <c r="I20" s="413">
        <v>8213089</v>
      </c>
      <c r="J20" s="413">
        <v>8213089</v>
      </c>
      <c r="K20" s="413">
        <v>8213089</v>
      </c>
      <c r="L20" s="413">
        <v>8213089</v>
      </c>
      <c r="M20" s="413">
        <v>8279607</v>
      </c>
      <c r="N20" s="413">
        <v>8279607</v>
      </c>
      <c r="O20" s="413">
        <v>8354905</v>
      </c>
      <c r="P20" s="413">
        <v>8354905</v>
      </c>
      <c r="Q20" s="413">
        <v>8354905</v>
      </c>
      <c r="R20" s="413">
        <v>8424320</v>
      </c>
      <c r="S20" s="413">
        <v>8424320</v>
      </c>
      <c r="T20" s="413">
        <v>8424320</v>
      </c>
      <c r="U20" s="413">
        <v>8484758</v>
      </c>
      <c r="V20" s="413">
        <v>8484758</v>
      </c>
      <c r="W20" s="413">
        <v>8510629</v>
      </c>
      <c r="X20" s="413">
        <v>8538500</v>
      </c>
      <c r="Y20" s="413">
        <v>8614852</v>
      </c>
      <c r="Z20" s="413">
        <v>8657038</v>
      </c>
      <c r="AA20" s="413">
        <v>8657038</v>
      </c>
      <c r="AB20" s="413">
        <v>8696550</v>
      </c>
      <c r="AC20" s="413">
        <v>8765926</v>
      </c>
      <c r="AD20" s="144">
        <v>8819521</v>
      </c>
      <c r="AE20" s="413">
        <v>8873116</v>
      </c>
      <c r="AF20" s="413">
        <v>8911420</v>
      </c>
      <c r="AG20" s="301">
        <f t="shared" si="0"/>
        <v>1001238</v>
      </c>
      <c r="AH20" s="413">
        <v>7910182</v>
      </c>
      <c r="AI20" s="144">
        <v>1001238</v>
      </c>
      <c r="AJ20" s="307"/>
      <c r="AK20" s="414"/>
    </row>
    <row r="21" spans="1:37">
      <c r="A21" s="282" t="s">
        <v>72</v>
      </c>
      <c r="B21" s="409">
        <v>265217</v>
      </c>
      <c r="C21" s="409">
        <v>265221</v>
      </c>
      <c r="D21" s="409">
        <v>265464</v>
      </c>
      <c r="E21" s="409">
        <v>265698</v>
      </c>
      <c r="F21" s="409">
        <v>265974</v>
      </c>
      <c r="G21" s="409">
        <v>266247</v>
      </c>
      <c r="H21" s="409">
        <v>266498</v>
      </c>
      <c r="I21" s="409">
        <v>266722</v>
      </c>
      <c r="J21" s="409">
        <v>266985</v>
      </c>
      <c r="K21" s="409">
        <v>267231</v>
      </c>
      <c r="L21" s="409">
        <v>267537</v>
      </c>
      <c r="M21" s="409">
        <v>267800</v>
      </c>
      <c r="N21" s="409">
        <v>268113</v>
      </c>
      <c r="O21" s="409">
        <v>268409</v>
      </c>
      <c r="P21" s="409">
        <v>268409</v>
      </c>
      <c r="Q21" s="409">
        <v>268881</v>
      </c>
      <c r="R21" s="409">
        <v>268881</v>
      </c>
      <c r="S21" s="409">
        <v>269317</v>
      </c>
      <c r="T21" s="409">
        <v>269640</v>
      </c>
      <c r="U21" s="409">
        <v>269940</v>
      </c>
      <c r="V21" s="409">
        <v>270221</v>
      </c>
      <c r="W21" s="409">
        <v>270447</v>
      </c>
      <c r="X21" s="409">
        <v>270724</v>
      </c>
      <c r="Y21" s="409">
        <v>271010</v>
      </c>
      <c r="Z21" s="409">
        <v>271220</v>
      </c>
      <c r="AA21" s="409">
        <v>271491</v>
      </c>
      <c r="AB21" s="409">
        <v>271768</v>
      </c>
      <c r="AC21" s="409">
        <v>272014</v>
      </c>
      <c r="AD21" s="409">
        <v>272252</v>
      </c>
      <c r="AE21" s="409">
        <v>272490</v>
      </c>
      <c r="AF21" s="409">
        <v>272744</v>
      </c>
      <c r="AG21" s="301">
        <f t="shared" si="0"/>
        <v>7989</v>
      </c>
      <c r="AH21" s="409">
        <v>264755</v>
      </c>
      <c r="AI21" s="144">
        <v>7989</v>
      </c>
      <c r="AJ21" s="307"/>
      <c r="AK21" s="415"/>
    </row>
    <row r="22" spans="1:37">
      <c r="A22" s="282" t="s">
        <v>73</v>
      </c>
      <c r="B22" s="409">
        <v>252257</v>
      </c>
      <c r="C22" s="409">
        <v>252330</v>
      </c>
      <c r="D22" s="409">
        <v>252464</v>
      </c>
      <c r="E22" s="409">
        <v>252594</v>
      </c>
      <c r="F22" s="409">
        <v>252733</v>
      </c>
      <c r="G22" s="409">
        <v>252874</v>
      </c>
      <c r="H22" s="409">
        <v>253032</v>
      </c>
      <c r="I22" s="409">
        <v>253147</v>
      </c>
      <c r="J22" s="409">
        <v>253276</v>
      </c>
      <c r="K22" s="409">
        <v>253430</v>
      </c>
      <c r="L22" s="409">
        <v>253593</v>
      </c>
      <c r="M22" s="409">
        <v>253731</v>
      </c>
      <c r="N22" s="409">
        <v>253871</v>
      </c>
      <c r="O22" s="409">
        <v>254026</v>
      </c>
      <c r="P22" s="409">
        <v>254026</v>
      </c>
      <c r="Q22" s="409">
        <v>254248</v>
      </c>
      <c r="R22" s="409">
        <v>254375</v>
      </c>
      <c r="S22" s="409">
        <v>254531</v>
      </c>
      <c r="T22" s="409">
        <v>254676</v>
      </c>
      <c r="U22" s="409">
        <v>254820</v>
      </c>
      <c r="V22" s="409">
        <v>254972</v>
      </c>
      <c r="W22" s="409">
        <v>255117</v>
      </c>
      <c r="X22" s="409">
        <v>255256</v>
      </c>
      <c r="Y22" s="409">
        <v>255371</v>
      </c>
      <c r="Z22" s="409">
        <v>255506</v>
      </c>
      <c r="AA22" s="409">
        <v>255647</v>
      </c>
      <c r="AB22" s="409">
        <v>255786</v>
      </c>
      <c r="AC22" s="409">
        <v>255923</v>
      </c>
      <c r="AD22" s="409">
        <v>256055</v>
      </c>
      <c r="AE22" s="409">
        <v>256196</v>
      </c>
      <c r="AF22" s="409">
        <v>256316</v>
      </c>
      <c r="AG22" s="301">
        <f t="shared" si="0"/>
        <v>4240</v>
      </c>
      <c r="AH22" s="409">
        <v>252076</v>
      </c>
      <c r="AI22" s="144">
        <v>4240</v>
      </c>
      <c r="AJ22" s="307"/>
      <c r="AK22" s="415"/>
    </row>
    <row r="23" spans="1:37">
      <c r="A23" s="309" t="s">
        <v>136</v>
      </c>
      <c r="B23" s="409">
        <v>15915</v>
      </c>
      <c r="C23" s="409">
        <v>15915</v>
      </c>
      <c r="D23" s="409">
        <v>15917</v>
      </c>
      <c r="E23" s="409">
        <v>15927</v>
      </c>
      <c r="F23" s="409">
        <v>15937</v>
      </c>
      <c r="G23" s="409">
        <v>15947</v>
      </c>
      <c r="H23" s="409">
        <v>15956</v>
      </c>
      <c r="I23" s="409">
        <v>15962</v>
      </c>
      <c r="J23" s="409">
        <v>15967</v>
      </c>
      <c r="K23" s="409">
        <v>15971</v>
      </c>
      <c r="L23" s="409">
        <v>15979</v>
      </c>
      <c r="M23" s="409">
        <v>15980</v>
      </c>
      <c r="N23" s="409">
        <v>16000</v>
      </c>
      <c r="O23" s="409">
        <v>16013</v>
      </c>
      <c r="P23" s="409">
        <v>16013</v>
      </c>
      <c r="Q23" s="409">
        <v>16026</v>
      </c>
      <c r="R23" s="409">
        <v>16033</v>
      </c>
      <c r="S23" s="409">
        <v>16044</v>
      </c>
      <c r="T23" s="409">
        <v>16058</v>
      </c>
      <c r="U23" s="409">
        <v>16072</v>
      </c>
      <c r="V23" s="409">
        <v>16086</v>
      </c>
      <c r="W23" s="409">
        <v>16091</v>
      </c>
      <c r="X23" s="409">
        <v>16098</v>
      </c>
      <c r="Y23" s="409">
        <v>16101</v>
      </c>
      <c r="Z23" s="409">
        <v>16113</v>
      </c>
      <c r="AA23" s="409">
        <v>16125</v>
      </c>
      <c r="AB23" s="409">
        <v>16136</v>
      </c>
      <c r="AC23" s="409">
        <v>16148</v>
      </c>
      <c r="AD23" s="409">
        <v>16152</v>
      </c>
      <c r="AE23" s="409">
        <v>16159</v>
      </c>
      <c r="AF23" s="409">
        <v>16272</v>
      </c>
      <c r="AG23" s="301">
        <f t="shared" si="0"/>
        <v>365</v>
      </c>
      <c r="AH23" s="409">
        <v>15907</v>
      </c>
      <c r="AI23" s="144">
        <v>365</v>
      </c>
      <c r="AJ23" s="307"/>
      <c r="AK23" s="414"/>
    </row>
    <row r="24" spans="1:37">
      <c r="A24" s="309" t="s">
        <v>139</v>
      </c>
      <c r="B24" s="409">
        <v>10641</v>
      </c>
      <c r="C24" s="409">
        <v>10644</v>
      </c>
      <c r="D24" s="409">
        <v>10648</v>
      </c>
      <c r="E24" s="409">
        <v>10658</v>
      </c>
      <c r="F24" s="409">
        <v>10668</v>
      </c>
      <c r="G24" s="409">
        <v>10678</v>
      </c>
      <c r="H24" s="409">
        <v>10692</v>
      </c>
      <c r="I24" s="409">
        <v>10713</v>
      </c>
      <c r="J24" s="409">
        <v>10714</v>
      </c>
      <c r="K24" s="409">
        <v>10722</v>
      </c>
      <c r="L24" s="409">
        <v>10731</v>
      </c>
      <c r="M24" s="409">
        <v>10742</v>
      </c>
      <c r="N24" s="409">
        <v>10752</v>
      </c>
      <c r="O24" s="409">
        <v>10761</v>
      </c>
      <c r="P24" s="409">
        <v>10761</v>
      </c>
      <c r="Q24" s="409">
        <v>10780</v>
      </c>
      <c r="R24" s="409">
        <v>10786</v>
      </c>
      <c r="S24" s="409">
        <v>10794</v>
      </c>
      <c r="T24" s="409">
        <v>10804</v>
      </c>
      <c r="U24" s="409">
        <v>10811</v>
      </c>
      <c r="V24" s="409">
        <v>10822</v>
      </c>
      <c r="W24" s="409">
        <v>10829</v>
      </c>
      <c r="X24" s="409">
        <v>10837</v>
      </c>
      <c r="Y24" s="409">
        <v>10839</v>
      </c>
      <c r="Z24" s="409">
        <v>10851</v>
      </c>
      <c r="AA24" s="409">
        <v>10869</v>
      </c>
      <c r="AB24" s="409">
        <v>10876</v>
      </c>
      <c r="AC24" s="409">
        <v>10887</v>
      </c>
      <c r="AD24" s="409">
        <v>10894</v>
      </c>
      <c r="AE24" s="409">
        <v>10902</v>
      </c>
      <c r="AF24" s="409">
        <v>10910</v>
      </c>
      <c r="AG24" s="301">
        <f t="shared" si="0"/>
        <v>280</v>
      </c>
      <c r="AH24" s="409">
        <v>10630</v>
      </c>
      <c r="AI24" s="144">
        <v>280</v>
      </c>
      <c r="AJ24" s="307"/>
      <c r="AK24" s="414"/>
    </row>
    <row r="25" spans="1:37">
      <c r="A25" s="309" t="s">
        <v>142</v>
      </c>
      <c r="B25" s="409">
        <v>4328</v>
      </c>
      <c r="C25" s="409">
        <v>4329</v>
      </c>
      <c r="D25" s="409">
        <v>4329</v>
      </c>
      <c r="E25" s="409">
        <v>4334</v>
      </c>
      <c r="F25" s="409">
        <v>4337</v>
      </c>
      <c r="G25" s="409">
        <v>4340</v>
      </c>
      <c r="H25" s="409">
        <v>4342</v>
      </c>
      <c r="I25" s="409">
        <v>4344</v>
      </c>
      <c r="J25" s="409">
        <v>4345</v>
      </c>
      <c r="K25" s="409">
        <v>4347</v>
      </c>
      <c r="L25" s="409">
        <v>4349</v>
      </c>
      <c r="M25" s="409">
        <v>4353</v>
      </c>
      <c r="N25" s="409">
        <v>4357</v>
      </c>
      <c r="O25" s="409">
        <v>4359</v>
      </c>
      <c r="P25" s="409">
        <v>4359</v>
      </c>
      <c r="Q25" s="409">
        <v>4363</v>
      </c>
      <c r="R25" s="409">
        <v>4364</v>
      </c>
      <c r="S25" s="409">
        <v>4368</v>
      </c>
      <c r="T25" s="409">
        <v>4373</v>
      </c>
      <c r="U25" s="409">
        <v>4378</v>
      </c>
      <c r="V25" s="409">
        <v>4382</v>
      </c>
      <c r="W25" s="409">
        <v>4384</v>
      </c>
      <c r="X25" s="409">
        <v>4386</v>
      </c>
      <c r="Y25" s="409">
        <v>4387</v>
      </c>
      <c r="Z25" s="409">
        <v>4392</v>
      </c>
      <c r="AA25" s="409">
        <v>4397</v>
      </c>
      <c r="AB25" s="409">
        <v>4403</v>
      </c>
      <c r="AC25" s="409">
        <v>4410</v>
      </c>
      <c r="AD25" s="409">
        <v>4412</v>
      </c>
      <c r="AE25" s="409">
        <v>4417</v>
      </c>
      <c r="AF25" s="409">
        <v>4418</v>
      </c>
      <c r="AG25" s="301">
        <f t="shared" si="0"/>
        <v>92</v>
      </c>
      <c r="AH25" s="409">
        <v>4326</v>
      </c>
      <c r="AI25" s="144">
        <v>92</v>
      </c>
      <c r="AJ25" s="307"/>
      <c r="AK25" s="414"/>
    </row>
    <row r="26" spans="1:37">
      <c r="A26" s="309" t="s">
        <v>145</v>
      </c>
      <c r="B26" s="409">
        <v>2664</v>
      </c>
      <c r="C26" s="409">
        <v>2664</v>
      </c>
      <c r="D26" s="409">
        <v>2665</v>
      </c>
      <c r="E26" s="409">
        <v>2670</v>
      </c>
      <c r="F26" s="409">
        <v>2672</v>
      </c>
      <c r="G26" s="409">
        <v>2675</v>
      </c>
      <c r="H26" s="409">
        <v>2678</v>
      </c>
      <c r="I26" s="409">
        <v>2681</v>
      </c>
      <c r="J26" s="409">
        <v>2680</v>
      </c>
      <c r="K26" s="409">
        <v>2681</v>
      </c>
      <c r="L26" s="409">
        <v>2684</v>
      </c>
      <c r="M26" s="409">
        <v>2687</v>
      </c>
      <c r="N26" s="409">
        <v>2689</v>
      </c>
      <c r="O26" s="409">
        <v>2692</v>
      </c>
      <c r="P26" s="409">
        <v>2692</v>
      </c>
      <c r="Q26" s="409">
        <v>2695</v>
      </c>
      <c r="R26" s="409">
        <v>2697</v>
      </c>
      <c r="S26" s="409">
        <v>2699</v>
      </c>
      <c r="T26" s="409">
        <v>2702</v>
      </c>
      <c r="U26" s="409">
        <v>2705</v>
      </c>
      <c r="V26" s="409">
        <v>2708</v>
      </c>
      <c r="W26" s="409">
        <v>2709</v>
      </c>
      <c r="X26" s="409">
        <v>2710</v>
      </c>
      <c r="Y26" s="409">
        <v>2712</v>
      </c>
      <c r="Z26" s="409">
        <v>2715</v>
      </c>
      <c r="AA26" s="409">
        <v>2718</v>
      </c>
      <c r="AB26" s="409">
        <v>2721</v>
      </c>
      <c r="AC26" s="409">
        <v>2725</v>
      </c>
      <c r="AD26" s="409">
        <v>2724</v>
      </c>
      <c r="AE26" s="409">
        <v>2728</v>
      </c>
      <c r="AF26" s="409">
        <v>2729</v>
      </c>
      <c r="AG26" s="301">
        <f t="shared" si="0"/>
        <v>67</v>
      </c>
      <c r="AH26" s="409">
        <v>2662</v>
      </c>
      <c r="AI26" s="144">
        <v>67</v>
      </c>
      <c r="AJ26" s="307"/>
      <c r="AK26" s="414"/>
    </row>
    <row r="27" spans="1:37">
      <c r="A27" s="309" t="s">
        <v>148</v>
      </c>
      <c r="B27" s="409">
        <v>16854</v>
      </c>
      <c r="C27" s="409">
        <v>16854</v>
      </c>
      <c r="D27" s="409">
        <v>16856</v>
      </c>
      <c r="E27" s="409">
        <v>16861</v>
      </c>
      <c r="F27" s="409">
        <v>16866</v>
      </c>
      <c r="G27" s="409">
        <v>16872</v>
      </c>
      <c r="H27" s="409">
        <v>16877</v>
      </c>
      <c r="I27" s="409">
        <v>16879</v>
      </c>
      <c r="J27" s="409">
        <v>16882</v>
      </c>
      <c r="K27" s="409">
        <v>16884</v>
      </c>
      <c r="L27" s="409">
        <v>16888</v>
      </c>
      <c r="M27" s="409">
        <v>16895</v>
      </c>
      <c r="N27" s="409">
        <v>16901</v>
      </c>
      <c r="O27" s="409">
        <v>16908</v>
      </c>
      <c r="P27" s="409">
        <v>16908</v>
      </c>
      <c r="Q27" s="409">
        <v>16914</v>
      </c>
      <c r="R27" s="409">
        <v>16917</v>
      </c>
      <c r="S27" s="409">
        <v>16925</v>
      </c>
      <c r="T27" s="409">
        <v>16935</v>
      </c>
      <c r="U27" s="409">
        <v>16945</v>
      </c>
      <c r="V27" s="409">
        <v>16955</v>
      </c>
      <c r="W27" s="409">
        <v>16958</v>
      </c>
      <c r="X27" s="409">
        <v>16964</v>
      </c>
      <c r="Y27" s="409">
        <v>16966</v>
      </c>
      <c r="Z27" s="409">
        <v>16977</v>
      </c>
      <c r="AA27" s="409">
        <v>16990</v>
      </c>
      <c r="AB27" s="409">
        <v>17001</v>
      </c>
      <c r="AC27" s="409">
        <v>17014</v>
      </c>
      <c r="AD27" s="409">
        <v>17019</v>
      </c>
      <c r="AE27" s="409">
        <v>17027</v>
      </c>
      <c r="AF27" s="409">
        <v>17030</v>
      </c>
      <c r="AG27" s="301">
        <f t="shared" si="0"/>
        <v>182</v>
      </c>
      <c r="AH27" s="409">
        <v>16848</v>
      </c>
      <c r="AI27" s="144">
        <v>182</v>
      </c>
      <c r="AJ27" s="307"/>
      <c r="AK27" s="414"/>
    </row>
    <row r="28" spans="1:37">
      <c r="A28" s="309"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43">
        <v>1330</v>
      </c>
      <c r="T28" s="443">
        <v>1330</v>
      </c>
      <c r="U28" s="443">
        <v>1330</v>
      </c>
      <c r="V28" s="443">
        <v>1330</v>
      </c>
      <c r="W28" s="443">
        <v>1330</v>
      </c>
      <c r="X28" s="443">
        <v>1330</v>
      </c>
      <c r="Y28" s="443">
        <v>1330</v>
      </c>
      <c r="Z28" s="443">
        <v>1330</v>
      </c>
      <c r="AA28" s="443">
        <v>1330</v>
      </c>
      <c r="AB28" s="443">
        <v>1330</v>
      </c>
      <c r="AC28" s="443">
        <v>1330</v>
      </c>
      <c r="AD28" s="443">
        <v>1330</v>
      </c>
      <c r="AE28" s="443">
        <v>1330</v>
      </c>
      <c r="AF28" s="443">
        <v>1330</v>
      </c>
      <c r="AG28" s="301">
        <f t="shared" si="0"/>
        <v>0</v>
      </c>
      <c r="AH28" s="443">
        <v>1330</v>
      </c>
      <c r="AI28" s="144">
        <v>0</v>
      </c>
      <c r="AJ28" s="307"/>
      <c r="AK28" s="414"/>
    </row>
    <row r="29" spans="1:37">
      <c r="A29" s="309" t="s">
        <v>154</v>
      </c>
      <c r="B29" s="443">
        <v>1324</v>
      </c>
      <c r="C29" s="443">
        <v>1324</v>
      </c>
      <c r="D29" s="443">
        <v>1325</v>
      </c>
      <c r="E29" s="443">
        <v>1326</v>
      </c>
      <c r="F29" s="443">
        <v>1327</v>
      </c>
      <c r="G29" s="443">
        <v>1327</v>
      </c>
      <c r="H29" s="443">
        <v>1328</v>
      </c>
      <c r="I29" s="443">
        <v>1328</v>
      </c>
      <c r="J29" s="443">
        <v>1329</v>
      </c>
      <c r="K29" s="443">
        <v>1330</v>
      </c>
      <c r="L29" s="443">
        <v>1331</v>
      </c>
      <c r="M29" s="443">
        <v>1332</v>
      </c>
      <c r="N29" s="443">
        <v>1332</v>
      </c>
      <c r="O29" s="443">
        <v>1333</v>
      </c>
      <c r="P29" s="443">
        <v>1333</v>
      </c>
      <c r="Q29" s="443">
        <v>1334</v>
      </c>
      <c r="R29" s="443">
        <v>1335</v>
      </c>
      <c r="S29" s="443">
        <v>1336</v>
      </c>
      <c r="T29" s="443">
        <v>1337</v>
      </c>
      <c r="U29" s="443">
        <v>1338</v>
      </c>
      <c r="V29" s="443">
        <v>1338</v>
      </c>
      <c r="W29" s="443">
        <v>1339</v>
      </c>
      <c r="X29" s="443">
        <v>1339</v>
      </c>
      <c r="Y29" s="443">
        <v>1340</v>
      </c>
      <c r="Z29" s="443">
        <v>1341</v>
      </c>
      <c r="AA29" s="443">
        <v>1342</v>
      </c>
      <c r="AB29" s="443">
        <v>1343</v>
      </c>
      <c r="AC29" s="443">
        <v>1345</v>
      </c>
      <c r="AD29" s="443">
        <v>1346</v>
      </c>
      <c r="AE29" s="443">
        <v>1346</v>
      </c>
      <c r="AF29" s="443">
        <v>1347</v>
      </c>
      <c r="AG29" s="301">
        <f t="shared" si="0"/>
        <v>24</v>
      </c>
      <c r="AH29" s="443">
        <v>1323</v>
      </c>
      <c r="AI29" s="144">
        <v>24</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c r="A32" s="282" t="s">
        <v>77</v>
      </c>
      <c r="B32" s="443" t="s">
        <v>2815</v>
      </c>
      <c r="C32" s="443" t="s">
        <v>2815</v>
      </c>
      <c r="D32" s="443" t="s">
        <v>2815</v>
      </c>
      <c r="E32" s="443" t="s">
        <v>2815</v>
      </c>
      <c r="F32" s="443" t="s">
        <v>2815</v>
      </c>
      <c r="G32" s="443" t="s">
        <v>2815</v>
      </c>
      <c r="H32" s="443" t="s">
        <v>2815</v>
      </c>
      <c r="I32" s="443" t="s">
        <v>2815</v>
      </c>
      <c r="J32" s="443" t="s">
        <v>2815</v>
      </c>
      <c r="K32" s="443" t="s">
        <v>2815</v>
      </c>
      <c r="L32" s="443" t="s">
        <v>2815</v>
      </c>
      <c r="M32" s="443" t="s">
        <v>2815</v>
      </c>
      <c r="N32" s="443" t="s">
        <v>2815</v>
      </c>
      <c r="O32" s="443" t="s">
        <v>2815</v>
      </c>
      <c r="P32" s="443" t="s">
        <v>2815</v>
      </c>
      <c r="Q32" s="443" t="s">
        <v>2815</v>
      </c>
      <c r="R32" s="443" t="s">
        <v>2815</v>
      </c>
      <c r="S32" s="443" t="s">
        <v>2815</v>
      </c>
      <c r="T32" s="443" t="s">
        <v>2815</v>
      </c>
      <c r="U32" s="443" t="s">
        <v>2815</v>
      </c>
      <c r="V32" s="443" t="s">
        <v>2815</v>
      </c>
      <c r="W32" s="443" t="s">
        <v>2815</v>
      </c>
      <c r="X32" s="443" t="s">
        <v>2815</v>
      </c>
      <c r="Y32" s="443" t="s">
        <v>2815</v>
      </c>
      <c r="Z32" s="443" t="s">
        <v>2815</v>
      </c>
      <c r="AA32" s="443" t="s">
        <v>2815</v>
      </c>
      <c r="AB32" s="443" t="s">
        <v>2815</v>
      </c>
      <c r="AC32" s="443" t="s">
        <v>2815</v>
      </c>
      <c r="AD32" s="443" t="s">
        <v>2815</v>
      </c>
      <c r="AE32" s="443" t="s">
        <v>2815</v>
      </c>
      <c r="AF32" s="443" t="s">
        <v>2815</v>
      </c>
      <c r="AG32" s="301"/>
      <c r="AH32" s="443" t="s">
        <v>2815</v>
      </c>
    </row>
    <row r="33" spans="1:34" ht="25.5">
      <c r="A33" s="282" t="s">
        <v>80</v>
      </c>
      <c r="B33" s="443" t="s">
        <v>2815</v>
      </c>
      <c r="C33" s="443" t="s">
        <v>2815</v>
      </c>
      <c r="D33" s="443" t="s">
        <v>2815</v>
      </c>
      <c r="E33" s="443" t="s">
        <v>2815</v>
      </c>
      <c r="F33" s="443" t="s">
        <v>2815</v>
      </c>
      <c r="G33" s="443" t="s">
        <v>2815</v>
      </c>
      <c r="H33" s="443" t="s">
        <v>2815</v>
      </c>
      <c r="I33" s="443" t="s">
        <v>2815</v>
      </c>
      <c r="J33" s="443" t="s">
        <v>2815</v>
      </c>
      <c r="K33" s="443" t="s">
        <v>2815</v>
      </c>
      <c r="L33" s="443" t="s">
        <v>2815</v>
      </c>
      <c r="M33" s="443" t="s">
        <v>2815</v>
      </c>
      <c r="N33" s="443" t="s">
        <v>2815</v>
      </c>
      <c r="O33" s="443" t="s">
        <v>2815</v>
      </c>
      <c r="P33" s="443" t="s">
        <v>2815</v>
      </c>
      <c r="Q33" s="443" t="s">
        <v>2815</v>
      </c>
      <c r="R33" s="443" t="s">
        <v>2815</v>
      </c>
      <c r="S33" s="443" t="s">
        <v>2815</v>
      </c>
      <c r="T33" s="443" t="s">
        <v>2815</v>
      </c>
      <c r="U33" s="443" t="s">
        <v>2815</v>
      </c>
      <c r="V33" s="443" t="s">
        <v>2815</v>
      </c>
      <c r="W33" s="443" t="s">
        <v>2815</v>
      </c>
      <c r="X33" s="443" t="s">
        <v>2815</v>
      </c>
      <c r="Y33" s="443" t="s">
        <v>2815</v>
      </c>
      <c r="Z33" s="443" t="s">
        <v>2815</v>
      </c>
      <c r="AA33" s="443" t="s">
        <v>2815</v>
      </c>
      <c r="AB33" s="443" t="s">
        <v>2815</v>
      </c>
      <c r="AC33" s="443" t="s">
        <v>2815</v>
      </c>
      <c r="AD33" s="443" t="s">
        <v>2815</v>
      </c>
      <c r="AE33" s="443" t="s">
        <v>2815</v>
      </c>
      <c r="AF33" s="443" t="s">
        <v>2815</v>
      </c>
      <c r="AG33" s="301"/>
      <c r="AH33" s="443" t="s">
        <v>2815</v>
      </c>
    </row>
    <row r="34" spans="1:34" ht="15.75" thickBot="1">
      <c r="A34" s="310" t="s">
        <v>81</v>
      </c>
      <c r="B34" s="446" t="s">
        <v>2816</v>
      </c>
      <c r="C34" s="446" t="s">
        <v>2816</v>
      </c>
      <c r="D34" s="446" t="s">
        <v>2816</v>
      </c>
      <c r="E34" s="446" t="s">
        <v>2816</v>
      </c>
      <c r="F34" s="446" t="s">
        <v>2816</v>
      </c>
      <c r="G34" s="446" t="s">
        <v>2816</v>
      </c>
      <c r="H34" s="446" t="s">
        <v>2816</v>
      </c>
      <c r="I34" s="446" t="s">
        <v>2816</v>
      </c>
      <c r="J34" s="446" t="s">
        <v>2816</v>
      </c>
      <c r="K34" s="446" t="s">
        <v>2816</v>
      </c>
      <c r="L34" s="446" t="s">
        <v>2816</v>
      </c>
      <c r="M34" s="446" t="s">
        <v>2816</v>
      </c>
      <c r="N34" s="446" t="s">
        <v>2816</v>
      </c>
      <c r="O34" s="446" t="s">
        <v>2816</v>
      </c>
      <c r="P34" s="446" t="s">
        <v>2816</v>
      </c>
      <c r="Q34" s="446" t="s">
        <v>2816</v>
      </c>
      <c r="R34" s="446" t="s">
        <v>2816</v>
      </c>
      <c r="S34" s="446" t="s">
        <v>2816</v>
      </c>
      <c r="T34" s="446" t="s">
        <v>2816</v>
      </c>
      <c r="U34" s="446" t="s">
        <v>2816</v>
      </c>
      <c r="V34" s="446" t="s">
        <v>2816</v>
      </c>
      <c r="W34" s="446" t="s">
        <v>2816</v>
      </c>
      <c r="X34" s="446" t="s">
        <v>2816</v>
      </c>
      <c r="Y34" s="446" t="s">
        <v>2816</v>
      </c>
      <c r="Z34" s="446" t="s">
        <v>2816</v>
      </c>
      <c r="AA34" s="446" t="s">
        <v>2816</v>
      </c>
      <c r="AB34" s="446" t="s">
        <v>2816</v>
      </c>
      <c r="AC34" s="446" t="s">
        <v>2816</v>
      </c>
      <c r="AD34" s="446" t="s">
        <v>2816</v>
      </c>
      <c r="AE34" s="446" t="s">
        <v>2816</v>
      </c>
      <c r="AF34" s="446" t="s">
        <v>2816</v>
      </c>
      <c r="AG34" s="301"/>
      <c r="AH34" s="446" t="s">
        <v>2816</v>
      </c>
    </row>
  </sheetData>
  <mergeCells count="1">
    <mergeCell ref="A1:AH1"/>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B13F-1C7A-4BCD-9880-FFF3CDD11F60}">
  <dimension ref="A1:AJ34"/>
  <sheetViews>
    <sheetView workbookViewId="0">
      <selection activeCell="H19" sqref="H19"/>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1" width="12.85546875" style="144" customWidth="1"/>
    <col min="32" max="32" width="15.710937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45901</v>
      </c>
      <c r="C2" s="281">
        <v>45902</v>
      </c>
      <c r="D2" s="281">
        <v>45903</v>
      </c>
      <c r="E2" s="281">
        <v>45904</v>
      </c>
      <c r="F2" s="281">
        <v>45905</v>
      </c>
      <c r="G2" s="281">
        <v>45906</v>
      </c>
      <c r="H2" s="281">
        <v>45907</v>
      </c>
      <c r="I2" s="281">
        <v>45908</v>
      </c>
      <c r="J2" s="281">
        <v>45909</v>
      </c>
      <c r="K2" s="281">
        <v>45910</v>
      </c>
      <c r="L2" s="281">
        <v>45911</v>
      </c>
      <c r="M2" s="281">
        <v>45912</v>
      </c>
      <c r="N2" s="281">
        <v>45913</v>
      </c>
      <c r="O2" s="281">
        <v>45914</v>
      </c>
      <c r="P2" s="281">
        <v>45915</v>
      </c>
      <c r="Q2" s="281">
        <v>45916</v>
      </c>
      <c r="R2" s="281">
        <v>45917</v>
      </c>
      <c r="S2" s="281">
        <v>45918</v>
      </c>
      <c r="T2" s="281">
        <v>45919</v>
      </c>
      <c r="U2" s="281">
        <v>45920</v>
      </c>
      <c r="V2" s="281">
        <v>45921</v>
      </c>
      <c r="W2" s="281">
        <v>45922</v>
      </c>
      <c r="X2" s="281">
        <v>45923</v>
      </c>
      <c r="Y2" s="281">
        <v>45924</v>
      </c>
      <c r="Z2" s="281">
        <v>45925</v>
      </c>
      <c r="AA2" s="281">
        <v>45926</v>
      </c>
      <c r="AB2" s="281">
        <v>45927</v>
      </c>
      <c r="AC2" s="281">
        <v>45928</v>
      </c>
      <c r="AD2" s="281">
        <v>45929</v>
      </c>
      <c r="AE2" s="281">
        <v>45930</v>
      </c>
      <c r="AF2" s="281"/>
      <c r="AG2" s="281">
        <v>45900</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20">
        <v>507143</v>
      </c>
      <c r="C4" s="420">
        <v>507395</v>
      </c>
      <c r="D4" s="420">
        <v>507646</v>
      </c>
      <c r="E4" s="420">
        <v>507896</v>
      </c>
      <c r="F4" s="420">
        <v>508134</v>
      </c>
      <c r="G4" s="420">
        <v>508375</v>
      </c>
      <c r="H4" s="420">
        <v>508612</v>
      </c>
      <c r="I4" s="420">
        <v>508861</v>
      </c>
      <c r="J4" s="420">
        <v>509111</v>
      </c>
      <c r="K4" s="420">
        <v>509358</v>
      </c>
      <c r="L4" s="420">
        <v>509605</v>
      </c>
      <c r="M4" s="420">
        <v>509846</v>
      </c>
      <c r="N4" s="420">
        <v>510084</v>
      </c>
      <c r="O4" s="420">
        <v>510331</v>
      </c>
      <c r="P4" s="420">
        <v>510586</v>
      </c>
      <c r="Q4" s="420">
        <v>510843</v>
      </c>
      <c r="R4" s="420">
        <v>511100</v>
      </c>
      <c r="S4" s="420">
        <v>511350</v>
      </c>
      <c r="T4" s="420">
        <v>511594</v>
      </c>
      <c r="U4" s="420">
        <v>511847</v>
      </c>
      <c r="V4" s="420">
        <v>512086</v>
      </c>
      <c r="W4" s="420">
        <v>512335</v>
      </c>
      <c r="X4" s="420">
        <v>512584</v>
      </c>
      <c r="Y4" s="420">
        <v>512838</v>
      </c>
      <c r="Z4" s="420">
        <v>513077</v>
      </c>
      <c r="AA4" s="420">
        <v>513314</v>
      </c>
      <c r="AB4" s="420">
        <v>513549</v>
      </c>
      <c r="AC4" s="420">
        <v>513809</v>
      </c>
      <c r="AD4" s="420">
        <v>514035</v>
      </c>
      <c r="AE4" s="420">
        <v>514284</v>
      </c>
      <c r="AF4" s="290"/>
      <c r="AG4" s="420">
        <v>506890</v>
      </c>
      <c r="AH4" s="288"/>
    </row>
    <row r="5" spans="1:36" ht="20.100000000000001" customHeight="1">
      <c r="A5" s="285" t="s">
        <v>55</v>
      </c>
      <c r="B5" s="420">
        <v>14210888</v>
      </c>
      <c r="C5" s="420">
        <v>14217948</v>
      </c>
      <c r="D5" s="420">
        <v>14225064</v>
      </c>
      <c r="E5" s="420">
        <v>14232069</v>
      </c>
      <c r="F5" s="420">
        <v>14238753</v>
      </c>
      <c r="G5" s="420">
        <v>14245069</v>
      </c>
      <c r="H5" s="420">
        <v>14251223</v>
      </c>
      <c r="I5" s="420">
        <v>14258296</v>
      </c>
      <c r="J5" s="420">
        <v>14265410</v>
      </c>
      <c r="K5" s="420">
        <v>14272465</v>
      </c>
      <c r="L5" s="420">
        <v>14279438</v>
      </c>
      <c r="M5" s="420">
        <v>14286089</v>
      </c>
      <c r="N5" s="420">
        <v>14292141</v>
      </c>
      <c r="O5" s="420">
        <v>14298331</v>
      </c>
      <c r="P5" s="420">
        <v>14305449</v>
      </c>
      <c r="Q5" s="420">
        <v>14312348</v>
      </c>
      <c r="R5" s="420">
        <v>14319431</v>
      </c>
      <c r="S5" s="420">
        <v>14326396</v>
      </c>
      <c r="T5" s="420">
        <v>14332934</v>
      </c>
      <c r="U5" s="420">
        <v>14339153</v>
      </c>
      <c r="V5" s="420">
        <v>14345084</v>
      </c>
      <c r="W5" s="420">
        <v>14352087</v>
      </c>
      <c r="X5" s="420">
        <v>14359148</v>
      </c>
      <c r="Y5" s="420">
        <v>14366278</v>
      </c>
      <c r="Z5" s="420">
        <v>14373684</v>
      </c>
      <c r="AA5" s="420">
        <v>14380556</v>
      </c>
      <c r="AB5" s="420">
        <v>14386640</v>
      </c>
      <c r="AC5" s="420">
        <v>14393598</v>
      </c>
      <c r="AD5" s="420">
        <v>14399776</v>
      </c>
      <c r="AE5" s="420">
        <v>14406809</v>
      </c>
      <c r="AF5" s="290"/>
      <c r="AG5" s="420">
        <v>14203893</v>
      </c>
      <c r="AH5" s="288"/>
    </row>
    <row r="6" spans="1:36" ht="20.100000000000001" customHeight="1">
      <c r="A6" s="285" t="s">
        <v>56</v>
      </c>
      <c r="B6" s="420">
        <v>6564016</v>
      </c>
      <c r="C6" s="420">
        <v>6567124</v>
      </c>
      <c r="D6" s="420">
        <v>6570242</v>
      </c>
      <c r="E6" s="420">
        <v>6573392</v>
      </c>
      <c r="F6" s="420">
        <v>6576334</v>
      </c>
      <c r="G6" s="420">
        <v>6578904</v>
      </c>
      <c r="H6" s="420">
        <v>6581584</v>
      </c>
      <c r="I6" s="420">
        <v>6584805</v>
      </c>
      <c r="J6" s="420">
        <v>6587888</v>
      </c>
      <c r="K6" s="420">
        <v>6591017</v>
      </c>
      <c r="L6" s="420">
        <v>6594077</v>
      </c>
      <c r="M6" s="420">
        <v>6596948</v>
      </c>
      <c r="N6" s="420">
        <v>6599488</v>
      </c>
      <c r="O6" s="420">
        <v>6602273</v>
      </c>
      <c r="P6" s="420">
        <v>6605415</v>
      </c>
      <c r="Q6" s="420">
        <v>6608303</v>
      </c>
      <c r="R6" s="420">
        <v>6611337</v>
      </c>
      <c r="S6" s="420">
        <v>6614214</v>
      </c>
      <c r="T6" s="420">
        <v>6617020</v>
      </c>
      <c r="U6" s="420">
        <v>6619667</v>
      </c>
      <c r="V6" s="420">
        <v>6622362</v>
      </c>
      <c r="W6" s="420">
        <v>6625424</v>
      </c>
      <c r="X6" s="420">
        <v>6628623</v>
      </c>
      <c r="Y6" s="420">
        <v>6632383</v>
      </c>
      <c r="Z6" s="420">
        <v>6635411</v>
      </c>
      <c r="AA6" s="420">
        <v>6638401</v>
      </c>
      <c r="AB6" s="420">
        <v>6640803</v>
      </c>
      <c r="AC6" s="420">
        <v>6643707</v>
      </c>
      <c r="AD6" s="420">
        <v>6646518</v>
      </c>
      <c r="AE6" s="420">
        <v>6649685</v>
      </c>
      <c r="AF6" s="290"/>
      <c r="AG6" s="420">
        <v>6560923</v>
      </c>
      <c r="AH6" s="288"/>
    </row>
    <row r="7" spans="1:36" ht="20.100000000000001" customHeight="1">
      <c r="A7" s="285" t="s">
        <v>57</v>
      </c>
      <c r="B7" s="420">
        <v>1423725</v>
      </c>
      <c r="C7" s="420">
        <v>1423805</v>
      </c>
      <c r="D7" s="420">
        <v>1424542</v>
      </c>
      <c r="E7" s="420">
        <v>1425817</v>
      </c>
      <c r="F7" s="420">
        <v>1425893</v>
      </c>
      <c r="G7" s="420">
        <v>1425977</v>
      </c>
      <c r="H7" s="420">
        <v>1433318</v>
      </c>
      <c r="I7" s="420">
        <v>1437964</v>
      </c>
      <c r="J7" s="420">
        <v>1440413</v>
      </c>
      <c r="K7" s="420">
        <v>1447187</v>
      </c>
      <c r="L7" s="420">
        <v>1452918</v>
      </c>
      <c r="M7" s="420">
        <v>1460391</v>
      </c>
      <c r="N7" s="420">
        <v>1465552</v>
      </c>
      <c r="O7" s="420">
        <v>1477326</v>
      </c>
      <c r="P7" s="420">
        <v>1493638</v>
      </c>
      <c r="Q7" s="420">
        <v>1508807</v>
      </c>
      <c r="R7" s="420">
        <v>1522978</v>
      </c>
      <c r="S7" s="420">
        <v>1536875</v>
      </c>
      <c r="T7" s="420">
        <v>1548806</v>
      </c>
      <c r="U7" s="420">
        <v>1561075</v>
      </c>
      <c r="V7" s="420">
        <v>1570253</v>
      </c>
      <c r="W7" s="420">
        <v>1578714</v>
      </c>
      <c r="X7" s="420">
        <v>1588565</v>
      </c>
      <c r="Y7" s="420">
        <v>1595715</v>
      </c>
      <c r="Z7" s="420">
        <v>1604520</v>
      </c>
      <c r="AA7" s="420">
        <v>1613963</v>
      </c>
      <c r="AB7" s="420">
        <v>1624912</v>
      </c>
      <c r="AC7" s="420">
        <v>1625196</v>
      </c>
      <c r="AD7" s="420">
        <v>1625267</v>
      </c>
      <c r="AE7" s="420">
        <v>1625346</v>
      </c>
      <c r="AF7" s="290"/>
      <c r="AG7" s="420">
        <v>1423646</v>
      </c>
      <c r="AH7" s="288"/>
    </row>
    <row r="8" spans="1:36" ht="20.100000000000001" customHeight="1">
      <c r="A8" s="285" t="s">
        <v>58</v>
      </c>
      <c r="B8" s="420">
        <v>1363845</v>
      </c>
      <c r="C8" s="420">
        <v>1377975</v>
      </c>
      <c r="D8" s="420">
        <v>1390497</v>
      </c>
      <c r="E8" s="420">
        <v>1403759</v>
      </c>
      <c r="F8" s="420">
        <v>1417126</v>
      </c>
      <c r="G8" s="420">
        <v>1432578</v>
      </c>
      <c r="H8" s="420">
        <v>1438436</v>
      </c>
      <c r="I8" s="420">
        <v>1446292</v>
      </c>
      <c r="J8" s="420">
        <v>1455496</v>
      </c>
      <c r="K8" s="420">
        <v>1463930</v>
      </c>
      <c r="L8" s="420">
        <v>1473153</v>
      </c>
      <c r="M8" s="420">
        <v>1480987</v>
      </c>
      <c r="N8" s="420">
        <v>1490386</v>
      </c>
      <c r="O8" s="420">
        <v>1490871</v>
      </c>
      <c r="P8" s="420">
        <v>1490952</v>
      </c>
      <c r="Q8" s="420">
        <v>1491032</v>
      </c>
      <c r="R8" s="420">
        <v>1491115</v>
      </c>
      <c r="S8" s="420">
        <v>1491196</v>
      </c>
      <c r="T8" s="420">
        <v>1491273</v>
      </c>
      <c r="U8" s="420">
        <v>1491816</v>
      </c>
      <c r="V8" s="420">
        <v>1496162</v>
      </c>
      <c r="W8" s="420">
        <v>1503575</v>
      </c>
      <c r="X8" s="420">
        <v>1507322</v>
      </c>
      <c r="Y8" s="420">
        <v>1513262</v>
      </c>
      <c r="Z8" s="420">
        <v>1517668</v>
      </c>
      <c r="AA8" s="420">
        <v>1519298</v>
      </c>
      <c r="AB8" s="420">
        <v>1519380</v>
      </c>
      <c r="AC8" s="420">
        <v>1530782</v>
      </c>
      <c r="AD8" s="420">
        <v>1541042</v>
      </c>
      <c r="AE8" s="420">
        <v>1551567</v>
      </c>
      <c r="AF8" s="290"/>
      <c r="AG8" s="420">
        <v>1346649</v>
      </c>
      <c r="AH8" s="288"/>
    </row>
    <row r="9" spans="1:36" ht="20.100000000000001" customHeight="1">
      <c r="A9" s="285" t="s">
        <v>59</v>
      </c>
      <c r="B9" s="420">
        <v>1902221</v>
      </c>
      <c r="C9" s="420">
        <v>1909768</v>
      </c>
      <c r="D9" s="420">
        <v>1916859</v>
      </c>
      <c r="E9" s="420">
        <v>1926018</v>
      </c>
      <c r="F9" s="420">
        <v>1933957</v>
      </c>
      <c r="G9" s="420">
        <v>1943888</v>
      </c>
      <c r="H9" s="420">
        <v>1951495</v>
      </c>
      <c r="I9" s="420">
        <v>1958922</v>
      </c>
      <c r="J9" s="420">
        <v>1966036</v>
      </c>
      <c r="K9" s="420">
        <v>1975657</v>
      </c>
      <c r="L9" s="420">
        <v>1984700</v>
      </c>
      <c r="M9" s="420">
        <v>1994540</v>
      </c>
      <c r="N9" s="420">
        <v>2003052</v>
      </c>
      <c r="O9" s="420">
        <v>2008963</v>
      </c>
      <c r="P9" s="420">
        <v>2019071</v>
      </c>
      <c r="Q9" s="420">
        <v>2027645</v>
      </c>
      <c r="R9" s="420">
        <v>2035767</v>
      </c>
      <c r="S9" s="420">
        <v>2043790</v>
      </c>
      <c r="T9" s="420">
        <v>2051233</v>
      </c>
      <c r="U9" s="420">
        <v>2057479</v>
      </c>
      <c r="V9" s="420">
        <v>2065754</v>
      </c>
      <c r="W9" s="420">
        <v>2076072</v>
      </c>
      <c r="X9" s="420">
        <v>2084145</v>
      </c>
      <c r="Y9" s="420">
        <v>2092198</v>
      </c>
      <c r="Z9" s="420">
        <v>2101034</v>
      </c>
      <c r="AA9" s="420">
        <v>2108261</v>
      </c>
      <c r="AB9" s="420">
        <v>2115004</v>
      </c>
      <c r="AC9" s="420">
        <v>2122602</v>
      </c>
      <c r="AD9" s="420">
        <v>2129964</v>
      </c>
      <c r="AE9" s="420">
        <v>2136836</v>
      </c>
      <c r="AF9" s="290"/>
      <c r="AG9" s="420">
        <v>1892221</v>
      </c>
      <c r="AH9" s="288"/>
    </row>
    <row r="10" spans="1:36" ht="20.100000000000001" customHeight="1">
      <c r="A10" s="285" t="s">
        <v>60</v>
      </c>
      <c r="B10" s="420">
        <v>9054833</v>
      </c>
      <c r="C10" s="420">
        <v>9058712</v>
      </c>
      <c r="D10" s="420">
        <v>9062603</v>
      </c>
      <c r="E10" s="420">
        <v>9066414</v>
      </c>
      <c r="F10" s="420">
        <v>9070015</v>
      </c>
      <c r="G10" s="420">
        <v>9072558</v>
      </c>
      <c r="H10" s="420">
        <v>9075553</v>
      </c>
      <c r="I10" s="420">
        <v>9079374</v>
      </c>
      <c r="J10" s="420">
        <v>9083121</v>
      </c>
      <c r="K10" s="420">
        <v>9086070</v>
      </c>
      <c r="L10" s="420">
        <v>9090808</v>
      </c>
      <c r="M10" s="420">
        <v>9094528</v>
      </c>
      <c r="N10" s="420">
        <v>9097060</v>
      </c>
      <c r="O10" s="420">
        <v>9100040</v>
      </c>
      <c r="P10" s="420">
        <v>9103835</v>
      </c>
      <c r="Q10" s="420">
        <v>9107858</v>
      </c>
      <c r="R10" s="420">
        <v>9111862</v>
      </c>
      <c r="S10" s="420">
        <v>9115687</v>
      </c>
      <c r="T10" s="420">
        <v>9119560</v>
      </c>
      <c r="U10" s="420">
        <v>9122975</v>
      </c>
      <c r="V10" s="420">
        <v>9125996</v>
      </c>
      <c r="W10" s="420">
        <v>9129720</v>
      </c>
      <c r="X10" s="420">
        <v>9133481</v>
      </c>
      <c r="Y10" s="420">
        <v>9137298</v>
      </c>
      <c r="Z10" s="459">
        <v>9141100</v>
      </c>
      <c r="AA10" s="420">
        <v>9144709</v>
      </c>
      <c r="AB10" s="420">
        <v>9147405</v>
      </c>
      <c r="AC10" s="420">
        <v>9150808</v>
      </c>
      <c r="AD10" s="420">
        <v>9154011</v>
      </c>
      <c r="AE10" s="420">
        <v>9157622</v>
      </c>
      <c r="AF10" s="290"/>
      <c r="AG10" s="420">
        <v>9051079</v>
      </c>
      <c r="AH10" s="288"/>
    </row>
    <row r="11" spans="1:36" ht="22.5" customHeight="1">
      <c r="A11" s="285" t="s">
        <v>61</v>
      </c>
      <c r="B11" s="420">
        <v>345682</v>
      </c>
      <c r="C11" s="420">
        <v>345825</v>
      </c>
      <c r="D11" s="420">
        <v>345964</v>
      </c>
      <c r="E11" s="420">
        <v>346104</v>
      </c>
      <c r="F11" s="420">
        <v>346234</v>
      </c>
      <c r="G11" s="420">
        <v>346340</v>
      </c>
      <c r="H11" s="420">
        <v>346448</v>
      </c>
      <c r="I11" s="420">
        <v>346579</v>
      </c>
      <c r="J11" s="420">
        <v>346715</v>
      </c>
      <c r="K11" s="420">
        <v>346849</v>
      </c>
      <c r="L11" s="420">
        <v>346983</v>
      </c>
      <c r="M11" s="420">
        <v>347112</v>
      </c>
      <c r="N11" s="420">
        <v>347221</v>
      </c>
      <c r="O11" s="420">
        <v>347337</v>
      </c>
      <c r="P11" s="420">
        <v>347469</v>
      </c>
      <c r="Q11" s="420">
        <v>347601</v>
      </c>
      <c r="R11" s="420">
        <v>347737</v>
      </c>
      <c r="S11" s="420">
        <v>347870</v>
      </c>
      <c r="T11" s="420">
        <v>347994</v>
      </c>
      <c r="U11" s="420">
        <v>348094</v>
      </c>
      <c r="V11" s="420">
        <v>348195</v>
      </c>
      <c r="W11" s="420">
        <v>348326</v>
      </c>
      <c r="X11" s="420">
        <v>348464</v>
      </c>
      <c r="Y11" s="420">
        <v>348606</v>
      </c>
      <c r="Z11" s="420">
        <v>348741</v>
      </c>
      <c r="AA11" s="420">
        <v>348871</v>
      </c>
      <c r="AB11" s="420">
        <v>348973</v>
      </c>
      <c r="AC11" s="420">
        <v>349103</v>
      </c>
      <c r="AD11" s="420">
        <v>349224</v>
      </c>
      <c r="AE11" s="420">
        <v>349359</v>
      </c>
      <c r="AF11" s="290"/>
      <c r="AG11" s="420">
        <v>345537</v>
      </c>
      <c r="AH11" s="288"/>
    </row>
    <row r="12" spans="1:36"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07"/>
      <c r="AG12" s="420"/>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38334</v>
      </c>
      <c r="C14" s="409">
        <v>38504</v>
      </c>
      <c r="D14" s="409">
        <v>38611</v>
      </c>
      <c r="E14" s="409">
        <v>38712</v>
      </c>
      <c r="F14" s="409">
        <v>38804</v>
      </c>
      <c r="G14" s="409">
        <v>38857</v>
      </c>
      <c r="H14" s="409">
        <v>38951</v>
      </c>
      <c r="I14" s="409">
        <v>39073</v>
      </c>
      <c r="J14" s="409">
        <v>39184</v>
      </c>
      <c r="K14" s="409">
        <v>39299</v>
      </c>
      <c r="L14" s="409">
        <v>39415</v>
      </c>
      <c r="M14" s="460">
        <v>39482</v>
      </c>
      <c r="N14" s="409">
        <v>39548</v>
      </c>
      <c r="O14" s="409">
        <v>39651</v>
      </c>
      <c r="P14" s="409">
        <v>39769</v>
      </c>
      <c r="Q14" s="409">
        <v>39868</v>
      </c>
      <c r="R14" s="409">
        <v>39973</v>
      </c>
      <c r="S14" s="409">
        <v>40084</v>
      </c>
      <c r="T14" s="409">
        <v>40201</v>
      </c>
      <c r="U14" s="409">
        <v>40250</v>
      </c>
      <c r="V14" s="409">
        <v>40351</v>
      </c>
      <c r="W14" s="409">
        <v>40464</v>
      </c>
      <c r="X14" s="409">
        <v>40573</v>
      </c>
      <c r="Y14" s="409">
        <v>40695</v>
      </c>
      <c r="Z14" s="409">
        <v>40807</v>
      </c>
      <c r="AA14" s="409">
        <v>40907</v>
      </c>
      <c r="AB14" s="409">
        <v>40961</v>
      </c>
      <c r="AC14" s="409">
        <v>41057</v>
      </c>
      <c r="AD14" s="409">
        <v>41176</v>
      </c>
      <c r="AE14" s="409">
        <v>41283</v>
      </c>
      <c r="AF14" s="301">
        <f>AE14-AG14</f>
        <v>3082</v>
      </c>
      <c r="AG14" s="409">
        <v>38201</v>
      </c>
      <c r="AH14" s="299">
        <v>3082</v>
      </c>
      <c r="AI14" s="299"/>
      <c r="AJ14" s="436"/>
    </row>
    <row r="15" spans="1:36" ht="25.5">
      <c r="A15" s="282" t="s">
        <v>67</v>
      </c>
      <c r="B15" s="409">
        <v>8916</v>
      </c>
      <c r="C15" s="409">
        <v>8916</v>
      </c>
      <c r="D15" s="409">
        <v>8916</v>
      </c>
      <c r="E15" s="409">
        <v>8916</v>
      </c>
      <c r="F15" s="409">
        <v>8916</v>
      </c>
      <c r="G15" s="409">
        <v>8916</v>
      </c>
      <c r="H15" s="409">
        <v>8916</v>
      </c>
      <c r="I15" s="409">
        <v>8916</v>
      </c>
      <c r="J15" s="409">
        <v>8916</v>
      </c>
      <c r="K15" s="409">
        <v>8916</v>
      </c>
      <c r="L15" s="409">
        <v>8916</v>
      </c>
      <c r="M15" s="409">
        <v>8916</v>
      </c>
      <c r="N15" s="409">
        <v>8916</v>
      </c>
      <c r="O15" s="409">
        <v>8916</v>
      </c>
      <c r="P15" s="409">
        <v>8916</v>
      </c>
      <c r="Q15" s="409">
        <v>8916</v>
      </c>
      <c r="R15" s="409">
        <v>8916</v>
      </c>
      <c r="S15" s="409">
        <v>8916</v>
      </c>
      <c r="T15" s="409">
        <v>8916</v>
      </c>
      <c r="U15" s="409">
        <v>8916</v>
      </c>
      <c r="V15" s="409">
        <v>8916</v>
      </c>
      <c r="W15" s="409">
        <v>8916</v>
      </c>
      <c r="X15" s="409">
        <v>8916</v>
      </c>
      <c r="Y15" s="409">
        <v>8916</v>
      </c>
      <c r="Z15" s="409">
        <v>8916</v>
      </c>
      <c r="AA15" s="409">
        <v>8916</v>
      </c>
      <c r="AB15" s="409">
        <v>8916</v>
      </c>
      <c r="AC15" s="409">
        <v>8916</v>
      </c>
      <c r="AD15" s="409">
        <v>8916</v>
      </c>
      <c r="AE15" s="409">
        <v>8916</v>
      </c>
      <c r="AF15" s="301">
        <f t="shared" ref="AF15:AF29" si="0">AE15-AG15</f>
        <v>0</v>
      </c>
      <c r="AG15" s="409">
        <v>8916</v>
      </c>
      <c r="AH15" s="144">
        <v>0</v>
      </c>
      <c r="AI15" s="299"/>
      <c r="AJ15" s="411"/>
    </row>
    <row r="16" spans="1:36"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301">
        <f t="shared" si="0"/>
        <v>0</v>
      </c>
      <c r="AG16" s="409">
        <v>12874</v>
      </c>
      <c r="AH16" s="144">
        <v>0</v>
      </c>
      <c r="AI16" s="299"/>
      <c r="AJ16" s="411"/>
    </row>
    <row r="17" spans="1:36"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301">
        <f t="shared" si="0"/>
        <v>0</v>
      </c>
      <c r="AG17" s="437"/>
      <c r="AJ17" s="411"/>
    </row>
    <row r="18" spans="1:36">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301"/>
      <c r="AG18" s="439" t="s">
        <v>64</v>
      </c>
      <c r="AJ18" s="412"/>
    </row>
    <row r="19" spans="1:36" ht="25.5">
      <c r="A19" s="282" t="s">
        <v>70</v>
      </c>
      <c r="B19" s="413">
        <v>70</v>
      </c>
      <c r="C19" s="413">
        <v>71</v>
      </c>
      <c r="D19" s="413">
        <v>72</v>
      </c>
      <c r="E19" s="413">
        <v>74</v>
      </c>
      <c r="F19" s="413">
        <v>75</v>
      </c>
      <c r="G19" s="413">
        <v>76</v>
      </c>
      <c r="H19" s="413">
        <v>77</v>
      </c>
      <c r="I19" s="413">
        <v>79</v>
      </c>
      <c r="J19" s="413">
        <v>80</v>
      </c>
      <c r="K19" s="413">
        <v>81</v>
      </c>
      <c r="L19" s="413">
        <v>82</v>
      </c>
      <c r="M19" s="413">
        <v>82</v>
      </c>
      <c r="N19" s="413">
        <v>85</v>
      </c>
      <c r="O19" s="413">
        <v>86</v>
      </c>
      <c r="P19" s="413">
        <v>87</v>
      </c>
      <c r="Q19" s="413">
        <v>89</v>
      </c>
      <c r="R19" s="413">
        <v>90</v>
      </c>
      <c r="S19" s="413">
        <v>91</v>
      </c>
      <c r="T19" s="413">
        <v>92</v>
      </c>
      <c r="U19" s="413">
        <v>93</v>
      </c>
      <c r="V19" s="413">
        <v>94</v>
      </c>
      <c r="W19" s="413">
        <v>95</v>
      </c>
      <c r="X19" s="413">
        <v>97</v>
      </c>
      <c r="Y19" s="413">
        <v>98</v>
      </c>
      <c r="Z19" s="413">
        <v>99</v>
      </c>
      <c r="AA19" s="413">
        <v>100</v>
      </c>
      <c r="AB19" s="413">
        <v>102</v>
      </c>
      <c r="AC19" s="413">
        <v>103</v>
      </c>
      <c r="AD19" s="413">
        <v>104</v>
      </c>
      <c r="AE19" s="413">
        <v>105</v>
      </c>
      <c r="AF19" s="301">
        <f t="shared" si="0"/>
        <v>36</v>
      </c>
      <c r="AG19" s="413">
        <v>69</v>
      </c>
      <c r="AH19" s="307">
        <v>36</v>
      </c>
      <c r="AI19" s="307"/>
      <c r="AJ19" s="436"/>
    </row>
    <row r="20" spans="1:36" ht="25.5">
      <c r="A20" s="282" t="s">
        <v>2715</v>
      </c>
      <c r="B20" s="413">
        <v>8980396</v>
      </c>
      <c r="C20" s="413">
        <v>8980396</v>
      </c>
      <c r="D20" s="413">
        <v>8980396</v>
      </c>
      <c r="E20" s="413">
        <v>9016224</v>
      </c>
      <c r="F20" s="413">
        <v>9016224</v>
      </c>
      <c r="G20" s="413">
        <v>9065266</v>
      </c>
      <c r="H20" s="413">
        <v>9065266</v>
      </c>
      <c r="I20" s="413">
        <v>9065266</v>
      </c>
      <c r="J20" s="413">
        <v>9118200</v>
      </c>
      <c r="K20" s="413">
        <v>9118200</v>
      </c>
      <c r="L20" s="413">
        <v>9118200</v>
      </c>
      <c r="M20" s="413">
        <v>9157671</v>
      </c>
      <c r="N20" s="413">
        <v>9197142</v>
      </c>
      <c r="O20" s="413">
        <v>9217732</v>
      </c>
      <c r="P20" s="413">
        <v>9235317</v>
      </c>
      <c r="Q20" s="413">
        <v>9252567</v>
      </c>
      <c r="R20" s="413">
        <v>9270488</v>
      </c>
      <c r="S20" s="413">
        <v>9371702</v>
      </c>
      <c r="T20" s="413">
        <v>9371702</v>
      </c>
      <c r="U20" s="413">
        <v>9468160</v>
      </c>
      <c r="V20" s="413">
        <v>9532512</v>
      </c>
      <c r="W20" s="413">
        <v>9596664</v>
      </c>
      <c r="X20" s="413">
        <v>9696164</v>
      </c>
      <c r="Y20" s="413">
        <v>9782152</v>
      </c>
      <c r="Z20" s="413">
        <v>9868864</v>
      </c>
      <c r="AA20" s="413">
        <v>9868864</v>
      </c>
      <c r="AB20" s="413">
        <v>9868864</v>
      </c>
      <c r="AC20" s="413">
        <v>9868864</v>
      </c>
      <c r="AD20" s="413">
        <v>9939120</v>
      </c>
      <c r="AE20" s="413">
        <v>9939120</v>
      </c>
      <c r="AF20" s="301">
        <f t="shared" si="0"/>
        <v>1027700</v>
      </c>
      <c r="AG20" s="413">
        <v>8911420</v>
      </c>
      <c r="AH20" s="144">
        <v>1027700</v>
      </c>
      <c r="AI20" s="307"/>
      <c r="AJ20" s="414"/>
    </row>
    <row r="21" spans="1:36">
      <c r="A21" s="282" t="s">
        <v>72</v>
      </c>
      <c r="B21" s="409">
        <v>272990</v>
      </c>
      <c r="C21" s="409">
        <v>273296</v>
      </c>
      <c r="D21" s="409">
        <v>273552</v>
      </c>
      <c r="E21" s="409">
        <v>273731</v>
      </c>
      <c r="F21" s="409">
        <v>273849</v>
      </c>
      <c r="G21" s="409">
        <v>274139</v>
      </c>
      <c r="H21" s="409">
        <v>274537</v>
      </c>
      <c r="I21" s="409">
        <v>274851</v>
      </c>
      <c r="J21" s="409">
        <v>274851</v>
      </c>
      <c r="K21" s="409">
        <v>275457</v>
      </c>
      <c r="L21" s="409">
        <v>275744</v>
      </c>
      <c r="M21" s="409">
        <v>275936</v>
      </c>
      <c r="N21" s="409">
        <v>276127</v>
      </c>
      <c r="O21" s="409">
        <v>276368</v>
      </c>
      <c r="P21" s="409">
        <v>276601</v>
      </c>
      <c r="Q21" s="409">
        <v>276864</v>
      </c>
      <c r="R21" s="409">
        <v>277077</v>
      </c>
      <c r="S21" s="409">
        <v>277259</v>
      </c>
      <c r="T21" s="409">
        <v>277601</v>
      </c>
      <c r="U21" s="409">
        <v>277740</v>
      </c>
      <c r="V21" s="409">
        <v>277956</v>
      </c>
      <c r="W21" s="409">
        <v>278219</v>
      </c>
      <c r="X21" s="409">
        <v>278496</v>
      </c>
      <c r="Y21" s="409">
        <v>278700</v>
      </c>
      <c r="Z21" s="409">
        <v>278929</v>
      </c>
      <c r="AA21" s="409">
        <v>279165</v>
      </c>
      <c r="AB21" s="409">
        <v>279294</v>
      </c>
      <c r="AC21" s="409">
        <v>279488</v>
      </c>
      <c r="AD21" s="409">
        <v>279696</v>
      </c>
      <c r="AE21" s="409">
        <v>279909</v>
      </c>
      <c r="AF21" s="301">
        <f t="shared" si="0"/>
        <v>7165</v>
      </c>
      <c r="AG21" s="409">
        <v>272744</v>
      </c>
      <c r="AH21" s="144">
        <v>7165</v>
      </c>
      <c r="AI21" s="307"/>
      <c r="AJ21" s="415"/>
    </row>
    <row r="22" spans="1:36">
      <c r="A22" s="282" t="s">
        <v>73</v>
      </c>
      <c r="B22" s="409">
        <v>256472</v>
      </c>
      <c r="C22" s="409">
        <v>256599</v>
      </c>
      <c r="D22" s="409">
        <v>256729</v>
      </c>
      <c r="E22" s="409">
        <v>256864</v>
      </c>
      <c r="F22" s="409">
        <v>256995</v>
      </c>
      <c r="G22" s="409">
        <v>257103</v>
      </c>
      <c r="H22" s="409">
        <v>257163</v>
      </c>
      <c r="I22" s="409">
        <v>257310</v>
      </c>
      <c r="J22" s="409">
        <v>257448</v>
      </c>
      <c r="K22" s="409">
        <v>257676</v>
      </c>
      <c r="L22" s="409">
        <v>257794</v>
      </c>
      <c r="M22" s="409">
        <v>257912</v>
      </c>
      <c r="N22" s="409">
        <v>258029</v>
      </c>
      <c r="O22" s="409">
        <v>258130</v>
      </c>
      <c r="P22" s="409">
        <v>258258</v>
      </c>
      <c r="Q22" s="409">
        <v>258382</v>
      </c>
      <c r="R22" s="409">
        <v>258515</v>
      </c>
      <c r="S22" s="409">
        <v>258637</v>
      </c>
      <c r="T22" s="409">
        <v>258759</v>
      </c>
      <c r="U22" s="409">
        <v>258856</v>
      </c>
      <c r="V22" s="409">
        <v>258963</v>
      </c>
      <c r="W22" s="409">
        <v>259105</v>
      </c>
      <c r="X22" s="409">
        <v>259223</v>
      </c>
      <c r="Y22" s="409">
        <v>259342</v>
      </c>
      <c r="Z22" s="409">
        <v>259454</v>
      </c>
      <c r="AA22" s="409">
        <v>259571</v>
      </c>
      <c r="AB22" s="409">
        <v>259667</v>
      </c>
      <c r="AC22" s="409">
        <v>259768</v>
      </c>
      <c r="AD22" s="409">
        <v>259878</v>
      </c>
      <c r="AE22" s="409">
        <v>259989</v>
      </c>
      <c r="AF22" s="301">
        <f t="shared" si="0"/>
        <v>3673</v>
      </c>
      <c r="AG22" s="409">
        <v>256316</v>
      </c>
      <c r="AH22" s="144">
        <v>3673</v>
      </c>
      <c r="AI22" s="307"/>
      <c r="AJ22" s="415"/>
    </row>
    <row r="23" spans="1:36">
      <c r="A23" s="309" t="s">
        <v>136</v>
      </c>
      <c r="B23" s="409">
        <v>16278</v>
      </c>
      <c r="C23" s="409">
        <v>16295</v>
      </c>
      <c r="D23" s="409">
        <v>16308</v>
      </c>
      <c r="E23" s="409">
        <v>16319</v>
      </c>
      <c r="F23" s="409">
        <v>16331</v>
      </c>
      <c r="G23" s="409">
        <v>16331</v>
      </c>
      <c r="H23" s="409">
        <v>16334</v>
      </c>
      <c r="I23" s="409">
        <v>16346</v>
      </c>
      <c r="J23" s="409">
        <v>16358</v>
      </c>
      <c r="K23" s="409">
        <v>16378</v>
      </c>
      <c r="L23" s="409">
        <v>16384</v>
      </c>
      <c r="M23" s="409">
        <v>16390</v>
      </c>
      <c r="N23" s="409">
        <v>16396</v>
      </c>
      <c r="O23" s="409">
        <v>16398</v>
      </c>
      <c r="P23" s="409">
        <v>16412</v>
      </c>
      <c r="Q23" s="409">
        <v>16425</v>
      </c>
      <c r="R23" s="409">
        <v>16439</v>
      </c>
      <c r="S23" s="409">
        <v>16452</v>
      </c>
      <c r="T23" s="409">
        <v>16465</v>
      </c>
      <c r="U23" s="409">
        <v>16465</v>
      </c>
      <c r="V23" s="409">
        <v>16467</v>
      </c>
      <c r="W23" s="409">
        <v>16480</v>
      </c>
      <c r="X23" s="409">
        <v>16493</v>
      </c>
      <c r="Y23" s="409">
        <v>16506</v>
      </c>
      <c r="Z23" s="409">
        <v>16506</v>
      </c>
      <c r="AA23" s="409">
        <v>16530</v>
      </c>
      <c r="AB23" s="409">
        <v>16530</v>
      </c>
      <c r="AC23" s="409">
        <v>16533</v>
      </c>
      <c r="AD23" s="409">
        <v>16546</v>
      </c>
      <c r="AE23" s="409">
        <v>16559</v>
      </c>
      <c r="AF23" s="301">
        <f t="shared" si="0"/>
        <v>287</v>
      </c>
      <c r="AG23" s="409">
        <v>16272</v>
      </c>
      <c r="AH23" s="144">
        <v>287</v>
      </c>
      <c r="AI23" s="307"/>
      <c r="AJ23" s="414"/>
    </row>
    <row r="24" spans="1:36">
      <c r="A24" s="309" t="s">
        <v>139</v>
      </c>
      <c r="B24" s="409">
        <v>10924</v>
      </c>
      <c r="C24" s="409">
        <v>10937</v>
      </c>
      <c r="D24" s="409">
        <v>10950</v>
      </c>
      <c r="E24" s="409">
        <v>10960</v>
      </c>
      <c r="F24" s="409">
        <v>10977</v>
      </c>
      <c r="G24" s="409">
        <v>10981</v>
      </c>
      <c r="H24" s="409">
        <v>10987</v>
      </c>
      <c r="I24" s="409">
        <v>11001</v>
      </c>
      <c r="J24" s="409">
        <v>11020</v>
      </c>
      <c r="K24" s="409">
        <v>11031</v>
      </c>
      <c r="L24" s="409">
        <v>11040</v>
      </c>
      <c r="M24" s="409">
        <v>11051</v>
      </c>
      <c r="N24" s="409">
        <v>11062</v>
      </c>
      <c r="O24" s="409">
        <v>11072</v>
      </c>
      <c r="P24" s="409">
        <v>11084</v>
      </c>
      <c r="Q24" s="409">
        <v>11098</v>
      </c>
      <c r="R24" s="409">
        <v>11112</v>
      </c>
      <c r="S24" s="409">
        <v>11123</v>
      </c>
      <c r="T24" s="409">
        <v>11137</v>
      </c>
      <c r="U24" s="409">
        <v>11141</v>
      </c>
      <c r="V24" s="409">
        <v>11148</v>
      </c>
      <c r="W24" s="409">
        <v>11160</v>
      </c>
      <c r="X24" s="409">
        <v>11171</v>
      </c>
      <c r="Y24" s="409">
        <v>11183</v>
      </c>
      <c r="Z24" s="409">
        <v>11195</v>
      </c>
      <c r="AA24" s="409">
        <v>11204</v>
      </c>
      <c r="AB24" s="409">
        <v>11204</v>
      </c>
      <c r="AC24" s="409">
        <v>11208</v>
      </c>
      <c r="AD24" s="409">
        <v>11223</v>
      </c>
      <c r="AE24" s="409">
        <v>11237</v>
      </c>
      <c r="AF24" s="301">
        <f t="shared" si="0"/>
        <v>327</v>
      </c>
      <c r="AG24" s="409">
        <v>10910</v>
      </c>
      <c r="AH24" s="144">
        <v>327</v>
      </c>
      <c r="AI24" s="307"/>
      <c r="AJ24" s="414"/>
    </row>
    <row r="25" spans="1:36">
      <c r="A25" s="309" t="s">
        <v>142</v>
      </c>
      <c r="B25" s="409">
        <v>4424</v>
      </c>
      <c r="C25" s="409">
        <v>4428</v>
      </c>
      <c r="D25" s="409">
        <v>4434</v>
      </c>
      <c r="E25" s="409">
        <v>4438</v>
      </c>
      <c r="F25" s="409">
        <v>4444</v>
      </c>
      <c r="G25" s="409">
        <v>4444</v>
      </c>
      <c r="H25" s="409">
        <v>4444</v>
      </c>
      <c r="I25" s="409">
        <v>4449</v>
      </c>
      <c r="J25" s="409">
        <v>4455</v>
      </c>
      <c r="K25" s="409">
        <v>4467</v>
      </c>
      <c r="L25" s="409">
        <v>4472</v>
      </c>
      <c r="M25" s="409">
        <v>4475</v>
      </c>
      <c r="N25" s="409">
        <v>4477</v>
      </c>
      <c r="O25" s="409">
        <v>4478</v>
      </c>
      <c r="P25" s="409">
        <v>4483</v>
      </c>
      <c r="Q25" s="409">
        <v>4489</v>
      </c>
      <c r="R25" s="409">
        <v>4495</v>
      </c>
      <c r="S25" s="409">
        <v>4502</v>
      </c>
      <c r="T25" s="409">
        <v>4509</v>
      </c>
      <c r="U25" s="409">
        <v>4509</v>
      </c>
      <c r="V25" s="409">
        <v>4510</v>
      </c>
      <c r="W25" s="409">
        <v>4516</v>
      </c>
      <c r="X25" s="409">
        <v>4523</v>
      </c>
      <c r="Y25" s="409">
        <v>4529</v>
      </c>
      <c r="Z25" s="409">
        <v>4535</v>
      </c>
      <c r="AA25" s="409">
        <v>4542</v>
      </c>
      <c r="AB25" s="409">
        <v>4542</v>
      </c>
      <c r="AC25" s="409">
        <v>4544</v>
      </c>
      <c r="AD25" s="409">
        <v>4550</v>
      </c>
      <c r="AE25" s="409">
        <v>4554</v>
      </c>
      <c r="AF25" s="301">
        <f t="shared" si="0"/>
        <v>136</v>
      </c>
      <c r="AG25" s="409">
        <v>4418</v>
      </c>
      <c r="AH25" s="144">
        <v>136</v>
      </c>
      <c r="AI25" s="307"/>
      <c r="AJ25" s="414"/>
    </row>
    <row r="26" spans="1:36">
      <c r="A26" s="309" t="s">
        <v>145</v>
      </c>
      <c r="B26" s="409">
        <v>2733</v>
      </c>
      <c r="C26" s="409">
        <v>2737</v>
      </c>
      <c r="D26" s="409">
        <v>2741</v>
      </c>
      <c r="E26" s="409">
        <v>2744</v>
      </c>
      <c r="F26" s="409">
        <v>2747</v>
      </c>
      <c r="G26" s="409">
        <v>2747</v>
      </c>
      <c r="H26" s="409">
        <v>2748</v>
      </c>
      <c r="I26" s="409">
        <v>2758</v>
      </c>
      <c r="J26" s="409">
        <v>2761</v>
      </c>
      <c r="K26" s="409">
        <v>2764</v>
      </c>
      <c r="L26" s="409">
        <v>2767</v>
      </c>
      <c r="M26" s="409">
        <v>2768</v>
      </c>
      <c r="N26" s="409">
        <v>2769</v>
      </c>
      <c r="O26" s="409">
        <v>2778</v>
      </c>
      <c r="P26" s="409">
        <v>2781</v>
      </c>
      <c r="Q26" s="409">
        <v>2784</v>
      </c>
      <c r="R26" s="409">
        <v>2787</v>
      </c>
      <c r="S26" s="409">
        <v>2791</v>
      </c>
      <c r="T26" s="409">
        <v>2794</v>
      </c>
      <c r="U26" s="409">
        <v>2794</v>
      </c>
      <c r="V26" s="409">
        <v>2795</v>
      </c>
      <c r="W26" s="409">
        <v>2798</v>
      </c>
      <c r="X26" s="409">
        <v>2802</v>
      </c>
      <c r="Y26" s="409">
        <v>2806</v>
      </c>
      <c r="Z26" s="409">
        <v>2809</v>
      </c>
      <c r="AA26" s="409">
        <v>2812</v>
      </c>
      <c r="AB26" s="409">
        <v>2812</v>
      </c>
      <c r="AC26" s="409">
        <v>2813</v>
      </c>
      <c r="AD26" s="409">
        <v>2816</v>
      </c>
      <c r="AE26" s="409">
        <v>2820</v>
      </c>
      <c r="AF26" s="301">
        <f t="shared" si="0"/>
        <v>91</v>
      </c>
      <c r="AG26" s="409">
        <v>2729</v>
      </c>
      <c r="AH26" s="144">
        <v>91</v>
      </c>
      <c r="AI26" s="307"/>
      <c r="AJ26" s="414"/>
    </row>
    <row r="27" spans="1:36">
      <c r="A27" s="309" t="s">
        <v>148</v>
      </c>
      <c r="B27" s="409">
        <v>17043</v>
      </c>
      <c r="C27" s="409">
        <v>17058</v>
      </c>
      <c r="D27" s="409">
        <v>17074</v>
      </c>
      <c r="E27" s="409">
        <v>17089</v>
      </c>
      <c r="F27" s="409">
        <v>17105</v>
      </c>
      <c r="G27" s="409">
        <v>17105</v>
      </c>
      <c r="H27" s="409">
        <v>17108</v>
      </c>
      <c r="I27" s="409">
        <v>17121</v>
      </c>
      <c r="J27" s="409">
        <v>17136</v>
      </c>
      <c r="K27" s="409">
        <v>17150</v>
      </c>
      <c r="L27" s="409">
        <v>17178</v>
      </c>
      <c r="M27" s="409">
        <v>17185</v>
      </c>
      <c r="N27" s="409">
        <v>17191</v>
      </c>
      <c r="O27" s="409">
        <v>17195</v>
      </c>
      <c r="P27" s="409">
        <v>17209</v>
      </c>
      <c r="Q27" s="409">
        <v>17223</v>
      </c>
      <c r="R27" s="409">
        <v>17235</v>
      </c>
      <c r="S27" s="409">
        <v>17249</v>
      </c>
      <c r="T27" s="409">
        <v>17263</v>
      </c>
      <c r="U27" s="409">
        <v>17263</v>
      </c>
      <c r="V27" s="409">
        <v>17263</v>
      </c>
      <c r="W27" s="409">
        <v>17280</v>
      </c>
      <c r="X27" s="409">
        <v>17293</v>
      </c>
      <c r="Y27" s="409">
        <v>17308</v>
      </c>
      <c r="Z27" s="409">
        <v>17321</v>
      </c>
      <c r="AA27" s="409">
        <v>17334</v>
      </c>
      <c r="AB27" s="409">
        <v>17335</v>
      </c>
      <c r="AC27" s="409">
        <v>17342</v>
      </c>
      <c r="AD27" s="409">
        <v>17357</v>
      </c>
      <c r="AE27" s="409">
        <v>17369</v>
      </c>
      <c r="AF27" s="301">
        <f t="shared" si="0"/>
        <v>339</v>
      </c>
      <c r="AG27" s="409">
        <v>17030</v>
      </c>
      <c r="AH27" s="144">
        <v>339</v>
      </c>
      <c r="AI27" s="307"/>
      <c r="AJ27" s="414"/>
    </row>
    <row r="28" spans="1:36">
      <c r="A28" s="309"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43">
        <v>1330</v>
      </c>
      <c r="T28" s="443">
        <v>1330</v>
      </c>
      <c r="U28" s="443">
        <v>1330</v>
      </c>
      <c r="V28" s="443">
        <v>1330</v>
      </c>
      <c r="W28" s="443">
        <v>1330</v>
      </c>
      <c r="X28" s="443">
        <v>1330</v>
      </c>
      <c r="Y28" s="443">
        <v>1330</v>
      </c>
      <c r="Z28" s="443">
        <v>1330</v>
      </c>
      <c r="AA28" s="443">
        <v>1330</v>
      </c>
      <c r="AB28" s="443">
        <v>1330</v>
      </c>
      <c r="AC28" s="443">
        <v>1330</v>
      </c>
      <c r="AD28" s="443">
        <v>1330</v>
      </c>
      <c r="AE28" s="443">
        <v>1330</v>
      </c>
      <c r="AF28" s="301">
        <f t="shared" si="0"/>
        <v>0</v>
      </c>
      <c r="AG28" s="443">
        <v>1330</v>
      </c>
      <c r="AH28" s="144">
        <v>0</v>
      </c>
      <c r="AI28" s="307"/>
      <c r="AJ28" s="414"/>
    </row>
    <row r="29" spans="1:36">
      <c r="A29" s="309" t="s">
        <v>154</v>
      </c>
      <c r="B29" s="443">
        <v>1325</v>
      </c>
      <c r="C29" s="443">
        <v>1348</v>
      </c>
      <c r="D29" s="443">
        <v>1349</v>
      </c>
      <c r="E29" s="443">
        <v>1350</v>
      </c>
      <c r="F29" s="443">
        <v>1351</v>
      </c>
      <c r="G29" s="443">
        <v>1351</v>
      </c>
      <c r="H29" s="443">
        <v>1352</v>
      </c>
      <c r="I29" s="443">
        <v>1353</v>
      </c>
      <c r="J29" s="443">
        <v>1354</v>
      </c>
      <c r="K29" s="443">
        <v>1355</v>
      </c>
      <c r="L29" s="443">
        <v>1356</v>
      </c>
      <c r="M29" s="443">
        <v>1356</v>
      </c>
      <c r="N29" s="443">
        <v>1357</v>
      </c>
      <c r="O29" s="443">
        <v>1358</v>
      </c>
      <c r="P29" s="443">
        <v>1358</v>
      </c>
      <c r="Q29" s="443">
        <v>1358</v>
      </c>
      <c r="R29" s="443">
        <v>1361</v>
      </c>
      <c r="S29" s="443">
        <v>1362</v>
      </c>
      <c r="T29" s="443">
        <v>1363</v>
      </c>
      <c r="U29" s="443">
        <v>1363</v>
      </c>
      <c r="V29" s="443">
        <v>1364</v>
      </c>
      <c r="W29" s="443">
        <v>1365</v>
      </c>
      <c r="X29" s="443">
        <v>1366</v>
      </c>
      <c r="Y29" s="443">
        <v>1367</v>
      </c>
      <c r="Z29" s="443">
        <v>1368</v>
      </c>
      <c r="AA29" s="443">
        <v>1369</v>
      </c>
      <c r="AB29" s="443">
        <v>1369</v>
      </c>
      <c r="AC29" s="443">
        <v>1370</v>
      </c>
      <c r="AD29" s="443">
        <v>1371</v>
      </c>
      <c r="AE29" s="443">
        <v>1372</v>
      </c>
      <c r="AF29" s="301">
        <f t="shared" si="0"/>
        <v>25</v>
      </c>
      <c r="AG29" s="443">
        <v>1347</v>
      </c>
      <c r="AH29" s="144">
        <v>25</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c r="AG31" s="408" t="s">
        <v>75</v>
      </c>
    </row>
    <row r="32" spans="1:36">
      <c r="A32" s="282" t="s">
        <v>77</v>
      </c>
      <c r="B32" s="443" t="s">
        <v>2815</v>
      </c>
      <c r="C32" s="443" t="s">
        <v>2815</v>
      </c>
      <c r="D32" s="443" t="s">
        <v>2815</v>
      </c>
      <c r="E32" s="443" t="s">
        <v>2815</v>
      </c>
      <c r="F32" s="443" t="s">
        <v>2815</v>
      </c>
      <c r="G32" s="443" t="s">
        <v>2815</v>
      </c>
      <c r="H32" s="443" t="s">
        <v>2815</v>
      </c>
      <c r="I32" s="443" t="s">
        <v>2815</v>
      </c>
      <c r="J32" s="443" t="s">
        <v>2815</v>
      </c>
      <c r="K32" s="443" t="s">
        <v>2815</v>
      </c>
      <c r="L32" s="443" t="s">
        <v>2815</v>
      </c>
      <c r="M32" s="443" t="s">
        <v>2815</v>
      </c>
      <c r="N32" s="443" t="s">
        <v>2815</v>
      </c>
      <c r="O32" s="443" t="s">
        <v>2815</v>
      </c>
      <c r="P32" s="443" t="s">
        <v>2815</v>
      </c>
      <c r="Q32" s="443" t="s">
        <v>2815</v>
      </c>
      <c r="R32" s="443" t="s">
        <v>2815</v>
      </c>
      <c r="S32" s="443" t="s">
        <v>2815</v>
      </c>
      <c r="T32" s="443" t="s">
        <v>2815</v>
      </c>
      <c r="U32" s="443" t="s">
        <v>2815</v>
      </c>
      <c r="V32" s="443" t="s">
        <v>2815</v>
      </c>
      <c r="W32" s="443" t="s">
        <v>2815</v>
      </c>
      <c r="X32" s="443" t="s">
        <v>2815</v>
      </c>
      <c r="Y32" s="443" t="s">
        <v>2815</v>
      </c>
      <c r="Z32" s="443" t="s">
        <v>2815</v>
      </c>
      <c r="AA32" s="443" t="s">
        <v>2815</v>
      </c>
      <c r="AB32" s="443" t="s">
        <v>2815</v>
      </c>
      <c r="AC32" s="443" t="s">
        <v>2815</v>
      </c>
      <c r="AD32" s="443" t="s">
        <v>2815</v>
      </c>
      <c r="AE32" s="443" t="s">
        <v>2815</v>
      </c>
      <c r="AF32" s="301"/>
      <c r="AG32" s="443" t="s">
        <v>2815</v>
      </c>
    </row>
    <row r="33" spans="1:33" ht="25.5">
      <c r="A33" s="282" t="s">
        <v>80</v>
      </c>
      <c r="B33" s="443" t="s">
        <v>2815</v>
      </c>
      <c r="C33" s="443" t="s">
        <v>2815</v>
      </c>
      <c r="D33" s="443" t="s">
        <v>2815</v>
      </c>
      <c r="E33" s="443" t="s">
        <v>2815</v>
      </c>
      <c r="F33" s="443" t="s">
        <v>2815</v>
      </c>
      <c r="G33" s="443" t="s">
        <v>2815</v>
      </c>
      <c r="H33" s="443" t="s">
        <v>2815</v>
      </c>
      <c r="I33" s="443" t="s">
        <v>2815</v>
      </c>
      <c r="J33" s="443" t="s">
        <v>2815</v>
      </c>
      <c r="K33" s="443" t="s">
        <v>2815</v>
      </c>
      <c r="L33" s="443" t="s">
        <v>2815</v>
      </c>
      <c r="M33" s="443" t="s">
        <v>2815</v>
      </c>
      <c r="N33" s="443" t="s">
        <v>2815</v>
      </c>
      <c r="O33" s="443" t="s">
        <v>2815</v>
      </c>
      <c r="P33" s="443" t="s">
        <v>2815</v>
      </c>
      <c r="Q33" s="443" t="s">
        <v>2815</v>
      </c>
      <c r="R33" s="443" t="s">
        <v>2815</v>
      </c>
      <c r="S33" s="443" t="s">
        <v>2815</v>
      </c>
      <c r="T33" s="443" t="s">
        <v>2815</v>
      </c>
      <c r="U33" s="443" t="s">
        <v>2815</v>
      </c>
      <c r="V33" s="443" t="s">
        <v>2815</v>
      </c>
      <c r="W33" s="443" t="s">
        <v>2815</v>
      </c>
      <c r="X33" s="443" t="s">
        <v>2815</v>
      </c>
      <c r="Y33" s="443" t="s">
        <v>2815</v>
      </c>
      <c r="Z33" s="443" t="s">
        <v>2815</v>
      </c>
      <c r="AA33" s="443" t="s">
        <v>2815</v>
      </c>
      <c r="AB33" s="443" t="s">
        <v>2815</v>
      </c>
      <c r="AC33" s="443" t="s">
        <v>2815</v>
      </c>
      <c r="AD33" s="443" t="s">
        <v>2815</v>
      </c>
      <c r="AE33" s="443" t="s">
        <v>2815</v>
      </c>
      <c r="AF33" s="301"/>
      <c r="AG33" s="443" t="s">
        <v>2815</v>
      </c>
    </row>
    <row r="34" spans="1:33" ht="15.75" thickBot="1">
      <c r="A34" s="310" t="s">
        <v>81</v>
      </c>
      <c r="B34" s="446" t="s">
        <v>2816</v>
      </c>
      <c r="C34" s="446" t="s">
        <v>2816</v>
      </c>
      <c r="D34" s="446" t="s">
        <v>2816</v>
      </c>
      <c r="E34" s="446" t="s">
        <v>2816</v>
      </c>
      <c r="F34" s="446" t="s">
        <v>2816</v>
      </c>
      <c r="G34" s="446" t="s">
        <v>2816</v>
      </c>
      <c r="H34" s="446" t="s">
        <v>2816</v>
      </c>
      <c r="I34" s="446" t="s">
        <v>2816</v>
      </c>
      <c r="J34" s="446" t="s">
        <v>2816</v>
      </c>
      <c r="K34" s="446" t="s">
        <v>2816</v>
      </c>
      <c r="L34" s="446" t="s">
        <v>2816</v>
      </c>
      <c r="M34" s="446" t="s">
        <v>2816</v>
      </c>
      <c r="N34" s="446" t="s">
        <v>2816</v>
      </c>
      <c r="O34" s="446" t="s">
        <v>2816</v>
      </c>
      <c r="P34" s="446" t="s">
        <v>2816</v>
      </c>
      <c r="Q34" s="446" t="s">
        <v>2816</v>
      </c>
      <c r="R34" s="446" t="s">
        <v>2816</v>
      </c>
      <c r="S34" s="446" t="s">
        <v>2816</v>
      </c>
      <c r="T34" s="446" t="s">
        <v>2816</v>
      </c>
      <c r="U34" s="446" t="s">
        <v>2816</v>
      </c>
      <c r="V34" s="446" t="s">
        <v>2816</v>
      </c>
      <c r="W34" s="446" t="s">
        <v>2816</v>
      </c>
      <c r="X34" s="446" t="s">
        <v>2816</v>
      </c>
      <c r="Y34" s="446" t="s">
        <v>2816</v>
      </c>
      <c r="Z34" s="446" t="s">
        <v>2816</v>
      </c>
      <c r="AA34" s="446" t="s">
        <v>2816</v>
      </c>
      <c r="AB34" s="446" t="s">
        <v>2816</v>
      </c>
      <c r="AC34" s="446" t="s">
        <v>2816</v>
      </c>
      <c r="AD34" s="446" t="s">
        <v>2816</v>
      </c>
      <c r="AE34" s="446" t="s">
        <v>2816</v>
      </c>
      <c r="AF34" s="301"/>
      <c r="AG34" s="446" t="s">
        <v>2816</v>
      </c>
    </row>
  </sheetData>
  <mergeCells count="1">
    <mergeCell ref="A1:AG1"/>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3818-48BA-4492-ACB9-D37B5ED725F2}">
  <dimension ref="A1:AK34"/>
  <sheetViews>
    <sheetView workbookViewId="0">
      <selection sqref="A1:XFD1048576"/>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45931</v>
      </c>
      <c r="C2" s="281">
        <v>45932</v>
      </c>
      <c r="D2" s="281">
        <v>45933</v>
      </c>
      <c r="E2" s="281">
        <v>45934</v>
      </c>
      <c r="F2" s="281">
        <v>45935</v>
      </c>
      <c r="G2" s="281">
        <v>45936</v>
      </c>
      <c r="H2" s="281">
        <v>45937</v>
      </c>
      <c r="I2" s="281">
        <v>45938</v>
      </c>
      <c r="J2" s="281">
        <v>45939</v>
      </c>
      <c r="K2" s="281">
        <v>45940</v>
      </c>
      <c r="L2" s="281">
        <v>45941</v>
      </c>
      <c r="M2" s="281">
        <v>45942</v>
      </c>
      <c r="N2" s="281">
        <v>45943</v>
      </c>
      <c r="O2" s="281">
        <v>45944</v>
      </c>
      <c r="P2" s="281">
        <v>45945</v>
      </c>
      <c r="Q2" s="281">
        <v>45946</v>
      </c>
      <c r="R2" s="281">
        <v>45947</v>
      </c>
      <c r="S2" s="281">
        <v>45948</v>
      </c>
      <c r="T2" s="281">
        <v>45949</v>
      </c>
      <c r="U2" s="281">
        <v>45950</v>
      </c>
      <c r="V2" s="281">
        <v>45951</v>
      </c>
      <c r="W2" s="281">
        <v>45952</v>
      </c>
      <c r="X2" s="281">
        <v>45953</v>
      </c>
      <c r="Y2" s="281">
        <v>45954</v>
      </c>
      <c r="Z2" s="281">
        <v>45955</v>
      </c>
      <c r="AA2" s="281">
        <v>45956</v>
      </c>
      <c r="AB2" s="281">
        <v>45957</v>
      </c>
      <c r="AC2" s="281">
        <v>45958</v>
      </c>
      <c r="AD2" s="281">
        <v>45959</v>
      </c>
      <c r="AE2" s="281">
        <v>45960</v>
      </c>
      <c r="AF2" s="281">
        <v>45961</v>
      </c>
      <c r="AG2" s="281"/>
      <c r="AH2" s="281">
        <v>45930</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514534</v>
      </c>
      <c r="C4" s="420">
        <v>514785</v>
      </c>
      <c r="D4" s="420">
        <v>515023</v>
      </c>
      <c r="E4" s="420">
        <v>515270</v>
      </c>
      <c r="F4" s="420">
        <v>515504</v>
      </c>
      <c r="G4" s="420">
        <v>515749</v>
      </c>
      <c r="H4" s="420">
        <v>516002</v>
      </c>
      <c r="I4" s="420">
        <v>516253</v>
      </c>
      <c r="J4" s="420">
        <v>516481</v>
      </c>
      <c r="K4" s="420">
        <v>516713</v>
      </c>
      <c r="L4" s="420">
        <v>516949</v>
      </c>
      <c r="M4" s="420">
        <v>517175</v>
      </c>
      <c r="N4" s="420">
        <v>517418</v>
      </c>
      <c r="O4" s="420">
        <v>517665</v>
      </c>
      <c r="P4" s="420">
        <v>517912</v>
      </c>
      <c r="Q4" s="420">
        <v>518157</v>
      </c>
      <c r="R4" s="420">
        <v>518389</v>
      </c>
      <c r="S4" s="420">
        <v>518619</v>
      </c>
      <c r="T4" s="420">
        <v>518854</v>
      </c>
      <c r="U4" s="420">
        <v>519092</v>
      </c>
      <c r="V4" s="420">
        <v>519336</v>
      </c>
      <c r="W4" s="420">
        <v>519581</v>
      </c>
      <c r="X4" s="420">
        <v>519825</v>
      </c>
      <c r="Y4" s="420">
        <v>520059</v>
      </c>
      <c r="Z4" s="420">
        <v>520290</v>
      </c>
      <c r="AA4" s="420">
        <v>520525</v>
      </c>
      <c r="AB4" s="420">
        <f>520525+235</f>
        <v>520760</v>
      </c>
      <c r="AC4" s="420">
        <f>AB4+250</f>
        <v>521010</v>
      </c>
      <c r="AD4" s="420">
        <v>521261</v>
      </c>
      <c r="AE4" s="420">
        <v>521502</v>
      </c>
      <c r="AF4" s="423">
        <v>521939</v>
      </c>
      <c r="AG4" s="290"/>
      <c r="AH4" s="420">
        <v>514284</v>
      </c>
      <c r="AI4" s="288"/>
    </row>
    <row r="5" spans="1:37" ht="20.100000000000001" customHeight="1">
      <c r="A5" s="285" t="s">
        <v>55</v>
      </c>
      <c r="B5" s="420">
        <v>14413921</v>
      </c>
      <c r="C5" s="420">
        <v>14421224</v>
      </c>
      <c r="D5" s="420">
        <v>14427923</v>
      </c>
      <c r="E5" s="420">
        <v>14433771</v>
      </c>
      <c r="F5" s="420">
        <v>14439762</v>
      </c>
      <c r="G5" s="420">
        <v>14446719</v>
      </c>
      <c r="H5" s="420">
        <v>14454128</v>
      </c>
      <c r="I5" s="420">
        <v>14461791</v>
      </c>
      <c r="J5" s="420">
        <v>14468662</v>
      </c>
      <c r="K5" s="420">
        <v>14475647</v>
      </c>
      <c r="L5" s="420">
        <v>14481866</v>
      </c>
      <c r="M5" s="420">
        <v>14487990</v>
      </c>
      <c r="N5" s="420">
        <v>14495416</v>
      </c>
      <c r="O5" s="420">
        <v>14502970</v>
      </c>
      <c r="P5" s="420">
        <v>14510481</v>
      </c>
      <c r="Q5" s="420">
        <v>14517954</v>
      </c>
      <c r="R5" s="420">
        <v>14525065</v>
      </c>
      <c r="S5" s="420">
        <v>14531443</v>
      </c>
      <c r="T5" s="420">
        <v>14537925</v>
      </c>
      <c r="U5" s="420">
        <v>14545369</v>
      </c>
      <c r="V5" s="420">
        <v>14552766</v>
      </c>
      <c r="W5" s="420">
        <v>14560291</v>
      </c>
      <c r="X5" s="420">
        <v>14567758</v>
      </c>
      <c r="Y5" s="420">
        <v>14574929</v>
      </c>
      <c r="Z5" s="420">
        <v>14581188</v>
      </c>
      <c r="AA5" s="420">
        <v>14587601</v>
      </c>
      <c r="AB5" s="420">
        <f>14587601+7440</f>
        <v>14595041</v>
      </c>
      <c r="AC5" s="420">
        <v>14602577</v>
      </c>
      <c r="AD5" s="420">
        <v>14610245</v>
      </c>
      <c r="AE5" s="420">
        <v>14617714</v>
      </c>
      <c r="AF5" s="423">
        <v>14624847</v>
      </c>
      <c r="AG5" s="290"/>
      <c r="AH5" s="420">
        <v>14406809</v>
      </c>
      <c r="AI5" s="288"/>
    </row>
    <row r="6" spans="1:37" ht="20.100000000000001" customHeight="1">
      <c r="A6" s="285" t="s">
        <v>56</v>
      </c>
      <c r="B6" s="420">
        <v>6652819</v>
      </c>
      <c r="C6" s="420">
        <v>6655993</v>
      </c>
      <c r="D6" s="420">
        <v>6659044</v>
      </c>
      <c r="E6" s="420">
        <v>6661549</v>
      </c>
      <c r="F6" s="420">
        <v>6664532</v>
      </c>
      <c r="G6" s="420">
        <v>6667790</v>
      </c>
      <c r="H6" s="420">
        <v>6670903</v>
      </c>
      <c r="I6" s="420">
        <v>6673957</v>
      </c>
      <c r="J6" s="420">
        <v>6676877</v>
      </c>
      <c r="K6" s="420">
        <v>6679541</v>
      </c>
      <c r="L6" s="420">
        <v>6681886</v>
      </c>
      <c r="M6" s="420">
        <v>6684377</v>
      </c>
      <c r="N6" s="420">
        <v>6687328</v>
      </c>
      <c r="O6" s="420">
        <v>6690200</v>
      </c>
      <c r="P6" s="420">
        <v>6693301</v>
      </c>
      <c r="Q6" s="420">
        <v>6696293</v>
      </c>
      <c r="R6" s="420">
        <v>6698936</v>
      </c>
      <c r="S6" s="420">
        <v>6701249</v>
      </c>
      <c r="T6" s="420">
        <v>6703802</v>
      </c>
      <c r="U6" s="420">
        <v>6706662</v>
      </c>
      <c r="V6" s="420">
        <v>6709811</v>
      </c>
      <c r="W6" s="420">
        <v>6712736</v>
      </c>
      <c r="X6" s="420">
        <v>6715853</v>
      </c>
      <c r="Y6" s="420">
        <v>6718716</v>
      </c>
      <c r="Z6" s="420">
        <v>6721264</v>
      </c>
      <c r="AA6" s="420">
        <v>6723999</v>
      </c>
      <c r="AB6" s="420">
        <f>6723999+2854</f>
        <v>6726853</v>
      </c>
      <c r="AC6" s="420">
        <v>6730340</v>
      </c>
      <c r="AD6" s="420">
        <v>6733345</v>
      </c>
      <c r="AE6" s="420">
        <v>6736279</v>
      </c>
      <c r="AF6" s="423">
        <v>6739050</v>
      </c>
      <c r="AG6" s="290"/>
      <c r="AH6" s="420">
        <v>6649685</v>
      </c>
      <c r="AI6" s="288"/>
    </row>
    <row r="7" spans="1:37" ht="20.100000000000001" customHeight="1">
      <c r="A7" s="285" t="s">
        <v>57</v>
      </c>
      <c r="B7" s="420">
        <v>1625423</v>
      </c>
      <c r="C7" s="420">
        <v>1625501</v>
      </c>
      <c r="D7" s="420">
        <v>1625574</v>
      </c>
      <c r="E7" s="420">
        <v>1625657</v>
      </c>
      <c r="F7" s="420">
        <v>1625734</v>
      </c>
      <c r="G7" s="420">
        <v>1627014</v>
      </c>
      <c r="H7" s="420">
        <v>1628629</v>
      </c>
      <c r="I7" s="420">
        <v>1630247</v>
      </c>
      <c r="J7" s="420">
        <v>1632878</v>
      </c>
      <c r="K7" s="420">
        <v>1635829</v>
      </c>
      <c r="L7" s="420">
        <v>1635912</v>
      </c>
      <c r="M7" s="420">
        <v>1645333</v>
      </c>
      <c r="N7" s="420">
        <v>1655430</v>
      </c>
      <c r="O7" s="420">
        <v>1665847</v>
      </c>
      <c r="P7" s="420">
        <v>1676002</v>
      </c>
      <c r="Q7" s="420">
        <v>1685652</v>
      </c>
      <c r="R7" s="420">
        <v>1696472</v>
      </c>
      <c r="S7" s="420">
        <v>1705792</v>
      </c>
      <c r="T7" s="420">
        <v>1714431</v>
      </c>
      <c r="U7" s="420">
        <v>1724767</v>
      </c>
      <c r="V7" s="420">
        <v>1734563</v>
      </c>
      <c r="W7" s="420">
        <v>1744397</v>
      </c>
      <c r="X7" s="420">
        <v>1753923</v>
      </c>
      <c r="Y7" s="420">
        <v>1763263</v>
      </c>
      <c r="Z7" s="420">
        <v>1772319</v>
      </c>
      <c r="AA7" s="420">
        <v>1781743</v>
      </c>
      <c r="AB7" s="420">
        <f>1781743+10330</f>
        <v>1792073</v>
      </c>
      <c r="AC7" s="420">
        <v>1800416</v>
      </c>
      <c r="AD7" s="420">
        <v>1809380</v>
      </c>
      <c r="AE7" s="420">
        <v>1818283</v>
      </c>
      <c r="AF7" s="423">
        <v>1827280</v>
      </c>
      <c r="AG7" s="290"/>
      <c r="AH7" s="420">
        <v>1625346</v>
      </c>
      <c r="AI7" s="288"/>
    </row>
    <row r="8" spans="1:37" ht="20.100000000000001" customHeight="1">
      <c r="A8" s="285" t="s">
        <v>58</v>
      </c>
      <c r="B8" s="420">
        <v>1561513</v>
      </c>
      <c r="C8" s="420">
        <v>1571386</v>
      </c>
      <c r="D8" s="420">
        <v>1580687</v>
      </c>
      <c r="E8" s="420">
        <v>1589726</v>
      </c>
      <c r="F8" s="420">
        <v>1598667</v>
      </c>
      <c r="G8" s="420">
        <v>1608258</v>
      </c>
      <c r="H8" s="420">
        <v>1618375</v>
      </c>
      <c r="I8" s="420">
        <v>1628217</v>
      </c>
      <c r="J8" s="420">
        <v>1639819</v>
      </c>
      <c r="K8" s="420">
        <v>1645825</v>
      </c>
      <c r="L8" s="420">
        <v>1655612</v>
      </c>
      <c r="M8" s="420">
        <v>1655907</v>
      </c>
      <c r="N8" s="420">
        <v>1657711</v>
      </c>
      <c r="O8" s="420">
        <v>1659470</v>
      </c>
      <c r="P8" s="420">
        <v>1662107</v>
      </c>
      <c r="Q8" s="420">
        <v>1664039</v>
      </c>
      <c r="R8" s="420">
        <v>1664114</v>
      </c>
      <c r="S8" s="420">
        <v>1664195</v>
      </c>
      <c r="T8" s="420">
        <v>1664693</v>
      </c>
      <c r="U8" s="420">
        <v>1664773</v>
      </c>
      <c r="V8" s="420">
        <v>1664853</v>
      </c>
      <c r="W8" s="420">
        <v>1664934</v>
      </c>
      <c r="X8" s="420">
        <v>1665399</v>
      </c>
      <c r="Y8" s="420">
        <v>1665474</v>
      </c>
      <c r="Z8" s="420">
        <v>1665556</v>
      </c>
      <c r="AA8" s="420">
        <v>1665634</v>
      </c>
      <c r="AB8" s="420">
        <f>1665634+82</f>
        <v>1665716</v>
      </c>
      <c r="AC8" s="420">
        <v>1665791</v>
      </c>
      <c r="AD8" s="420">
        <v>1665870</v>
      </c>
      <c r="AE8" s="420">
        <v>1666373</v>
      </c>
      <c r="AF8" s="423">
        <v>1666449</v>
      </c>
      <c r="AG8" s="290"/>
      <c r="AH8" s="420">
        <v>1551567</v>
      </c>
      <c r="AI8" s="288"/>
    </row>
    <row r="9" spans="1:37" ht="20.100000000000001" customHeight="1">
      <c r="A9" s="285" t="s">
        <v>59</v>
      </c>
      <c r="B9" s="420">
        <v>2143372</v>
      </c>
      <c r="C9" s="420">
        <v>2149382</v>
      </c>
      <c r="D9" s="420">
        <v>2154707</v>
      </c>
      <c r="E9" s="420">
        <v>2160279</v>
      </c>
      <c r="F9" s="420">
        <v>2164739</v>
      </c>
      <c r="G9" s="420">
        <v>2172015</v>
      </c>
      <c r="H9" s="420">
        <v>2178756</v>
      </c>
      <c r="I9" s="420">
        <v>2185450</v>
      </c>
      <c r="J9" s="420">
        <v>2192661</v>
      </c>
      <c r="K9" s="420">
        <v>2200262</v>
      </c>
      <c r="L9" s="420">
        <v>2206454</v>
      </c>
      <c r="M9" s="420">
        <v>2212430</v>
      </c>
      <c r="N9" s="420">
        <v>2219471</v>
      </c>
      <c r="O9" s="420">
        <v>2226644</v>
      </c>
      <c r="P9" s="420">
        <v>2234112</v>
      </c>
      <c r="Q9" s="420">
        <v>2241449</v>
      </c>
      <c r="R9" s="420">
        <v>2248736</v>
      </c>
      <c r="S9" s="420">
        <v>2255190</v>
      </c>
      <c r="T9" s="420">
        <v>2261686</v>
      </c>
      <c r="U9" s="420">
        <v>2267899</v>
      </c>
      <c r="V9" s="420">
        <v>2274386</v>
      </c>
      <c r="W9" s="420">
        <v>2280695</v>
      </c>
      <c r="X9" s="420">
        <v>2287170</v>
      </c>
      <c r="Y9" s="420">
        <v>2293376</v>
      </c>
      <c r="Z9" s="420">
        <v>2299620</v>
      </c>
      <c r="AA9" s="420">
        <v>2305994</v>
      </c>
      <c r="AB9" s="420">
        <f>2305994+6210</f>
        <v>2312204</v>
      </c>
      <c r="AC9" s="420">
        <v>2318881</v>
      </c>
      <c r="AD9" s="420">
        <v>2325391</v>
      </c>
      <c r="AE9" s="420">
        <v>2331739</v>
      </c>
      <c r="AF9" s="423">
        <f>AE9+6205</f>
        <v>2337944</v>
      </c>
      <c r="AG9" s="290"/>
      <c r="AH9" s="420">
        <v>2136836</v>
      </c>
      <c r="AI9" s="288"/>
    </row>
    <row r="10" spans="1:37" ht="20.100000000000001" customHeight="1">
      <c r="A10" s="285" t="s">
        <v>60</v>
      </c>
      <c r="B10" s="420">
        <v>9161174</v>
      </c>
      <c r="C10" s="420">
        <v>9164754</v>
      </c>
      <c r="D10" s="460">
        <v>9162011</v>
      </c>
      <c r="E10" s="420">
        <v>9170233</v>
      </c>
      <c r="F10" s="420">
        <v>9172901</v>
      </c>
      <c r="G10" s="420">
        <v>9176424</v>
      </c>
      <c r="H10" s="420">
        <v>9180161</v>
      </c>
      <c r="I10" s="420">
        <v>9183586</v>
      </c>
      <c r="J10" s="420">
        <v>9187162</v>
      </c>
      <c r="K10" s="420">
        <v>9190422</v>
      </c>
      <c r="L10" s="420">
        <v>9192630</v>
      </c>
      <c r="M10" s="420">
        <v>9195402</v>
      </c>
      <c r="N10" s="420">
        <v>9198931</v>
      </c>
      <c r="O10" s="420">
        <v>9202553</v>
      </c>
      <c r="P10" s="420">
        <v>9206233</v>
      </c>
      <c r="Q10" s="420">
        <v>9209862</v>
      </c>
      <c r="R10" s="420">
        <v>9213211</v>
      </c>
      <c r="S10" s="420">
        <v>9215401</v>
      </c>
      <c r="T10" s="420">
        <v>9218221</v>
      </c>
      <c r="U10" s="420">
        <v>9221779</v>
      </c>
      <c r="V10" s="420">
        <v>9225489</v>
      </c>
      <c r="W10" s="420">
        <v>9229196</v>
      </c>
      <c r="X10" s="420">
        <v>9232913</v>
      </c>
      <c r="Y10" s="420">
        <v>9236481</v>
      </c>
      <c r="Z10" s="420">
        <v>9238723</v>
      </c>
      <c r="AA10" s="420">
        <v>9241552</v>
      </c>
      <c r="AB10" s="420">
        <f>9241552+3559</f>
        <v>9245111</v>
      </c>
      <c r="AC10" s="420">
        <v>9249052</v>
      </c>
      <c r="AD10" s="420">
        <v>9252701</v>
      </c>
      <c r="AE10" s="420">
        <v>9256246</v>
      </c>
      <c r="AF10" s="423">
        <v>9259841</v>
      </c>
      <c r="AG10" s="290"/>
      <c r="AH10" s="420">
        <v>9157622</v>
      </c>
      <c r="AI10" s="288"/>
    </row>
    <row r="11" spans="1:37" ht="22.5" customHeight="1">
      <c r="A11" s="285" t="s">
        <v>61</v>
      </c>
      <c r="B11" s="420">
        <v>349497</v>
      </c>
      <c r="C11" s="420">
        <v>349631</v>
      </c>
      <c r="D11" s="420">
        <v>349757</v>
      </c>
      <c r="E11" s="420">
        <v>349861</v>
      </c>
      <c r="F11" s="420">
        <v>349966</v>
      </c>
      <c r="G11" s="420">
        <v>350099</v>
      </c>
      <c r="H11" s="420">
        <v>350237</v>
      </c>
      <c r="I11" s="420">
        <v>350378</v>
      </c>
      <c r="J11" s="420">
        <v>350498</v>
      </c>
      <c r="K11" s="420">
        <v>350621</v>
      </c>
      <c r="L11" s="420">
        <v>350724</v>
      </c>
      <c r="M11" s="420">
        <v>350830</v>
      </c>
      <c r="N11" s="420">
        <v>350964</v>
      </c>
      <c r="O11" s="420">
        <v>351100</v>
      </c>
      <c r="P11" s="420">
        <v>351238</v>
      </c>
      <c r="Q11" s="420">
        <v>351373</v>
      </c>
      <c r="R11" s="420">
        <v>351500</v>
      </c>
      <c r="S11" s="420">
        <v>351599</v>
      </c>
      <c r="T11" s="420">
        <v>351711</v>
      </c>
      <c r="U11" s="420">
        <v>351844</v>
      </c>
      <c r="V11" s="420">
        <v>351975</v>
      </c>
      <c r="W11" s="420">
        <v>352107</v>
      </c>
      <c r="X11" s="420">
        <v>352239</v>
      </c>
      <c r="Y11" s="420">
        <v>352364</v>
      </c>
      <c r="Z11" s="420">
        <v>352462</v>
      </c>
      <c r="AA11" s="420">
        <v>352572</v>
      </c>
      <c r="AB11" s="420">
        <f>352572+131</f>
        <v>352703</v>
      </c>
      <c r="AC11" s="420">
        <v>352836</v>
      </c>
      <c r="AD11" s="420">
        <v>352973</v>
      </c>
      <c r="AE11" s="420">
        <v>353105</v>
      </c>
      <c r="AF11" s="423">
        <v>353232</v>
      </c>
      <c r="AG11" s="290"/>
      <c r="AH11" s="420">
        <v>349359</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08" t="s">
        <v>64</v>
      </c>
    </row>
    <row r="14" spans="1:37">
      <c r="A14" s="282" t="s">
        <v>995</v>
      </c>
      <c r="B14" s="409">
        <v>41398</v>
      </c>
      <c r="C14" s="409">
        <v>41504</v>
      </c>
      <c r="D14" s="409">
        <v>41504</v>
      </c>
      <c r="E14" s="409">
        <v>41671</v>
      </c>
      <c r="F14" s="409">
        <v>41806</v>
      </c>
      <c r="G14" s="409">
        <v>41917</v>
      </c>
      <c r="H14" s="409">
        <v>42017</v>
      </c>
      <c r="I14" s="409">
        <v>42118</v>
      </c>
      <c r="J14" s="409">
        <v>42218</v>
      </c>
      <c r="K14" s="409">
        <v>42340</v>
      </c>
      <c r="L14" s="409">
        <v>42376</v>
      </c>
      <c r="M14" s="409">
        <v>42471</v>
      </c>
      <c r="N14" s="409">
        <v>42569</v>
      </c>
      <c r="O14" s="409">
        <v>42690</v>
      </c>
      <c r="P14" s="409">
        <v>42809</v>
      </c>
      <c r="Q14" s="409">
        <v>42970</v>
      </c>
      <c r="R14" s="409">
        <v>43094</v>
      </c>
      <c r="S14" s="409">
        <v>43135</v>
      </c>
      <c r="T14" s="409">
        <v>43247</v>
      </c>
      <c r="U14" s="409">
        <v>43354</v>
      </c>
      <c r="V14" s="409">
        <v>43452</v>
      </c>
      <c r="W14" s="409">
        <v>43540</v>
      </c>
      <c r="X14" s="409">
        <v>43645</v>
      </c>
      <c r="Y14" s="409">
        <v>43721</v>
      </c>
      <c r="Z14" s="409">
        <v>43805</v>
      </c>
      <c r="AA14" s="409">
        <v>43912</v>
      </c>
      <c r="AB14" s="409">
        <v>44012</v>
      </c>
      <c r="AC14" s="409">
        <v>44119</v>
      </c>
      <c r="AD14" s="409">
        <v>44217</v>
      </c>
      <c r="AE14" s="409">
        <v>44319</v>
      </c>
      <c r="AF14" s="409">
        <f>AE14+107</f>
        <v>44426</v>
      </c>
      <c r="AG14" s="301">
        <f>AF14-AH14</f>
        <v>3143</v>
      </c>
      <c r="AH14" s="409">
        <v>41283</v>
      </c>
      <c r="AI14" s="299">
        <v>3143</v>
      </c>
      <c r="AJ14" s="299"/>
      <c r="AK14" s="436"/>
    </row>
    <row r="15" spans="1:37" ht="25.5">
      <c r="A15" s="282" t="s">
        <v>67</v>
      </c>
      <c r="B15" s="409">
        <v>8916</v>
      </c>
      <c r="C15" s="409">
        <v>8916</v>
      </c>
      <c r="D15" s="409">
        <v>8916</v>
      </c>
      <c r="E15" s="409">
        <v>8916</v>
      </c>
      <c r="F15" s="409">
        <v>8916</v>
      </c>
      <c r="G15" s="409">
        <v>8916</v>
      </c>
      <c r="H15" s="409">
        <v>8916</v>
      </c>
      <c r="I15" s="409">
        <v>8916</v>
      </c>
      <c r="J15" s="409">
        <v>8916</v>
      </c>
      <c r="K15" s="409">
        <v>8916</v>
      </c>
      <c r="L15" s="409">
        <v>8916</v>
      </c>
      <c r="M15" s="409">
        <v>8916</v>
      </c>
      <c r="N15" s="409">
        <v>8916</v>
      </c>
      <c r="O15" s="409">
        <v>8916</v>
      </c>
      <c r="P15" s="409">
        <v>8916</v>
      </c>
      <c r="Q15" s="409">
        <v>8916</v>
      </c>
      <c r="R15" s="409">
        <v>8916</v>
      </c>
      <c r="S15" s="409">
        <v>8916</v>
      </c>
      <c r="T15" s="409">
        <v>8916</v>
      </c>
      <c r="U15" s="409">
        <v>8916</v>
      </c>
      <c r="V15" s="409">
        <v>8916</v>
      </c>
      <c r="W15" s="409">
        <v>8916</v>
      </c>
      <c r="X15" s="409">
        <v>8916</v>
      </c>
      <c r="Y15" s="409">
        <v>8916</v>
      </c>
      <c r="Z15" s="409">
        <v>8916</v>
      </c>
      <c r="AA15" s="409">
        <v>8916</v>
      </c>
      <c r="AB15" s="409">
        <v>8916</v>
      </c>
      <c r="AC15" s="409">
        <v>8916</v>
      </c>
      <c r="AD15" s="409">
        <v>8916</v>
      </c>
      <c r="AE15" s="409">
        <v>8916</v>
      </c>
      <c r="AF15" s="416">
        <v>8938</v>
      </c>
      <c r="AG15" s="301">
        <f t="shared" ref="AG15:AG29" si="0">AF15-AH15</f>
        <v>22</v>
      </c>
      <c r="AH15" s="409">
        <v>8916</v>
      </c>
      <c r="AI15" s="144">
        <v>22</v>
      </c>
      <c r="AJ15" s="299"/>
      <c r="AK15" s="411"/>
    </row>
    <row r="16" spans="1:37" ht="25.5">
      <c r="A16" s="282" t="s">
        <v>68</v>
      </c>
      <c r="B16" s="409">
        <v>12874</v>
      </c>
      <c r="C16" s="409">
        <v>12874</v>
      </c>
      <c r="D16" s="409">
        <v>12874</v>
      </c>
      <c r="E16" s="409">
        <v>12874</v>
      </c>
      <c r="F16" s="409">
        <v>12874</v>
      </c>
      <c r="G16" s="409">
        <v>12874</v>
      </c>
      <c r="H16" s="409">
        <v>12874</v>
      </c>
      <c r="I16" s="409">
        <v>12874</v>
      </c>
      <c r="J16" s="409">
        <v>12874</v>
      </c>
      <c r="K16" s="409">
        <v>12874</v>
      </c>
      <c r="L16" s="409">
        <v>12874</v>
      </c>
      <c r="M16" s="409">
        <v>12874</v>
      </c>
      <c r="N16" s="409">
        <v>12874</v>
      </c>
      <c r="O16" s="409">
        <v>12874</v>
      </c>
      <c r="P16" s="409">
        <v>12874</v>
      </c>
      <c r="Q16" s="409">
        <v>12874</v>
      </c>
      <c r="R16" s="409">
        <v>12874</v>
      </c>
      <c r="S16" s="409">
        <v>12874</v>
      </c>
      <c r="T16" s="409">
        <v>12874</v>
      </c>
      <c r="U16" s="409">
        <v>12874</v>
      </c>
      <c r="V16" s="409">
        <v>12874</v>
      </c>
      <c r="W16" s="409">
        <v>12874</v>
      </c>
      <c r="X16" s="409">
        <v>12874</v>
      </c>
      <c r="Y16" s="409">
        <v>12874</v>
      </c>
      <c r="Z16" s="409">
        <v>12874</v>
      </c>
      <c r="AA16" s="409">
        <v>12874</v>
      </c>
      <c r="AB16" s="409">
        <v>12874</v>
      </c>
      <c r="AC16" s="409">
        <v>12874</v>
      </c>
      <c r="AD16" s="409">
        <v>12874</v>
      </c>
      <c r="AE16" s="409">
        <v>12874</v>
      </c>
      <c r="AF16" s="416">
        <v>12877</v>
      </c>
      <c r="AG16" s="301">
        <f t="shared" si="0"/>
        <v>3</v>
      </c>
      <c r="AH16" s="409">
        <v>12874</v>
      </c>
      <c r="AI16" s="144">
        <v>3</v>
      </c>
      <c r="AJ16" s="299"/>
      <c r="AK16" s="411"/>
    </row>
    <row r="17" spans="1:37"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301">
        <f t="shared" si="0"/>
        <v>0</v>
      </c>
      <c r="AH17" s="437"/>
      <c r="AK17" s="411"/>
    </row>
    <row r="18" spans="1:37">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439" t="s">
        <v>64</v>
      </c>
      <c r="AG18" s="301"/>
      <c r="AH18" s="439" t="s">
        <v>64</v>
      </c>
      <c r="AK18" s="412"/>
    </row>
    <row r="19" spans="1:37" ht="25.5">
      <c r="A19" s="282" t="s">
        <v>70</v>
      </c>
      <c r="B19" s="413">
        <v>113</v>
      </c>
      <c r="C19" s="413">
        <v>122</v>
      </c>
      <c r="D19" s="413">
        <v>126</v>
      </c>
      <c r="E19" s="413">
        <v>134</v>
      </c>
      <c r="F19" s="413">
        <v>138</v>
      </c>
      <c r="G19" s="413">
        <v>0</v>
      </c>
      <c r="H19" s="413">
        <v>0</v>
      </c>
      <c r="I19" s="413">
        <v>0</v>
      </c>
      <c r="J19" s="413">
        <v>0</v>
      </c>
      <c r="K19" s="413">
        <v>0</v>
      </c>
      <c r="L19" s="413">
        <v>0</v>
      </c>
      <c r="M19" s="413">
        <v>0</v>
      </c>
      <c r="N19" s="413">
        <v>0</v>
      </c>
      <c r="O19" s="413">
        <v>0</v>
      </c>
      <c r="P19" s="413">
        <v>0</v>
      </c>
      <c r="Q19" s="413">
        <v>0</v>
      </c>
      <c r="R19" s="413">
        <v>0</v>
      </c>
      <c r="S19" s="413">
        <v>0</v>
      </c>
      <c r="T19" s="413">
        <v>0</v>
      </c>
      <c r="U19" s="413">
        <v>0</v>
      </c>
      <c r="V19" s="413">
        <v>0</v>
      </c>
      <c r="W19" s="413">
        <v>0</v>
      </c>
      <c r="X19" s="413">
        <v>0</v>
      </c>
      <c r="Y19" s="413">
        <v>0</v>
      </c>
      <c r="Z19" s="413">
        <v>0</v>
      </c>
      <c r="AA19" s="413">
        <v>0</v>
      </c>
      <c r="AB19" s="413">
        <v>0</v>
      </c>
      <c r="AC19" s="413">
        <v>0</v>
      </c>
      <c r="AD19" s="413">
        <v>0</v>
      </c>
      <c r="AE19" s="413">
        <v>0</v>
      </c>
      <c r="AF19" s="413">
        <v>0</v>
      </c>
      <c r="AG19" s="301">
        <f t="shared" si="0"/>
        <v>-105</v>
      </c>
      <c r="AH19" s="413">
        <v>105</v>
      </c>
      <c r="AI19" s="307">
        <v>36</v>
      </c>
      <c r="AJ19" s="307"/>
      <c r="AK19" s="436"/>
    </row>
    <row r="20" spans="1:37" ht="25.5">
      <c r="A20" s="282" t="s">
        <v>2715</v>
      </c>
      <c r="B20" s="413">
        <v>24791</v>
      </c>
      <c r="C20" s="413">
        <v>152904</v>
      </c>
      <c r="D20" s="413">
        <v>152904</v>
      </c>
      <c r="E20" s="413">
        <v>272730</v>
      </c>
      <c r="F20" s="413">
        <v>310514</v>
      </c>
      <c r="G20" s="413">
        <v>352907</v>
      </c>
      <c r="H20" s="413">
        <v>480092</v>
      </c>
      <c r="I20" s="413">
        <v>517230</v>
      </c>
      <c r="J20" s="413">
        <v>551223</v>
      </c>
      <c r="K20" s="413">
        <v>551223</v>
      </c>
      <c r="L20" s="413">
        <v>551223</v>
      </c>
      <c r="M20" s="413">
        <v>616652</v>
      </c>
      <c r="N20" s="413">
        <v>680800</v>
      </c>
      <c r="O20" s="413">
        <v>733444</v>
      </c>
      <c r="P20" s="413">
        <v>733444</v>
      </c>
      <c r="Q20" s="413">
        <v>754715</v>
      </c>
      <c r="R20" s="413">
        <v>754715</v>
      </c>
      <c r="S20" s="413">
        <v>835576</v>
      </c>
      <c r="T20" s="413">
        <v>910201</v>
      </c>
      <c r="U20" s="413">
        <v>1051707</v>
      </c>
      <c r="V20" s="413">
        <v>1051707</v>
      </c>
      <c r="W20" s="413">
        <v>1097221</v>
      </c>
      <c r="X20" s="413">
        <v>1156541</v>
      </c>
      <c r="Y20" s="413">
        <v>1229009</v>
      </c>
      <c r="Z20" s="413">
        <v>1229009</v>
      </c>
      <c r="AA20" s="413">
        <v>1252678</v>
      </c>
      <c r="AB20" s="413">
        <v>1270196</v>
      </c>
      <c r="AC20" s="413">
        <v>1340370</v>
      </c>
      <c r="AD20" s="413">
        <v>1419166</v>
      </c>
      <c r="AE20" s="413">
        <v>1576412</v>
      </c>
      <c r="AF20" s="413">
        <f>AE20+72432</f>
        <v>1648844</v>
      </c>
      <c r="AG20" s="301">
        <f>AF20-C20</f>
        <v>1495940</v>
      </c>
      <c r="AH20" s="413">
        <v>9939120</v>
      </c>
      <c r="AJ20" s="307"/>
      <c r="AK20" s="414"/>
    </row>
    <row r="21" spans="1:37">
      <c r="A21" s="282" t="s">
        <v>72</v>
      </c>
      <c r="B21" s="409">
        <v>280119</v>
      </c>
      <c r="C21" s="409">
        <v>280289</v>
      </c>
      <c r="D21" s="409">
        <v>280289</v>
      </c>
      <c r="E21" s="409">
        <v>280623</v>
      </c>
      <c r="F21" s="409">
        <v>280787</v>
      </c>
      <c r="G21" s="409">
        <v>280937</v>
      </c>
      <c r="H21" s="409">
        <v>281112</v>
      </c>
      <c r="I21" s="409">
        <v>281273</v>
      </c>
      <c r="J21" s="409">
        <v>281449</v>
      </c>
      <c r="K21" s="409">
        <v>281846</v>
      </c>
      <c r="L21" s="409">
        <v>281854</v>
      </c>
      <c r="M21" s="409">
        <v>282063</v>
      </c>
      <c r="N21" s="409">
        <v>282158</v>
      </c>
      <c r="O21" s="409">
        <v>282294</v>
      </c>
      <c r="P21" s="409">
        <v>282450</v>
      </c>
      <c r="Q21" s="409">
        <v>282450</v>
      </c>
      <c r="R21" s="409">
        <v>282844</v>
      </c>
      <c r="S21" s="409">
        <v>282923</v>
      </c>
      <c r="T21" s="409">
        <v>283098</v>
      </c>
      <c r="U21" s="409">
        <v>283183</v>
      </c>
      <c r="V21" s="409">
        <v>283415</v>
      </c>
      <c r="W21" s="409">
        <v>283556</v>
      </c>
      <c r="X21" s="409">
        <v>283887</v>
      </c>
      <c r="Y21" s="409">
        <v>284247</v>
      </c>
      <c r="Z21" s="409">
        <v>284257</v>
      </c>
      <c r="AA21" s="409">
        <v>284410</v>
      </c>
      <c r="AB21" s="409">
        <v>284537</v>
      </c>
      <c r="AC21" s="409">
        <v>284667</v>
      </c>
      <c r="AD21" s="409">
        <v>284876</v>
      </c>
      <c r="AE21" s="409">
        <v>285008</v>
      </c>
      <c r="AF21" s="409">
        <f>AE21+336</f>
        <v>285344</v>
      </c>
      <c r="AG21" s="301">
        <f t="shared" si="0"/>
        <v>5435</v>
      </c>
      <c r="AH21" s="409">
        <v>279909</v>
      </c>
      <c r="AI21" s="144">
        <v>5435</v>
      </c>
      <c r="AJ21" s="307"/>
      <c r="AK21" s="415"/>
    </row>
    <row r="22" spans="1:37">
      <c r="A22" s="282" t="s">
        <v>73</v>
      </c>
      <c r="B22" s="409">
        <v>260084</v>
      </c>
      <c r="C22" s="409">
        <v>260180</v>
      </c>
      <c r="D22" s="409">
        <v>260180</v>
      </c>
      <c r="E22" s="409">
        <v>260360</v>
      </c>
      <c r="F22" s="409">
        <v>260442</v>
      </c>
      <c r="G22" s="409">
        <v>260532</v>
      </c>
      <c r="H22" s="409">
        <v>260632</v>
      </c>
      <c r="I22" s="409">
        <v>260732</v>
      </c>
      <c r="J22" s="409">
        <v>260847</v>
      </c>
      <c r="K22" s="409">
        <v>260985</v>
      </c>
      <c r="L22" s="409">
        <v>261036</v>
      </c>
      <c r="M22" s="409">
        <v>261119</v>
      </c>
      <c r="N22" s="409">
        <v>261220</v>
      </c>
      <c r="O22" s="409">
        <v>261323</v>
      </c>
      <c r="P22" s="409">
        <v>261428</v>
      </c>
      <c r="Q22" s="409">
        <v>261525</v>
      </c>
      <c r="R22" s="409">
        <v>261653</v>
      </c>
      <c r="S22" s="409">
        <v>261707</v>
      </c>
      <c r="T22" s="409">
        <v>261802</v>
      </c>
      <c r="U22" s="409">
        <v>261891</v>
      </c>
      <c r="V22" s="409">
        <v>261986</v>
      </c>
      <c r="W22" s="409">
        <v>262069</v>
      </c>
      <c r="X22" s="409">
        <v>262152</v>
      </c>
      <c r="Y22" s="409">
        <v>262277</v>
      </c>
      <c r="Z22" s="409">
        <v>262327</v>
      </c>
      <c r="AA22" s="409">
        <v>262399</v>
      </c>
      <c r="AB22" s="409">
        <v>262489</v>
      </c>
      <c r="AC22" s="409">
        <v>262567</v>
      </c>
      <c r="AD22" s="409">
        <v>262646</v>
      </c>
      <c r="AE22" s="409">
        <v>262729</v>
      </c>
      <c r="AF22" s="416">
        <v>262883</v>
      </c>
      <c r="AG22" s="301">
        <f t="shared" si="0"/>
        <v>2894</v>
      </c>
      <c r="AH22" s="409">
        <v>259989</v>
      </c>
      <c r="AI22" s="144">
        <v>2894</v>
      </c>
      <c r="AJ22" s="307"/>
      <c r="AK22" s="415"/>
    </row>
    <row r="23" spans="1:37">
      <c r="A23" s="309" t="s">
        <v>136</v>
      </c>
      <c r="B23" s="409">
        <v>16572</v>
      </c>
      <c r="C23" s="409">
        <v>16585</v>
      </c>
      <c r="D23" s="409">
        <v>16585</v>
      </c>
      <c r="E23" s="409">
        <v>16597</v>
      </c>
      <c r="F23" s="409">
        <v>16600</v>
      </c>
      <c r="G23" s="409">
        <v>16612</v>
      </c>
      <c r="H23" s="409">
        <v>16626</v>
      </c>
      <c r="I23" s="409">
        <v>16641</v>
      </c>
      <c r="J23" s="409">
        <v>16654</v>
      </c>
      <c r="K23" s="409">
        <v>16667</v>
      </c>
      <c r="L23" s="409">
        <v>16667</v>
      </c>
      <c r="M23" s="409">
        <v>16670</v>
      </c>
      <c r="N23" s="409">
        <v>16683</v>
      </c>
      <c r="O23" s="409">
        <v>16697</v>
      </c>
      <c r="P23" s="409">
        <v>16708</v>
      </c>
      <c r="Q23" s="409">
        <v>16730</v>
      </c>
      <c r="R23" s="409">
        <v>16730</v>
      </c>
      <c r="S23" s="409">
        <v>16730</v>
      </c>
      <c r="T23" s="409">
        <v>16732</v>
      </c>
      <c r="U23" s="409">
        <v>16745</v>
      </c>
      <c r="V23" s="409">
        <v>16757</v>
      </c>
      <c r="W23" s="409">
        <v>16769</v>
      </c>
      <c r="X23" s="409">
        <v>16782</v>
      </c>
      <c r="Y23" s="409">
        <v>16797</v>
      </c>
      <c r="Z23" s="409">
        <v>16794</v>
      </c>
      <c r="AA23" s="409">
        <v>16795</v>
      </c>
      <c r="AB23" s="409">
        <v>16806</v>
      </c>
      <c r="AC23" s="409">
        <v>16817</v>
      </c>
      <c r="AD23" s="409">
        <v>16828</v>
      </c>
      <c r="AE23" s="409">
        <v>16838</v>
      </c>
      <c r="AF23" s="416">
        <v>16847</v>
      </c>
      <c r="AG23" s="301">
        <f t="shared" si="0"/>
        <v>288</v>
      </c>
      <c r="AH23" s="409">
        <v>16559</v>
      </c>
      <c r="AI23" s="144">
        <v>288</v>
      </c>
      <c r="AJ23" s="307"/>
      <c r="AK23" s="414"/>
    </row>
    <row r="24" spans="1:37">
      <c r="A24" s="309" t="s">
        <v>139</v>
      </c>
      <c r="B24" s="409">
        <v>11253</v>
      </c>
      <c r="C24" s="409">
        <v>11266</v>
      </c>
      <c r="D24" s="409">
        <v>11266</v>
      </c>
      <c r="E24" s="409">
        <v>11284</v>
      </c>
      <c r="F24" s="409">
        <v>11294</v>
      </c>
      <c r="G24" s="409">
        <v>11304</v>
      </c>
      <c r="H24" s="409">
        <v>11311</v>
      </c>
      <c r="I24" s="409">
        <v>11320</v>
      </c>
      <c r="J24" s="409">
        <v>11330</v>
      </c>
      <c r="K24" s="409">
        <v>11342</v>
      </c>
      <c r="L24" s="409">
        <v>11342</v>
      </c>
      <c r="M24" s="409">
        <v>11344</v>
      </c>
      <c r="N24" s="409">
        <v>11351</v>
      </c>
      <c r="O24" s="409">
        <v>11362</v>
      </c>
      <c r="P24" s="409">
        <v>11378</v>
      </c>
      <c r="Q24" s="409">
        <v>11387</v>
      </c>
      <c r="R24" s="409">
        <v>11397</v>
      </c>
      <c r="S24" s="409">
        <v>11397</v>
      </c>
      <c r="T24" s="409">
        <v>11399</v>
      </c>
      <c r="U24" s="409">
        <v>11410</v>
      </c>
      <c r="V24" s="409">
        <v>11419</v>
      </c>
      <c r="W24" s="409">
        <v>11429</v>
      </c>
      <c r="X24" s="409">
        <v>11437</v>
      </c>
      <c r="Y24" s="409">
        <v>11453</v>
      </c>
      <c r="Z24" s="409">
        <v>11455</v>
      </c>
      <c r="AA24" s="409">
        <v>11465</v>
      </c>
      <c r="AB24" s="409">
        <v>11477</v>
      </c>
      <c r="AC24" s="409">
        <v>11484</v>
      </c>
      <c r="AD24" s="409">
        <v>11490</v>
      </c>
      <c r="AE24" s="409">
        <v>11497</v>
      </c>
      <c r="AF24" s="416">
        <v>11510</v>
      </c>
      <c r="AG24" s="301">
        <f t="shared" si="0"/>
        <v>273</v>
      </c>
      <c r="AH24" s="409">
        <v>11237</v>
      </c>
      <c r="AI24" s="144">
        <v>273</v>
      </c>
      <c r="AJ24" s="307"/>
      <c r="AK24" s="414"/>
    </row>
    <row r="25" spans="1:37">
      <c r="A25" s="309" t="s">
        <v>142</v>
      </c>
      <c r="B25" s="409">
        <v>4561</v>
      </c>
      <c r="C25" s="409">
        <v>4566</v>
      </c>
      <c r="D25" s="409">
        <v>4561</v>
      </c>
      <c r="E25" s="409">
        <v>4572</v>
      </c>
      <c r="F25" s="409">
        <v>4573</v>
      </c>
      <c r="G25" s="409">
        <v>4578</v>
      </c>
      <c r="H25" s="409">
        <v>4584</v>
      </c>
      <c r="I25" s="409">
        <v>4590</v>
      </c>
      <c r="J25" s="409">
        <v>4597</v>
      </c>
      <c r="K25" s="409">
        <v>4602</v>
      </c>
      <c r="L25" s="409">
        <v>4602</v>
      </c>
      <c r="M25" s="409">
        <v>4602</v>
      </c>
      <c r="N25" s="409">
        <v>4609</v>
      </c>
      <c r="O25" s="409">
        <v>4615</v>
      </c>
      <c r="P25" s="409">
        <v>4622</v>
      </c>
      <c r="Q25" s="409">
        <v>4628</v>
      </c>
      <c r="R25" s="409">
        <v>4633</v>
      </c>
      <c r="S25" s="409">
        <v>4633</v>
      </c>
      <c r="T25" s="409">
        <v>4633</v>
      </c>
      <c r="U25" s="409">
        <v>4638</v>
      </c>
      <c r="V25" s="409">
        <v>4644</v>
      </c>
      <c r="W25" s="409">
        <v>4650</v>
      </c>
      <c r="X25" s="409">
        <v>4652</v>
      </c>
      <c r="Y25" s="409">
        <v>4661</v>
      </c>
      <c r="Z25" s="409">
        <v>4661</v>
      </c>
      <c r="AA25" s="409">
        <v>4662</v>
      </c>
      <c r="AB25" s="409">
        <v>4668</v>
      </c>
      <c r="AC25" s="409">
        <v>4673</v>
      </c>
      <c r="AD25" s="409">
        <v>4679</v>
      </c>
      <c r="AE25" s="409">
        <v>4684</v>
      </c>
      <c r="AF25" s="416">
        <v>4690</v>
      </c>
      <c r="AG25" s="301">
        <f t="shared" si="0"/>
        <v>136</v>
      </c>
      <c r="AH25" s="409">
        <v>4554</v>
      </c>
      <c r="AI25" s="144">
        <v>136</v>
      </c>
      <c r="AJ25" s="307"/>
      <c r="AK25" s="414"/>
    </row>
    <row r="26" spans="1:37">
      <c r="A26" s="309" t="s">
        <v>145</v>
      </c>
      <c r="B26" s="409">
        <v>2823</v>
      </c>
      <c r="C26" s="409">
        <v>2826</v>
      </c>
      <c r="D26" s="409">
        <v>2826</v>
      </c>
      <c r="E26" s="409">
        <v>2829</v>
      </c>
      <c r="F26" s="409">
        <v>2829</v>
      </c>
      <c r="G26" s="409">
        <v>2834</v>
      </c>
      <c r="H26" s="409">
        <v>2838</v>
      </c>
      <c r="I26" s="409">
        <v>2842</v>
      </c>
      <c r="J26" s="409">
        <v>2845</v>
      </c>
      <c r="K26" s="409">
        <v>2848</v>
      </c>
      <c r="L26" s="409">
        <v>2849</v>
      </c>
      <c r="M26" s="409">
        <v>2850</v>
      </c>
      <c r="N26" s="409">
        <v>2853</v>
      </c>
      <c r="O26" s="409">
        <v>2857</v>
      </c>
      <c r="P26" s="409">
        <v>2860</v>
      </c>
      <c r="Q26" s="409">
        <v>2864</v>
      </c>
      <c r="R26" s="409">
        <v>2867</v>
      </c>
      <c r="S26" s="409">
        <v>2867</v>
      </c>
      <c r="T26" s="409">
        <v>2870</v>
      </c>
      <c r="U26" s="409">
        <v>2873</v>
      </c>
      <c r="V26" s="409">
        <v>2876</v>
      </c>
      <c r="W26" s="409">
        <v>2879</v>
      </c>
      <c r="X26" s="409">
        <v>2883</v>
      </c>
      <c r="Y26" s="409">
        <v>2885</v>
      </c>
      <c r="Z26" s="409">
        <v>2885</v>
      </c>
      <c r="AA26" s="409">
        <v>2886</v>
      </c>
      <c r="AB26" s="409">
        <v>2889</v>
      </c>
      <c r="AC26" s="409">
        <v>2892</v>
      </c>
      <c r="AD26" s="409">
        <v>2895</v>
      </c>
      <c r="AE26" s="409">
        <v>2898</v>
      </c>
      <c r="AF26" s="409">
        <f>AE26+5</f>
        <v>2903</v>
      </c>
      <c r="AG26" s="301">
        <f t="shared" si="0"/>
        <v>83</v>
      </c>
      <c r="AH26" s="409">
        <v>2820</v>
      </c>
      <c r="AI26" s="144">
        <v>83</v>
      </c>
      <c r="AJ26" s="307"/>
      <c r="AK26" s="414"/>
    </row>
    <row r="27" spans="1:37">
      <c r="A27" s="309" t="s">
        <v>148</v>
      </c>
      <c r="B27" s="409">
        <v>17385</v>
      </c>
      <c r="C27" s="409">
        <v>17397</v>
      </c>
      <c r="D27" s="409">
        <v>17397</v>
      </c>
      <c r="E27" s="409">
        <v>17415</v>
      </c>
      <c r="F27" s="409">
        <v>17423</v>
      </c>
      <c r="G27" s="409">
        <v>17438</v>
      </c>
      <c r="H27" s="409">
        <v>17451</v>
      </c>
      <c r="I27" s="409">
        <v>17463</v>
      </c>
      <c r="J27" s="409">
        <v>17474</v>
      </c>
      <c r="K27" s="409">
        <v>17487</v>
      </c>
      <c r="L27" s="409">
        <v>17488</v>
      </c>
      <c r="M27" s="409">
        <v>17492</v>
      </c>
      <c r="N27" s="409">
        <v>17504</v>
      </c>
      <c r="O27" s="409">
        <v>17521</v>
      </c>
      <c r="P27" s="409">
        <v>17535</v>
      </c>
      <c r="Q27" s="409">
        <v>17548</v>
      </c>
      <c r="R27" s="409">
        <v>17561</v>
      </c>
      <c r="S27" s="409">
        <v>17562</v>
      </c>
      <c r="T27" s="409">
        <v>17565</v>
      </c>
      <c r="U27" s="409">
        <v>17578</v>
      </c>
      <c r="V27" s="409">
        <v>17588</v>
      </c>
      <c r="W27" s="409">
        <v>17600</v>
      </c>
      <c r="X27" s="409">
        <v>17613</v>
      </c>
      <c r="Y27" s="409">
        <v>17625</v>
      </c>
      <c r="Z27" s="409">
        <v>17626</v>
      </c>
      <c r="AA27" s="409">
        <v>17629</v>
      </c>
      <c r="AB27" s="409">
        <v>17639</v>
      </c>
      <c r="AC27" s="409">
        <v>17649</v>
      </c>
      <c r="AD27" s="409">
        <v>17659</v>
      </c>
      <c r="AE27" s="409">
        <v>17671</v>
      </c>
      <c r="AF27" s="416">
        <v>17681</v>
      </c>
      <c r="AG27" s="301">
        <f t="shared" si="0"/>
        <v>312</v>
      </c>
      <c r="AH27" s="409">
        <v>17369</v>
      </c>
      <c r="AI27" s="144">
        <v>312</v>
      </c>
      <c r="AJ27" s="307"/>
      <c r="AK27" s="414"/>
    </row>
    <row r="28" spans="1:37">
      <c r="A28" s="309"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43">
        <v>1330</v>
      </c>
      <c r="T28" s="443">
        <v>1330</v>
      </c>
      <c r="U28" s="443">
        <v>1330</v>
      </c>
      <c r="V28" s="443">
        <v>1330</v>
      </c>
      <c r="W28" s="443">
        <v>1330</v>
      </c>
      <c r="X28" s="443">
        <v>1330</v>
      </c>
      <c r="Y28" s="443">
        <v>1330</v>
      </c>
      <c r="Z28" s="443">
        <v>1330</v>
      </c>
      <c r="AA28" s="443">
        <v>1330</v>
      </c>
      <c r="AB28" s="443">
        <v>1330</v>
      </c>
      <c r="AC28" s="443">
        <v>1330</v>
      </c>
      <c r="AD28" s="443">
        <v>1330</v>
      </c>
      <c r="AE28" s="443">
        <v>1330</v>
      </c>
      <c r="AF28" s="424">
        <v>1330</v>
      </c>
      <c r="AG28" s="301">
        <f t="shared" si="0"/>
        <v>0</v>
      </c>
      <c r="AH28" s="443">
        <v>1330</v>
      </c>
      <c r="AI28" s="144">
        <v>0</v>
      </c>
      <c r="AJ28" s="307"/>
      <c r="AK28" s="414"/>
    </row>
    <row r="29" spans="1:37">
      <c r="A29" s="309" t="s">
        <v>154</v>
      </c>
      <c r="B29" s="443">
        <v>1373</v>
      </c>
      <c r="C29" s="443">
        <v>1374</v>
      </c>
      <c r="D29" s="443">
        <v>1374</v>
      </c>
      <c r="E29" s="443">
        <v>1375</v>
      </c>
      <c r="F29" s="443">
        <v>1376</v>
      </c>
      <c r="G29" s="443">
        <v>1377</v>
      </c>
      <c r="H29" s="443">
        <v>1378</v>
      </c>
      <c r="I29" s="443">
        <v>1379</v>
      </c>
      <c r="J29" s="443">
        <v>1380</v>
      </c>
      <c r="K29" s="443">
        <v>1381</v>
      </c>
      <c r="L29" s="443">
        <v>1382</v>
      </c>
      <c r="M29" s="443">
        <v>1382</v>
      </c>
      <c r="N29" s="443">
        <v>1383</v>
      </c>
      <c r="O29" s="443">
        <v>1384</v>
      </c>
      <c r="P29" s="443">
        <v>1385</v>
      </c>
      <c r="Q29" s="443">
        <v>1387</v>
      </c>
      <c r="R29" s="443">
        <v>1388</v>
      </c>
      <c r="S29" s="443">
        <v>1388</v>
      </c>
      <c r="T29" s="443">
        <v>1389</v>
      </c>
      <c r="U29" s="443">
        <v>1390</v>
      </c>
      <c r="V29" s="443">
        <v>1391</v>
      </c>
      <c r="W29" s="443">
        <v>1391</v>
      </c>
      <c r="X29" s="443">
        <v>1392</v>
      </c>
      <c r="Y29" s="443">
        <v>1393</v>
      </c>
      <c r="Z29" s="443">
        <v>1393</v>
      </c>
      <c r="AA29" s="443">
        <v>1394</v>
      </c>
      <c r="AB29" s="443">
        <v>1395</v>
      </c>
      <c r="AC29" s="443">
        <v>1396</v>
      </c>
      <c r="AD29" s="443">
        <v>1397</v>
      </c>
      <c r="AE29" s="443">
        <v>1398</v>
      </c>
      <c r="AF29" s="443">
        <v>1399</v>
      </c>
      <c r="AG29" s="301">
        <f t="shared" si="0"/>
        <v>27</v>
      </c>
      <c r="AH29" s="443">
        <v>1372</v>
      </c>
      <c r="AI29" s="144">
        <v>27</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c r="AH31" s="408" t="s">
        <v>75</v>
      </c>
    </row>
    <row r="32" spans="1:37">
      <c r="A32" s="282" t="s">
        <v>77</v>
      </c>
      <c r="B32" s="443">
        <v>45350</v>
      </c>
      <c r="C32" s="443">
        <v>45350</v>
      </c>
      <c r="D32" s="443">
        <v>45350</v>
      </c>
      <c r="E32" s="443">
        <v>45350</v>
      </c>
      <c r="F32" s="443">
        <v>45350</v>
      </c>
      <c r="G32" s="443">
        <v>45350</v>
      </c>
      <c r="H32" s="443">
        <v>45350</v>
      </c>
      <c r="I32" s="443">
        <v>45350</v>
      </c>
      <c r="J32" s="443">
        <v>45350</v>
      </c>
      <c r="K32" s="443">
        <v>45350</v>
      </c>
      <c r="L32" s="443">
        <v>45350</v>
      </c>
      <c r="M32" s="443">
        <v>45350</v>
      </c>
      <c r="N32" s="443">
        <v>45350</v>
      </c>
      <c r="O32" s="443">
        <v>45350</v>
      </c>
      <c r="P32" s="443">
        <v>45350</v>
      </c>
      <c r="Q32" s="443">
        <v>45350</v>
      </c>
      <c r="R32" s="443">
        <v>45350</v>
      </c>
      <c r="S32" s="443">
        <v>45350</v>
      </c>
      <c r="T32" s="443">
        <v>45350</v>
      </c>
      <c r="U32" s="443">
        <v>45350</v>
      </c>
      <c r="V32" s="443">
        <v>45350</v>
      </c>
      <c r="W32" s="443">
        <v>45350</v>
      </c>
      <c r="X32" s="443">
        <v>45350</v>
      </c>
      <c r="Y32" s="443">
        <v>45350</v>
      </c>
      <c r="Z32" s="443">
        <v>45350</v>
      </c>
      <c r="AA32" s="443">
        <v>45350</v>
      </c>
      <c r="AB32" s="443">
        <v>45350</v>
      </c>
      <c r="AC32" s="443">
        <v>45350</v>
      </c>
      <c r="AD32" s="443">
        <v>45350</v>
      </c>
      <c r="AE32" s="443">
        <v>45350</v>
      </c>
      <c r="AF32" s="443">
        <v>45350</v>
      </c>
      <c r="AG32" s="301"/>
      <c r="AH32" s="443" t="s">
        <v>2815</v>
      </c>
    </row>
    <row r="33" spans="1:34" ht="25.5">
      <c r="A33" s="282" t="s">
        <v>80</v>
      </c>
      <c r="B33" s="443">
        <v>45350</v>
      </c>
      <c r="C33" s="443">
        <v>45350</v>
      </c>
      <c r="D33" s="443">
        <v>45350</v>
      </c>
      <c r="E33" s="443">
        <v>45350</v>
      </c>
      <c r="F33" s="443">
        <v>45350</v>
      </c>
      <c r="G33" s="443">
        <v>45350</v>
      </c>
      <c r="H33" s="443">
        <v>45350</v>
      </c>
      <c r="I33" s="443">
        <v>45350</v>
      </c>
      <c r="J33" s="443">
        <v>45350</v>
      </c>
      <c r="K33" s="443">
        <v>45350</v>
      </c>
      <c r="L33" s="443">
        <v>45350</v>
      </c>
      <c r="M33" s="443">
        <v>45350</v>
      </c>
      <c r="N33" s="443">
        <v>45350</v>
      </c>
      <c r="O33" s="443">
        <v>45350</v>
      </c>
      <c r="P33" s="443">
        <v>45350</v>
      </c>
      <c r="Q33" s="443">
        <v>45350</v>
      </c>
      <c r="R33" s="443">
        <v>45350</v>
      </c>
      <c r="S33" s="443">
        <v>45350</v>
      </c>
      <c r="T33" s="443">
        <v>45350</v>
      </c>
      <c r="U33" s="443">
        <v>45350</v>
      </c>
      <c r="V33" s="443">
        <v>45350</v>
      </c>
      <c r="W33" s="443">
        <v>45350</v>
      </c>
      <c r="X33" s="443">
        <v>45350</v>
      </c>
      <c r="Y33" s="443">
        <v>45350</v>
      </c>
      <c r="Z33" s="443">
        <v>45350</v>
      </c>
      <c r="AA33" s="443">
        <v>45350</v>
      </c>
      <c r="AB33" s="443">
        <v>45350</v>
      </c>
      <c r="AC33" s="443">
        <v>45350</v>
      </c>
      <c r="AD33" s="443">
        <v>45350</v>
      </c>
      <c r="AE33" s="443">
        <v>45350</v>
      </c>
      <c r="AF33" s="443">
        <v>45350</v>
      </c>
      <c r="AG33" s="301"/>
      <c r="AH33" s="443" t="s">
        <v>2815</v>
      </c>
    </row>
    <row r="34" spans="1:34" ht="15.75" thickBot="1">
      <c r="A34" s="310" t="s">
        <v>81</v>
      </c>
      <c r="B34" s="446">
        <v>1500</v>
      </c>
      <c r="C34" s="446">
        <v>1500</v>
      </c>
      <c r="D34" s="446">
        <v>1500</v>
      </c>
      <c r="E34" s="446">
        <v>1500</v>
      </c>
      <c r="F34" s="446">
        <v>1500</v>
      </c>
      <c r="G34" s="446">
        <v>1500</v>
      </c>
      <c r="H34" s="446">
        <v>1500</v>
      </c>
      <c r="I34" s="446">
        <v>1500</v>
      </c>
      <c r="J34" s="446">
        <v>1500</v>
      </c>
      <c r="K34" s="446">
        <v>1500</v>
      </c>
      <c r="L34" s="446">
        <v>1500</v>
      </c>
      <c r="M34" s="446">
        <v>1500</v>
      </c>
      <c r="N34" s="446">
        <v>1500</v>
      </c>
      <c r="O34" s="446">
        <v>1500</v>
      </c>
      <c r="P34" s="446">
        <v>1500</v>
      </c>
      <c r="Q34" s="446">
        <v>1500</v>
      </c>
      <c r="R34" s="446">
        <v>1500</v>
      </c>
      <c r="S34" s="446">
        <v>1500</v>
      </c>
      <c r="T34" s="446">
        <v>1500</v>
      </c>
      <c r="U34" s="446">
        <v>1500</v>
      </c>
      <c r="V34" s="446">
        <v>1500</v>
      </c>
      <c r="W34" s="446">
        <v>1500</v>
      </c>
      <c r="X34" s="446">
        <v>1500</v>
      </c>
      <c r="Y34" s="446">
        <v>1500</v>
      </c>
      <c r="Z34" s="446">
        <v>1500</v>
      </c>
      <c r="AA34" s="446">
        <v>1500</v>
      </c>
      <c r="AB34" s="446">
        <v>1500</v>
      </c>
      <c r="AC34" s="446">
        <v>1500</v>
      </c>
      <c r="AD34" s="446">
        <v>1500</v>
      </c>
      <c r="AE34" s="443">
        <v>1500</v>
      </c>
      <c r="AF34" s="443">
        <v>1500</v>
      </c>
      <c r="AG34" s="301"/>
      <c r="AH34" s="446" t="s">
        <v>2816</v>
      </c>
    </row>
  </sheetData>
  <mergeCells count="1">
    <mergeCell ref="A1:AH1"/>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AA4C-0D1F-450F-95EF-54014A12A925}">
  <dimension ref="A1:AJ34"/>
  <sheetViews>
    <sheetView workbookViewId="0">
      <selection sqref="A1:XFD1048576"/>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1" width="12.85546875" style="144" customWidth="1"/>
    <col min="32" max="32" width="15.7109375" style="144" customWidth="1"/>
    <col min="33" max="33" width="12.85546875" style="144" customWidth="1"/>
    <col min="34" max="34" width="9.140625" style="144"/>
    <col min="35" max="35" width="10" style="144" bestFit="1" customWidth="1"/>
    <col min="36" max="36" width="13.85546875" style="144" customWidth="1"/>
    <col min="37" max="37" width="14.85546875" style="144" customWidth="1"/>
    <col min="38" max="16384" width="9.140625" style="144"/>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280"/>
      <c r="B2" s="281">
        <v>45962</v>
      </c>
      <c r="C2" s="281">
        <v>45963</v>
      </c>
      <c r="D2" s="281">
        <v>45964</v>
      </c>
      <c r="E2" s="281">
        <v>45965</v>
      </c>
      <c r="F2" s="281">
        <v>45966</v>
      </c>
      <c r="G2" s="281">
        <v>45967</v>
      </c>
      <c r="H2" s="281">
        <v>45968</v>
      </c>
      <c r="I2" s="281">
        <v>45969</v>
      </c>
      <c r="J2" s="281">
        <v>45970</v>
      </c>
      <c r="K2" s="281">
        <v>45971</v>
      </c>
      <c r="L2" s="281">
        <v>45972</v>
      </c>
      <c r="M2" s="281">
        <v>45973</v>
      </c>
      <c r="N2" s="281">
        <v>45974</v>
      </c>
      <c r="O2" s="281">
        <v>45975</v>
      </c>
      <c r="P2" s="281">
        <v>45976</v>
      </c>
      <c r="Q2" s="281">
        <v>45977</v>
      </c>
      <c r="R2" s="281">
        <v>45978</v>
      </c>
      <c r="S2" s="281">
        <v>45979</v>
      </c>
      <c r="T2" s="281">
        <v>45980</v>
      </c>
      <c r="U2" s="281">
        <v>45981</v>
      </c>
      <c r="V2" s="281">
        <v>45982</v>
      </c>
      <c r="W2" s="281">
        <v>45983</v>
      </c>
      <c r="X2" s="281">
        <v>45984</v>
      </c>
      <c r="Y2" s="281">
        <v>45985</v>
      </c>
      <c r="Z2" s="281">
        <v>45986</v>
      </c>
      <c r="AA2" s="281">
        <v>45987</v>
      </c>
      <c r="AB2" s="281">
        <v>45988</v>
      </c>
      <c r="AC2" s="281">
        <v>45989</v>
      </c>
      <c r="AD2" s="281">
        <v>45990</v>
      </c>
      <c r="AE2" s="281">
        <v>45991</v>
      </c>
      <c r="AF2" s="281"/>
      <c r="AG2" s="281">
        <v>45961</v>
      </c>
    </row>
    <row r="3" spans="1:36"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71"/>
      <c r="AG3" s="283" t="s">
        <v>52</v>
      </c>
    </row>
    <row r="4" spans="1:36" ht="20.100000000000001" customHeight="1">
      <c r="A4" s="285" t="s">
        <v>54</v>
      </c>
      <c r="B4" s="420">
        <v>521967</v>
      </c>
      <c r="C4" s="420">
        <v>522200</v>
      </c>
      <c r="D4" s="420">
        <v>522437</v>
      </c>
      <c r="E4" s="420">
        <v>522682</v>
      </c>
      <c r="F4" s="420">
        <v>522924</v>
      </c>
      <c r="G4" s="420">
        <v>523170</v>
      </c>
      <c r="H4" s="420">
        <v>523405</v>
      </c>
      <c r="I4" s="420">
        <v>523639</v>
      </c>
      <c r="J4" s="420">
        <v>523870</v>
      </c>
      <c r="K4" s="420">
        <v>524113</v>
      </c>
      <c r="L4" s="420">
        <v>524352</v>
      </c>
      <c r="M4" s="420">
        <v>524594</v>
      </c>
      <c r="N4" s="420">
        <v>524834</v>
      </c>
      <c r="O4" s="420">
        <v>525065</v>
      </c>
      <c r="P4" s="420">
        <v>525292</v>
      </c>
      <c r="Q4" s="420">
        <v>525522</v>
      </c>
      <c r="R4" s="420">
        <v>525759</v>
      </c>
      <c r="S4" s="420">
        <v>526001</v>
      </c>
      <c r="T4" s="420">
        <v>526241</v>
      </c>
      <c r="U4" s="420">
        <v>526483</v>
      </c>
      <c r="V4" s="420">
        <v>526714</v>
      </c>
      <c r="W4" s="420">
        <v>526943</v>
      </c>
      <c r="X4" s="420">
        <v>527167</v>
      </c>
      <c r="Y4" s="420">
        <v>527409</v>
      </c>
      <c r="Z4" s="420">
        <v>527648</v>
      </c>
      <c r="AA4" s="420">
        <v>527887</v>
      </c>
      <c r="AB4" s="420">
        <v>528127</v>
      </c>
      <c r="AC4" s="420">
        <v>528352</v>
      </c>
      <c r="AD4" s="420">
        <v>528580</v>
      </c>
      <c r="AE4" s="420">
        <v>528812</v>
      </c>
      <c r="AF4" s="290"/>
      <c r="AG4" s="423">
        <v>521939</v>
      </c>
      <c r="AH4" s="288"/>
    </row>
    <row r="5" spans="1:36" ht="20.100000000000001" customHeight="1">
      <c r="A5" s="285" t="s">
        <v>55</v>
      </c>
      <c r="B5" s="420">
        <v>14631051</v>
      </c>
      <c r="C5" s="420">
        <v>14637464</v>
      </c>
      <c r="D5" s="420">
        <v>14644977</v>
      </c>
      <c r="E5" s="420">
        <v>14652503</v>
      </c>
      <c r="F5" s="420">
        <v>14660001</v>
      </c>
      <c r="G5" s="420">
        <v>14667761</v>
      </c>
      <c r="H5" s="420">
        <v>14674882</v>
      </c>
      <c r="I5" s="420">
        <v>14681099</v>
      </c>
      <c r="J5" s="420">
        <v>14687775</v>
      </c>
      <c r="K5" s="420">
        <v>14695360</v>
      </c>
      <c r="L5" s="420">
        <v>14702945</v>
      </c>
      <c r="M5" s="420">
        <v>14710423</v>
      </c>
      <c r="N5" s="420">
        <v>14717950</v>
      </c>
      <c r="O5" s="420">
        <v>14725101</v>
      </c>
      <c r="P5" s="420">
        <v>14731401</v>
      </c>
      <c r="Q5" s="420">
        <v>14738032</v>
      </c>
      <c r="R5" s="420">
        <v>14745614</v>
      </c>
      <c r="S5" s="420">
        <v>14753328</v>
      </c>
      <c r="T5" s="420">
        <v>14760954</v>
      </c>
      <c r="U5" s="420">
        <v>14768355</v>
      </c>
      <c r="V5" s="420">
        <v>14775396</v>
      </c>
      <c r="W5" s="420">
        <v>14781463</v>
      </c>
      <c r="X5" s="420">
        <v>14787449</v>
      </c>
      <c r="Y5" s="420">
        <v>14794900</v>
      </c>
      <c r="Z5" s="420">
        <v>14802338</v>
      </c>
      <c r="AA5" s="420">
        <v>14809472</v>
      </c>
      <c r="AB5" s="420">
        <v>14816575</v>
      </c>
      <c r="AC5" s="420">
        <v>14823190</v>
      </c>
      <c r="AD5" s="420">
        <v>14829035</v>
      </c>
      <c r="AE5" s="420">
        <v>14834770</v>
      </c>
      <c r="AF5" s="290"/>
      <c r="AG5" s="423">
        <v>14624847</v>
      </c>
      <c r="AH5" s="288"/>
    </row>
    <row r="6" spans="1:36" ht="20.100000000000001" customHeight="1">
      <c r="A6" s="285" t="s">
        <v>56</v>
      </c>
      <c r="B6" s="420">
        <v>6741392</v>
      </c>
      <c r="C6" s="420">
        <v>6743910</v>
      </c>
      <c r="D6" s="420">
        <v>6746770</v>
      </c>
      <c r="E6" s="420">
        <v>6749710</v>
      </c>
      <c r="F6" s="420">
        <v>6752605</v>
      </c>
      <c r="G6" s="420">
        <v>6755513</v>
      </c>
      <c r="H6" s="420">
        <v>6758254</v>
      </c>
      <c r="I6" s="420">
        <v>6760692</v>
      </c>
      <c r="J6" s="420">
        <v>6763254</v>
      </c>
      <c r="K6" s="420">
        <v>6766445</v>
      </c>
      <c r="L6" s="420">
        <v>6769439</v>
      </c>
      <c r="M6" s="420">
        <v>6772588</v>
      </c>
      <c r="N6" s="420">
        <v>6775917</v>
      </c>
      <c r="O6" s="420">
        <v>6778750</v>
      </c>
      <c r="P6" s="420">
        <v>6781137</v>
      </c>
      <c r="Q6" s="420">
        <v>6783742</v>
      </c>
      <c r="R6" s="420">
        <v>6786627</v>
      </c>
      <c r="S6" s="420">
        <v>6789677</v>
      </c>
      <c r="T6" s="420">
        <v>6792700</v>
      </c>
      <c r="U6" s="420">
        <v>6795755</v>
      </c>
      <c r="V6" s="420">
        <v>6798548</v>
      </c>
      <c r="W6" s="420">
        <v>6801016</v>
      </c>
      <c r="X6" s="420">
        <v>6803625</v>
      </c>
      <c r="Y6" s="420">
        <v>6806665</v>
      </c>
      <c r="Z6" s="420">
        <v>6809647</v>
      </c>
      <c r="AA6" s="420">
        <v>6812625</v>
      </c>
      <c r="AB6" s="420">
        <v>6815677</v>
      </c>
      <c r="AC6" s="420">
        <v>6818517</v>
      </c>
      <c r="AD6" s="420">
        <v>6821029</v>
      </c>
      <c r="AE6" s="420">
        <v>6823738</v>
      </c>
      <c r="AF6" s="290"/>
      <c r="AG6" s="423">
        <v>6739050</v>
      </c>
      <c r="AH6" s="288"/>
    </row>
    <row r="7" spans="1:36" ht="20.100000000000001" customHeight="1">
      <c r="A7" s="285" t="s">
        <v>57</v>
      </c>
      <c r="B7" s="420">
        <v>1835794</v>
      </c>
      <c r="C7" s="420">
        <v>1836111</v>
      </c>
      <c r="D7" s="420">
        <v>1836190</v>
      </c>
      <c r="E7" s="420">
        <v>1836269</v>
      </c>
      <c r="F7" s="420">
        <v>1836348</v>
      </c>
      <c r="G7" s="420">
        <v>1836427</v>
      </c>
      <c r="H7" s="420">
        <v>1836503</v>
      </c>
      <c r="I7" s="420">
        <v>1836585</v>
      </c>
      <c r="J7" s="420">
        <v>1836663</v>
      </c>
      <c r="K7" s="420">
        <v>1836743</v>
      </c>
      <c r="L7" s="420">
        <v>1836913</v>
      </c>
      <c r="M7" s="420">
        <v>1836996</v>
      </c>
      <c r="N7" s="420">
        <v>1837079</v>
      </c>
      <c r="O7" s="420">
        <v>1837157</v>
      </c>
      <c r="P7" s="420">
        <v>1837242</v>
      </c>
      <c r="Q7" s="420">
        <v>1844827</v>
      </c>
      <c r="R7" s="420">
        <v>1853264</v>
      </c>
      <c r="S7" s="420">
        <v>1861867</v>
      </c>
      <c r="T7" s="420">
        <v>1870900</v>
      </c>
      <c r="U7" s="420">
        <v>1879668</v>
      </c>
      <c r="V7" s="420">
        <v>1888347</v>
      </c>
      <c r="W7" s="420">
        <v>1896983</v>
      </c>
      <c r="X7" s="420">
        <v>1904900</v>
      </c>
      <c r="Y7" s="420">
        <v>1914094</v>
      </c>
      <c r="Z7" s="420">
        <v>1923152</v>
      </c>
      <c r="AA7" s="420">
        <v>1931899</v>
      </c>
      <c r="AB7" s="420">
        <v>1940334</v>
      </c>
      <c r="AC7" s="420">
        <v>1947802</v>
      </c>
      <c r="AD7" s="420">
        <v>1955395</v>
      </c>
      <c r="AE7" s="420">
        <v>1955707</v>
      </c>
      <c r="AF7" s="290"/>
      <c r="AG7" s="423">
        <v>1827280</v>
      </c>
      <c r="AH7" s="288"/>
    </row>
    <row r="8" spans="1:36" ht="20.100000000000001" customHeight="1">
      <c r="A8" s="285" t="s">
        <v>58</v>
      </c>
      <c r="B8" s="420">
        <v>1666530</v>
      </c>
      <c r="C8" s="420">
        <v>1673893</v>
      </c>
      <c r="D8" s="420">
        <v>1682352</v>
      </c>
      <c r="E8" s="420">
        <v>1690787</v>
      </c>
      <c r="F8" s="420">
        <v>1699684</v>
      </c>
      <c r="G8" s="420">
        <v>1709209</v>
      </c>
      <c r="H8" s="420">
        <v>1718104</v>
      </c>
      <c r="I8" s="420">
        <v>1726389</v>
      </c>
      <c r="J8" s="420">
        <v>1734543</v>
      </c>
      <c r="K8" s="420">
        <v>1743561</v>
      </c>
      <c r="L8" s="420">
        <v>1752168</v>
      </c>
      <c r="M8" s="420">
        <v>1760780</v>
      </c>
      <c r="N8" s="420">
        <v>1769370</v>
      </c>
      <c r="O8" s="420">
        <v>1777143</v>
      </c>
      <c r="P8" s="420">
        <v>1784827</v>
      </c>
      <c r="Q8" s="420">
        <v>1785181</v>
      </c>
      <c r="R8" s="420">
        <v>1785264</v>
      </c>
      <c r="S8" s="420">
        <v>1785347</v>
      </c>
      <c r="T8" s="420">
        <v>1785429</v>
      </c>
      <c r="U8" s="420">
        <v>1785512</v>
      </c>
      <c r="V8" s="420">
        <v>1785591</v>
      </c>
      <c r="W8" s="420">
        <v>1785678</v>
      </c>
      <c r="X8" s="420">
        <v>1785758</v>
      </c>
      <c r="Y8" s="420">
        <v>1785841</v>
      </c>
      <c r="Z8" s="420">
        <v>1785923</v>
      </c>
      <c r="AA8" s="420">
        <v>1786039</v>
      </c>
      <c r="AB8" s="420">
        <v>1786122</v>
      </c>
      <c r="AC8" s="420">
        <v>1786199</v>
      </c>
      <c r="AD8" s="420">
        <v>1786285</v>
      </c>
      <c r="AE8" s="420">
        <v>1793025</v>
      </c>
      <c r="AF8" s="290"/>
      <c r="AG8" s="423">
        <v>1666449</v>
      </c>
      <c r="AH8" s="288"/>
    </row>
    <row r="9" spans="1:36" ht="20.100000000000001" customHeight="1">
      <c r="A9" s="285" t="s">
        <v>59</v>
      </c>
      <c r="B9" s="420">
        <v>2343186</v>
      </c>
      <c r="C9" s="420">
        <v>2348674</v>
      </c>
      <c r="D9" s="420">
        <v>2354414</v>
      </c>
      <c r="E9" s="420">
        <v>2360077</v>
      </c>
      <c r="F9" s="420">
        <v>2365705</v>
      </c>
      <c r="G9" s="420">
        <v>2371309</v>
      </c>
      <c r="H9" s="420">
        <v>2376574</v>
      </c>
      <c r="I9" s="420">
        <v>2381995</v>
      </c>
      <c r="J9" s="420">
        <v>2387160</v>
      </c>
      <c r="K9" s="420">
        <v>2392490</v>
      </c>
      <c r="L9" s="420">
        <v>2397726</v>
      </c>
      <c r="M9" s="420">
        <v>2403038</v>
      </c>
      <c r="N9" s="420">
        <v>2408727</v>
      </c>
      <c r="O9" s="420">
        <v>2414181</v>
      </c>
      <c r="P9" s="420">
        <v>2419661</v>
      </c>
      <c r="Q9" s="420">
        <v>2425029</v>
      </c>
      <c r="R9" s="420">
        <v>2430497</v>
      </c>
      <c r="S9" s="420">
        <v>2436022</v>
      </c>
      <c r="T9" s="420">
        <v>2441668</v>
      </c>
      <c r="U9" s="420">
        <v>2447124</v>
      </c>
      <c r="V9" s="420">
        <v>2452265</v>
      </c>
      <c r="W9" s="420">
        <v>2457614</v>
      </c>
      <c r="X9" s="420">
        <v>2462608</v>
      </c>
      <c r="Y9" s="420">
        <v>2467956</v>
      </c>
      <c r="Z9" s="420">
        <v>2473253</v>
      </c>
      <c r="AA9" s="420">
        <v>2478467</v>
      </c>
      <c r="AB9" s="420">
        <v>2483868</v>
      </c>
      <c r="AC9" s="420">
        <v>2489211</v>
      </c>
      <c r="AD9" s="420">
        <v>2495746</v>
      </c>
      <c r="AE9" s="420">
        <v>2500450</v>
      </c>
      <c r="AF9" s="290"/>
      <c r="AG9" s="123">
        <v>2337607</v>
      </c>
      <c r="AH9" s="288"/>
    </row>
    <row r="10" spans="1:36" ht="20.100000000000001" customHeight="1">
      <c r="A10" s="285" t="s">
        <v>60</v>
      </c>
      <c r="B10" s="420">
        <v>9262179</v>
      </c>
      <c r="C10" s="420">
        <v>9264952</v>
      </c>
      <c r="D10" s="420">
        <v>9268512</v>
      </c>
      <c r="E10" s="420">
        <v>9272052</v>
      </c>
      <c r="F10" s="420">
        <v>9275458</v>
      </c>
      <c r="G10" s="420">
        <v>9279002</v>
      </c>
      <c r="H10" s="420">
        <v>9282300</v>
      </c>
      <c r="I10" s="420">
        <v>9284546</v>
      </c>
      <c r="J10" s="420">
        <v>9287401</v>
      </c>
      <c r="K10" s="420">
        <v>9290893</v>
      </c>
      <c r="L10" s="420">
        <v>9294206</v>
      </c>
      <c r="M10" s="420">
        <v>9297605</v>
      </c>
      <c r="N10" s="420">
        <v>9301112</v>
      </c>
      <c r="O10" s="420">
        <v>9304401</v>
      </c>
      <c r="P10" s="420">
        <v>9306639</v>
      </c>
      <c r="Q10" s="420">
        <v>9309331</v>
      </c>
      <c r="R10" s="420">
        <v>9312887</v>
      </c>
      <c r="S10" s="420">
        <v>9316339</v>
      </c>
      <c r="T10" s="420">
        <v>9319746</v>
      </c>
      <c r="U10" s="420">
        <v>9323161</v>
      </c>
      <c r="V10" s="420">
        <v>9326344</v>
      </c>
      <c r="W10" s="420">
        <v>9328705</v>
      </c>
      <c r="X10" s="420">
        <v>9331394</v>
      </c>
      <c r="Y10" s="420">
        <v>9334791</v>
      </c>
      <c r="Z10" s="420">
        <v>9338139</v>
      </c>
      <c r="AA10" s="420">
        <v>9341448</v>
      </c>
      <c r="AB10" s="420">
        <v>9344716</v>
      </c>
      <c r="AC10" s="420">
        <v>9347939</v>
      </c>
      <c r="AD10" s="420">
        <v>9350213</v>
      </c>
      <c r="AE10" s="420">
        <v>9352870</v>
      </c>
      <c r="AF10" s="290"/>
      <c r="AG10" s="123">
        <v>9259841</v>
      </c>
      <c r="AH10" s="288"/>
    </row>
    <row r="11" spans="1:36" ht="22.5" customHeight="1">
      <c r="A11" s="285" t="s">
        <v>61</v>
      </c>
      <c r="B11" s="420">
        <v>353327</v>
      </c>
      <c r="C11" s="420">
        <v>353435</v>
      </c>
      <c r="D11" s="420">
        <v>353571</v>
      </c>
      <c r="E11" s="420">
        <v>353710</v>
      </c>
      <c r="F11" s="420">
        <v>353848</v>
      </c>
      <c r="G11" s="420">
        <v>353989</v>
      </c>
      <c r="H11" s="420">
        <v>354118</v>
      </c>
      <c r="I11" s="420">
        <v>354216</v>
      </c>
      <c r="J11" s="420">
        <v>354322</v>
      </c>
      <c r="K11" s="420">
        <v>354454</v>
      </c>
      <c r="L11" s="420">
        <v>354584</v>
      </c>
      <c r="M11" s="420">
        <v>354718</v>
      </c>
      <c r="N11" s="420">
        <v>354851</v>
      </c>
      <c r="O11" s="420">
        <v>354972</v>
      </c>
      <c r="P11" s="420">
        <v>355066</v>
      </c>
      <c r="Q11" s="420">
        <v>355172</v>
      </c>
      <c r="R11" s="420">
        <v>355299</v>
      </c>
      <c r="S11" s="420">
        <v>355429</v>
      </c>
      <c r="T11" s="420">
        <v>355558</v>
      </c>
      <c r="U11" s="420">
        <v>355687</v>
      </c>
      <c r="V11" s="420">
        <v>355808</v>
      </c>
      <c r="W11" s="420">
        <v>355903</v>
      </c>
      <c r="X11" s="420">
        <v>356014</v>
      </c>
      <c r="Y11" s="420">
        <v>356148</v>
      </c>
      <c r="Z11" s="420">
        <v>356282</v>
      </c>
      <c r="AA11" s="420">
        <v>356409</v>
      </c>
      <c r="AB11" s="420">
        <v>356537</v>
      </c>
      <c r="AC11" s="420">
        <v>356652</v>
      </c>
      <c r="AD11" s="420">
        <v>356739</v>
      </c>
      <c r="AE11" s="420">
        <v>356845</v>
      </c>
      <c r="AF11" s="290"/>
      <c r="AG11" s="423">
        <v>353232</v>
      </c>
      <c r="AH11" s="288"/>
    </row>
    <row r="12" spans="1:36"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07"/>
      <c r="AG12" s="420"/>
    </row>
    <row r="13" spans="1:36">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296"/>
      <c r="AG13" s="408" t="s">
        <v>64</v>
      </c>
    </row>
    <row r="14" spans="1:36">
      <c r="A14" s="282" t="s">
        <v>995</v>
      </c>
      <c r="B14" s="409">
        <v>44475</v>
      </c>
      <c r="C14" s="409">
        <v>44588</v>
      </c>
      <c r="D14" s="409">
        <v>44691</v>
      </c>
      <c r="E14" s="409">
        <v>44833</v>
      </c>
      <c r="F14" s="409">
        <v>44933</v>
      </c>
      <c r="G14" s="409">
        <v>45043</v>
      </c>
      <c r="H14" s="409">
        <v>45160</v>
      </c>
      <c r="I14" s="409">
        <v>45206</v>
      </c>
      <c r="J14" s="409">
        <v>45359</v>
      </c>
      <c r="K14" s="409">
        <v>45484</v>
      </c>
      <c r="L14" s="409">
        <v>45596</v>
      </c>
      <c r="M14" s="409">
        <v>45702</v>
      </c>
      <c r="N14" s="409">
        <v>45817</v>
      </c>
      <c r="O14" s="409">
        <v>45957</v>
      </c>
      <c r="P14" s="409">
        <v>46006</v>
      </c>
      <c r="Q14" s="409">
        <v>46207</v>
      </c>
      <c r="R14" s="409">
        <v>46474</v>
      </c>
      <c r="S14" s="409">
        <v>46645</v>
      </c>
      <c r="T14" s="409">
        <v>46798</v>
      </c>
      <c r="U14" s="409">
        <v>46957</v>
      </c>
      <c r="V14" s="409">
        <v>47116</v>
      </c>
      <c r="W14" s="409">
        <v>47133</v>
      </c>
      <c r="X14" s="409">
        <v>47297</v>
      </c>
      <c r="Y14" s="409">
        <v>47409</v>
      </c>
      <c r="Z14" s="409">
        <v>47567</v>
      </c>
      <c r="AA14" s="409">
        <v>47695</v>
      </c>
      <c r="AB14" s="409">
        <v>47795</v>
      </c>
      <c r="AC14" s="409">
        <v>47907</v>
      </c>
      <c r="AD14" s="409">
        <v>47914</v>
      </c>
      <c r="AE14" s="409">
        <v>48058</v>
      </c>
      <c r="AF14" s="301">
        <f>AE14-AG14</f>
        <v>3665</v>
      </c>
      <c r="AG14" s="409">
        <v>44393</v>
      </c>
      <c r="AH14" s="299">
        <v>3665</v>
      </c>
      <c r="AI14" s="299"/>
      <c r="AJ14" s="436"/>
    </row>
    <row r="15" spans="1:36" ht="25.5">
      <c r="A15" s="282" t="s">
        <v>67</v>
      </c>
      <c r="B15" s="409">
        <v>8938</v>
      </c>
      <c r="C15" s="409">
        <v>8938</v>
      </c>
      <c r="D15" s="409">
        <v>8938</v>
      </c>
      <c r="E15" s="409">
        <v>8938</v>
      </c>
      <c r="F15" s="409">
        <v>8938</v>
      </c>
      <c r="G15" s="409">
        <v>8938</v>
      </c>
      <c r="H15" s="409">
        <v>8938</v>
      </c>
      <c r="I15" s="409">
        <v>8938</v>
      </c>
      <c r="J15" s="409">
        <v>8938</v>
      </c>
      <c r="K15" s="409">
        <v>8938</v>
      </c>
      <c r="L15" s="409">
        <v>8938</v>
      </c>
      <c r="M15" s="409">
        <v>8938</v>
      </c>
      <c r="N15" s="409">
        <v>8938</v>
      </c>
      <c r="O15" s="409">
        <v>8938</v>
      </c>
      <c r="P15" s="409">
        <v>8938</v>
      </c>
      <c r="Q15" s="409">
        <v>8938</v>
      </c>
      <c r="R15" s="409">
        <v>8938</v>
      </c>
      <c r="S15" s="409">
        <v>8938</v>
      </c>
      <c r="T15" s="409">
        <v>8938</v>
      </c>
      <c r="U15" s="409">
        <v>8938</v>
      </c>
      <c r="V15" s="409">
        <v>8938</v>
      </c>
      <c r="W15" s="409">
        <v>8938</v>
      </c>
      <c r="X15" s="409">
        <v>8938</v>
      </c>
      <c r="Y15" s="409">
        <v>8938</v>
      </c>
      <c r="Z15" s="409">
        <v>8938</v>
      </c>
      <c r="AA15" s="409">
        <v>8938</v>
      </c>
      <c r="AB15" s="409">
        <v>8938</v>
      </c>
      <c r="AC15" s="409">
        <v>8938</v>
      </c>
      <c r="AD15" s="409">
        <v>8938</v>
      </c>
      <c r="AE15" s="409">
        <v>8938</v>
      </c>
      <c r="AF15" s="301">
        <f t="shared" ref="AF15:AF34" si="0">AE15-AG15</f>
        <v>0</v>
      </c>
      <c r="AG15" s="409">
        <v>8938</v>
      </c>
      <c r="AH15" s="144">
        <v>0</v>
      </c>
      <c r="AI15" s="299"/>
      <c r="AJ15" s="411"/>
    </row>
    <row r="16" spans="1:36" ht="25.5">
      <c r="A16" s="282" t="s">
        <v>68</v>
      </c>
      <c r="B16" s="409">
        <v>12877</v>
      </c>
      <c r="C16" s="409">
        <v>12877</v>
      </c>
      <c r="D16" s="409">
        <v>12877</v>
      </c>
      <c r="E16" s="409">
        <v>12877</v>
      </c>
      <c r="F16" s="409">
        <v>12877</v>
      </c>
      <c r="G16" s="409">
        <v>12877</v>
      </c>
      <c r="H16" s="409">
        <v>12877</v>
      </c>
      <c r="I16" s="409">
        <v>12877</v>
      </c>
      <c r="J16" s="409">
        <v>12877</v>
      </c>
      <c r="K16" s="409">
        <v>12877</v>
      </c>
      <c r="L16" s="409">
        <v>12877</v>
      </c>
      <c r="M16" s="409">
        <v>12877</v>
      </c>
      <c r="N16" s="409">
        <v>12877</v>
      </c>
      <c r="O16" s="409">
        <v>12877</v>
      </c>
      <c r="P16" s="409">
        <v>12877</v>
      </c>
      <c r="Q16" s="409">
        <v>12877</v>
      </c>
      <c r="R16" s="409">
        <v>12877</v>
      </c>
      <c r="S16" s="409">
        <v>12877</v>
      </c>
      <c r="T16" s="409">
        <v>12877</v>
      </c>
      <c r="U16" s="409">
        <v>12877</v>
      </c>
      <c r="V16" s="409">
        <v>12877</v>
      </c>
      <c r="W16" s="409">
        <v>12877</v>
      </c>
      <c r="X16" s="409">
        <v>12877</v>
      </c>
      <c r="Y16" s="409">
        <v>12877</v>
      </c>
      <c r="Z16" s="409">
        <v>12877</v>
      </c>
      <c r="AA16" s="409">
        <v>12877</v>
      </c>
      <c r="AB16" s="409">
        <v>12877</v>
      </c>
      <c r="AC16" s="409">
        <v>12877</v>
      </c>
      <c r="AD16" s="409">
        <v>12877</v>
      </c>
      <c r="AE16" s="409">
        <v>12877</v>
      </c>
      <c r="AF16" s="301">
        <f t="shared" si="0"/>
        <v>0</v>
      </c>
      <c r="AG16" s="409">
        <v>12877</v>
      </c>
      <c r="AH16" s="144">
        <v>0</v>
      </c>
      <c r="AI16" s="299"/>
      <c r="AJ16" s="411"/>
    </row>
    <row r="17" spans="1:36"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301">
        <f t="shared" si="0"/>
        <v>0</v>
      </c>
      <c r="AG17" s="437"/>
      <c r="AJ17" s="411"/>
    </row>
    <row r="18" spans="1:36">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301" t="e">
        <f t="shared" si="0"/>
        <v>#VALUE!</v>
      </c>
      <c r="AG18" s="439" t="s">
        <v>64</v>
      </c>
      <c r="AJ18" s="412"/>
    </row>
    <row r="19" spans="1:36" ht="25.5">
      <c r="A19" s="282" t="s">
        <v>70</v>
      </c>
      <c r="B19" s="413">
        <v>0</v>
      </c>
      <c r="C19" s="413">
        <v>0</v>
      </c>
      <c r="D19" s="413">
        <v>0</v>
      </c>
      <c r="E19" s="413">
        <v>0</v>
      </c>
      <c r="F19" s="413">
        <v>0</v>
      </c>
      <c r="G19" s="413">
        <v>0</v>
      </c>
      <c r="H19" s="413">
        <v>0</v>
      </c>
      <c r="I19" s="413">
        <v>0</v>
      </c>
      <c r="J19" s="413">
        <v>0</v>
      </c>
      <c r="K19" s="413">
        <v>0</v>
      </c>
      <c r="L19" s="413">
        <v>0</v>
      </c>
      <c r="M19" s="413">
        <v>0</v>
      </c>
      <c r="N19" s="413">
        <v>0</v>
      </c>
      <c r="O19" s="413">
        <v>0</v>
      </c>
      <c r="P19" s="413">
        <v>0</v>
      </c>
      <c r="Q19" s="413">
        <v>0</v>
      </c>
      <c r="R19" s="413">
        <v>0</v>
      </c>
      <c r="S19" s="413">
        <v>0</v>
      </c>
      <c r="T19" s="413">
        <v>0</v>
      </c>
      <c r="U19" s="413">
        <v>0</v>
      </c>
      <c r="V19" s="413">
        <v>0</v>
      </c>
      <c r="W19" s="413">
        <v>0</v>
      </c>
      <c r="X19" s="413">
        <v>0</v>
      </c>
      <c r="Y19" s="413">
        <v>0</v>
      </c>
      <c r="Z19" s="413">
        <v>0</v>
      </c>
      <c r="AA19" s="413">
        <v>0</v>
      </c>
      <c r="AB19" s="413">
        <v>0</v>
      </c>
      <c r="AC19" s="413">
        <v>0</v>
      </c>
      <c r="AD19" s="413">
        <v>0</v>
      </c>
      <c r="AE19" s="413">
        <v>0</v>
      </c>
      <c r="AF19" s="301">
        <f t="shared" si="0"/>
        <v>0</v>
      </c>
      <c r="AG19" s="413">
        <v>0</v>
      </c>
      <c r="AH19" s="307">
        <v>0</v>
      </c>
      <c r="AI19" s="307"/>
      <c r="AJ19" s="436"/>
    </row>
    <row r="20" spans="1:36" ht="25.5">
      <c r="A20" s="282" t="s">
        <v>2715</v>
      </c>
      <c r="B20" s="413">
        <v>1635099</v>
      </c>
      <c r="C20" s="413">
        <v>1682855</v>
      </c>
      <c r="D20" s="413">
        <v>1682855</v>
      </c>
      <c r="E20" s="413">
        <v>1682855</v>
      </c>
      <c r="F20" s="413">
        <v>1682855</v>
      </c>
      <c r="G20" s="413">
        <v>1682855</v>
      </c>
      <c r="H20" s="413">
        <v>1682855</v>
      </c>
      <c r="I20" s="413">
        <v>1682855</v>
      </c>
      <c r="J20" s="413">
        <v>1682855</v>
      </c>
      <c r="K20" s="413">
        <v>1682855</v>
      </c>
      <c r="L20" s="413">
        <v>1682855</v>
      </c>
      <c r="M20" s="413">
        <v>1682855</v>
      </c>
      <c r="N20" s="413">
        <v>1682855</v>
      </c>
      <c r="O20" s="413">
        <v>1682855</v>
      </c>
      <c r="P20" s="413">
        <v>1682855</v>
      </c>
      <c r="Q20" s="413">
        <v>1682855</v>
      </c>
      <c r="R20" s="413">
        <v>1682855</v>
      </c>
      <c r="S20" s="413">
        <v>1682855</v>
      </c>
      <c r="T20" s="413">
        <v>1682855</v>
      </c>
      <c r="U20" s="413">
        <v>1682855</v>
      </c>
      <c r="V20" s="413">
        <v>1682855</v>
      </c>
      <c r="W20" s="413">
        <v>1682855</v>
      </c>
      <c r="X20" s="413">
        <v>1682855</v>
      </c>
      <c r="Y20" s="413">
        <v>1682855</v>
      </c>
      <c r="Z20" s="413">
        <v>1682855</v>
      </c>
      <c r="AA20" s="413">
        <v>1682855</v>
      </c>
      <c r="AB20" s="413">
        <v>1682855</v>
      </c>
      <c r="AC20" s="413">
        <v>1682855</v>
      </c>
      <c r="AD20" s="413">
        <v>1682855</v>
      </c>
      <c r="AE20" s="413">
        <v>1682855</v>
      </c>
      <c r="AF20" s="301">
        <f t="shared" si="0"/>
        <v>77099</v>
      </c>
      <c r="AG20" s="409">
        <v>1605756</v>
      </c>
      <c r="AH20" s="144">
        <v>77099</v>
      </c>
      <c r="AI20" s="307"/>
      <c r="AJ20" s="414"/>
    </row>
    <row r="21" spans="1:36">
      <c r="A21" s="282" t="s">
        <v>72</v>
      </c>
      <c r="B21" s="409">
        <v>285325</v>
      </c>
      <c r="C21" s="409">
        <v>285412</v>
      </c>
      <c r="D21" s="409">
        <v>285555</v>
      </c>
      <c r="E21" s="409">
        <v>285675</v>
      </c>
      <c r="F21" s="409">
        <v>285830</v>
      </c>
      <c r="G21" s="409">
        <v>285960</v>
      </c>
      <c r="H21" s="409">
        <v>286251</v>
      </c>
      <c r="I21" s="409">
        <v>286258</v>
      </c>
      <c r="J21" s="409">
        <v>286423</v>
      </c>
      <c r="K21" s="409">
        <v>286531</v>
      </c>
      <c r="L21" s="409">
        <v>286620</v>
      </c>
      <c r="M21" s="409">
        <v>286800</v>
      </c>
      <c r="N21" s="409">
        <v>286906</v>
      </c>
      <c r="O21" s="409">
        <v>287165</v>
      </c>
      <c r="P21" s="409">
        <v>287165</v>
      </c>
      <c r="Q21" s="409">
        <v>287281</v>
      </c>
      <c r="R21" s="409">
        <v>287388</v>
      </c>
      <c r="S21" s="409">
        <v>287513</v>
      </c>
      <c r="T21" s="409">
        <v>287657</v>
      </c>
      <c r="U21" s="409">
        <v>287797</v>
      </c>
      <c r="V21" s="409">
        <v>287983</v>
      </c>
      <c r="W21" s="409">
        <v>288020</v>
      </c>
      <c r="X21" s="409">
        <v>288150</v>
      </c>
      <c r="Y21" s="409">
        <v>288293</v>
      </c>
      <c r="Z21" s="409">
        <v>288380</v>
      </c>
      <c r="AA21" s="409">
        <v>288546</v>
      </c>
      <c r="AB21" s="409">
        <v>288651</v>
      </c>
      <c r="AC21" s="409">
        <v>288838</v>
      </c>
      <c r="AD21" s="409">
        <v>288850</v>
      </c>
      <c r="AE21" s="409">
        <v>288980</v>
      </c>
      <c r="AF21" s="301">
        <f t="shared" si="0"/>
        <v>3814</v>
      </c>
      <c r="AG21" s="409">
        <v>285166</v>
      </c>
      <c r="AH21" s="144">
        <v>3814</v>
      </c>
      <c r="AI21" s="307"/>
      <c r="AJ21" s="415"/>
    </row>
    <row r="22" spans="1:36">
      <c r="A22" s="282" t="s">
        <v>73</v>
      </c>
      <c r="B22" s="409">
        <v>262896</v>
      </c>
      <c r="C22" s="409">
        <v>262957</v>
      </c>
      <c r="D22" s="409">
        <v>263029</v>
      </c>
      <c r="E22" s="409">
        <v>263116</v>
      </c>
      <c r="F22" s="409">
        <v>263185</v>
      </c>
      <c r="G22" s="409">
        <v>263271</v>
      </c>
      <c r="H22" s="409">
        <v>263370</v>
      </c>
      <c r="I22" s="409">
        <v>263413</v>
      </c>
      <c r="J22" s="409">
        <v>263472</v>
      </c>
      <c r="K22" s="409">
        <v>263547</v>
      </c>
      <c r="L22" s="409">
        <v>263617</v>
      </c>
      <c r="M22" s="409">
        <v>263686</v>
      </c>
      <c r="N22" s="409">
        <v>263686</v>
      </c>
      <c r="O22" s="409">
        <v>263845</v>
      </c>
      <c r="P22" s="409">
        <v>263887</v>
      </c>
      <c r="Q22" s="409">
        <v>263945</v>
      </c>
      <c r="R22" s="409">
        <v>264019</v>
      </c>
      <c r="S22" s="409">
        <v>264090</v>
      </c>
      <c r="T22" s="409">
        <v>264157</v>
      </c>
      <c r="U22" s="409">
        <v>264232</v>
      </c>
      <c r="V22" s="409">
        <v>264325</v>
      </c>
      <c r="W22" s="409">
        <v>264359</v>
      </c>
      <c r="X22" s="409">
        <v>264422</v>
      </c>
      <c r="Y22" s="409">
        <v>264493</v>
      </c>
      <c r="Z22" s="409">
        <v>264556</v>
      </c>
      <c r="AA22" s="409">
        <v>264625</v>
      </c>
      <c r="AB22" s="409">
        <v>264693</v>
      </c>
      <c r="AC22" s="409">
        <v>264771</v>
      </c>
      <c r="AD22" s="409">
        <v>264811</v>
      </c>
      <c r="AE22" s="409">
        <v>264863</v>
      </c>
      <c r="AF22" s="301">
        <f t="shared" si="0"/>
        <v>1980</v>
      </c>
      <c r="AG22" s="409">
        <v>262883</v>
      </c>
      <c r="AH22" s="144">
        <v>1980</v>
      </c>
      <c r="AI22" s="307"/>
      <c r="AJ22" s="415"/>
    </row>
    <row r="23" spans="1:36">
      <c r="A23" s="309" t="s">
        <v>136</v>
      </c>
      <c r="B23" s="409">
        <v>16847</v>
      </c>
      <c r="C23" s="409">
        <v>16852</v>
      </c>
      <c r="D23" s="409">
        <v>16867</v>
      </c>
      <c r="E23" s="409">
        <v>16879</v>
      </c>
      <c r="F23" s="409">
        <v>16891</v>
      </c>
      <c r="G23" s="409">
        <v>16903</v>
      </c>
      <c r="H23" s="409">
        <v>16914</v>
      </c>
      <c r="I23" s="409">
        <v>16915</v>
      </c>
      <c r="J23" s="409">
        <v>16918</v>
      </c>
      <c r="K23" s="409">
        <v>16931</v>
      </c>
      <c r="L23" s="409">
        <v>16943</v>
      </c>
      <c r="M23" s="409">
        <v>16956</v>
      </c>
      <c r="N23" s="409">
        <v>16970</v>
      </c>
      <c r="O23" s="409">
        <v>16984</v>
      </c>
      <c r="P23" s="409">
        <v>16984</v>
      </c>
      <c r="Q23" s="409">
        <v>16989</v>
      </c>
      <c r="R23" s="409">
        <v>17005</v>
      </c>
      <c r="S23" s="409">
        <v>17019</v>
      </c>
      <c r="T23" s="409">
        <v>17034</v>
      </c>
      <c r="U23" s="409">
        <v>17048</v>
      </c>
      <c r="V23" s="409">
        <v>17062</v>
      </c>
      <c r="W23" s="409">
        <v>17063</v>
      </c>
      <c r="X23" s="409">
        <v>17064</v>
      </c>
      <c r="Y23" s="409">
        <v>17078</v>
      </c>
      <c r="Z23" s="409">
        <v>17093</v>
      </c>
      <c r="AA23" s="409">
        <v>17108</v>
      </c>
      <c r="AB23" s="409">
        <v>17122</v>
      </c>
      <c r="AC23" s="409">
        <v>17137</v>
      </c>
      <c r="AD23" s="409">
        <v>17137</v>
      </c>
      <c r="AE23" s="409">
        <v>17141</v>
      </c>
      <c r="AF23" s="301">
        <f t="shared" si="0"/>
        <v>294</v>
      </c>
      <c r="AG23" s="409">
        <v>16847</v>
      </c>
      <c r="AH23" s="144">
        <v>294</v>
      </c>
      <c r="AI23" s="307"/>
      <c r="AJ23" s="414"/>
    </row>
    <row r="24" spans="1:36">
      <c r="A24" s="309" t="s">
        <v>139</v>
      </c>
      <c r="B24" s="409">
        <v>11510</v>
      </c>
      <c r="C24" s="409">
        <v>11511</v>
      </c>
      <c r="D24" s="409">
        <v>11521</v>
      </c>
      <c r="E24" s="409">
        <v>11528</v>
      </c>
      <c r="F24" s="409">
        <v>11536</v>
      </c>
      <c r="G24" s="409">
        <v>11542</v>
      </c>
      <c r="H24" s="409">
        <v>11550</v>
      </c>
      <c r="I24" s="409">
        <v>11550</v>
      </c>
      <c r="J24" s="409">
        <v>11563</v>
      </c>
      <c r="K24" s="409">
        <v>11575</v>
      </c>
      <c r="L24" s="409">
        <v>11584</v>
      </c>
      <c r="M24" s="409">
        <v>11593</v>
      </c>
      <c r="N24" s="409">
        <v>11602</v>
      </c>
      <c r="O24" s="409">
        <v>11614</v>
      </c>
      <c r="P24" s="409">
        <v>11617</v>
      </c>
      <c r="Q24" s="409">
        <v>11624</v>
      </c>
      <c r="R24" s="409">
        <v>11636</v>
      </c>
      <c r="S24" s="409">
        <v>11644</v>
      </c>
      <c r="T24" s="409">
        <v>11651</v>
      </c>
      <c r="U24" s="409">
        <v>11660</v>
      </c>
      <c r="V24" s="409">
        <v>11667</v>
      </c>
      <c r="W24" s="409">
        <v>11667</v>
      </c>
      <c r="X24" s="409">
        <v>11669</v>
      </c>
      <c r="Y24" s="409">
        <v>11677</v>
      </c>
      <c r="Z24" s="409">
        <v>11686</v>
      </c>
      <c r="AA24" s="409">
        <v>11694</v>
      </c>
      <c r="AB24" s="409">
        <v>11704</v>
      </c>
      <c r="AC24" s="409">
        <v>11712</v>
      </c>
      <c r="AD24" s="409">
        <v>11712</v>
      </c>
      <c r="AE24" s="409">
        <v>11714</v>
      </c>
      <c r="AF24" s="301">
        <f t="shared" si="0"/>
        <v>204</v>
      </c>
      <c r="AG24" s="443">
        <v>11510</v>
      </c>
      <c r="AH24" s="144">
        <v>204</v>
      </c>
      <c r="AI24" s="307"/>
      <c r="AJ24" s="414"/>
    </row>
    <row r="25" spans="1:36">
      <c r="A25" s="309" t="s">
        <v>142</v>
      </c>
      <c r="B25" s="409">
        <v>4690</v>
      </c>
      <c r="C25" s="409">
        <v>4691</v>
      </c>
      <c r="D25" s="409">
        <v>4699</v>
      </c>
      <c r="E25" s="409">
        <v>4705</v>
      </c>
      <c r="F25" s="409">
        <v>4711</v>
      </c>
      <c r="G25" s="409">
        <v>4718</v>
      </c>
      <c r="H25" s="409">
        <v>4724</v>
      </c>
      <c r="I25" s="409">
        <v>4724</v>
      </c>
      <c r="J25" s="409">
        <v>4725</v>
      </c>
      <c r="K25" s="409">
        <v>4731</v>
      </c>
      <c r="L25" s="409">
        <v>4738</v>
      </c>
      <c r="M25" s="409">
        <v>4747</v>
      </c>
      <c r="N25" s="409">
        <v>4753</v>
      </c>
      <c r="O25" s="409">
        <v>4759</v>
      </c>
      <c r="P25" s="409">
        <v>4759</v>
      </c>
      <c r="Q25" s="409">
        <v>4760</v>
      </c>
      <c r="R25" s="409">
        <v>4768</v>
      </c>
      <c r="S25" s="409">
        <v>4776</v>
      </c>
      <c r="T25" s="409">
        <v>4784</v>
      </c>
      <c r="U25" s="409">
        <v>4790</v>
      </c>
      <c r="V25" s="409">
        <v>4795</v>
      </c>
      <c r="W25" s="409">
        <v>4795</v>
      </c>
      <c r="X25" s="409">
        <v>4796</v>
      </c>
      <c r="Y25" s="409">
        <v>4802</v>
      </c>
      <c r="Z25" s="409">
        <v>4807</v>
      </c>
      <c r="AA25" s="409">
        <v>4812</v>
      </c>
      <c r="AB25" s="409">
        <v>4817</v>
      </c>
      <c r="AC25" s="409">
        <v>4822</v>
      </c>
      <c r="AD25" s="409">
        <v>4822</v>
      </c>
      <c r="AE25" s="409">
        <v>4822</v>
      </c>
      <c r="AF25" s="301">
        <f t="shared" si="0"/>
        <v>132</v>
      </c>
      <c r="AG25" s="409">
        <v>4690</v>
      </c>
      <c r="AH25" s="144">
        <v>132</v>
      </c>
      <c r="AI25" s="307"/>
      <c r="AJ25" s="414"/>
    </row>
    <row r="26" spans="1:36">
      <c r="A26" s="309" t="s">
        <v>145</v>
      </c>
      <c r="B26" s="409">
        <v>2899</v>
      </c>
      <c r="C26" s="409">
        <v>2901</v>
      </c>
      <c r="D26" s="409">
        <v>2903</v>
      </c>
      <c r="E26" s="409">
        <v>2906</v>
      </c>
      <c r="F26" s="409">
        <v>2909</v>
      </c>
      <c r="G26" s="409">
        <v>2912</v>
      </c>
      <c r="H26" s="409">
        <v>2914</v>
      </c>
      <c r="I26" s="409">
        <v>2915</v>
      </c>
      <c r="J26" s="409">
        <v>2915</v>
      </c>
      <c r="K26" s="409">
        <v>2918</v>
      </c>
      <c r="L26" s="409">
        <v>2921</v>
      </c>
      <c r="M26" s="409">
        <v>2924</v>
      </c>
      <c r="N26" s="409">
        <v>2927</v>
      </c>
      <c r="O26" s="409">
        <v>2927</v>
      </c>
      <c r="P26" s="409">
        <v>2931</v>
      </c>
      <c r="Q26" s="409">
        <v>2935</v>
      </c>
      <c r="R26" s="409">
        <v>2938</v>
      </c>
      <c r="S26" s="409">
        <v>2941</v>
      </c>
      <c r="T26" s="409">
        <v>2944</v>
      </c>
      <c r="U26" s="409">
        <v>2947</v>
      </c>
      <c r="V26" s="409">
        <v>2949</v>
      </c>
      <c r="W26" s="409">
        <v>2949</v>
      </c>
      <c r="X26" s="409">
        <v>2954</v>
      </c>
      <c r="Y26" s="409">
        <v>2957</v>
      </c>
      <c r="Z26" s="409">
        <v>2959</v>
      </c>
      <c r="AA26" s="409">
        <v>2962</v>
      </c>
      <c r="AB26" s="409">
        <v>2964</v>
      </c>
      <c r="AC26" s="409">
        <v>2966</v>
      </c>
      <c r="AD26" s="409">
        <v>2967</v>
      </c>
      <c r="AE26" s="409">
        <v>2968</v>
      </c>
      <c r="AF26" s="301">
        <f t="shared" si="0"/>
        <v>69</v>
      </c>
      <c r="AG26" s="409">
        <v>2899</v>
      </c>
      <c r="AH26" s="144">
        <v>69</v>
      </c>
      <c r="AI26" s="307"/>
      <c r="AJ26" s="414"/>
    </row>
    <row r="27" spans="1:36">
      <c r="A27" s="309" t="s">
        <v>148</v>
      </c>
      <c r="B27" s="409">
        <v>17682</v>
      </c>
      <c r="C27" s="409">
        <v>17685</v>
      </c>
      <c r="D27" s="409">
        <v>17697</v>
      </c>
      <c r="E27" s="409">
        <v>17717</v>
      </c>
      <c r="F27" s="409">
        <v>17731</v>
      </c>
      <c r="G27" s="409">
        <v>17744</v>
      </c>
      <c r="H27" s="409">
        <v>17756</v>
      </c>
      <c r="I27" s="409">
        <v>17757</v>
      </c>
      <c r="J27" s="409">
        <v>17759</v>
      </c>
      <c r="K27" s="409">
        <v>17774</v>
      </c>
      <c r="L27" s="409">
        <v>17787</v>
      </c>
      <c r="M27" s="409">
        <v>17800</v>
      </c>
      <c r="N27" s="409">
        <v>17813</v>
      </c>
      <c r="O27" s="409">
        <v>17824</v>
      </c>
      <c r="P27" s="409">
        <v>17825</v>
      </c>
      <c r="Q27" s="409">
        <v>17828</v>
      </c>
      <c r="R27" s="409">
        <v>17841</v>
      </c>
      <c r="S27" s="409">
        <v>17853</v>
      </c>
      <c r="T27" s="409">
        <v>17867</v>
      </c>
      <c r="U27" s="409">
        <v>17880</v>
      </c>
      <c r="V27" s="409">
        <v>17892</v>
      </c>
      <c r="W27" s="409">
        <v>17892</v>
      </c>
      <c r="X27" s="409">
        <v>17896</v>
      </c>
      <c r="Y27" s="409">
        <v>17908</v>
      </c>
      <c r="Z27" s="409">
        <v>17923</v>
      </c>
      <c r="AA27" s="409">
        <v>17936</v>
      </c>
      <c r="AB27" s="409">
        <v>17948</v>
      </c>
      <c r="AC27" s="409">
        <v>17958</v>
      </c>
      <c r="AD27" s="409">
        <v>17959</v>
      </c>
      <c r="AE27" s="409">
        <v>17964</v>
      </c>
      <c r="AF27" s="301">
        <f t="shared" si="0"/>
        <v>283</v>
      </c>
      <c r="AG27" s="409">
        <v>17681</v>
      </c>
      <c r="AH27" s="144">
        <v>283</v>
      </c>
      <c r="AI27" s="307"/>
      <c r="AJ27" s="414"/>
    </row>
    <row r="28" spans="1:36">
      <c r="A28" s="309"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43">
        <v>1330</v>
      </c>
      <c r="T28" s="443">
        <v>1330</v>
      </c>
      <c r="U28" s="443">
        <v>1330</v>
      </c>
      <c r="V28" s="443">
        <v>1330</v>
      </c>
      <c r="W28" s="443">
        <v>1330</v>
      </c>
      <c r="X28" s="443">
        <v>1330</v>
      </c>
      <c r="Y28" s="443">
        <v>1330</v>
      </c>
      <c r="Z28" s="443">
        <v>1330</v>
      </c>
      <c r="AA28" s="443">
        <v>1330</v>
      </c>
      <c r="AB28" s="443">
        <v>1330</v>
      </c>
      <c r="AC28" s="443">
        <v>1330</v>
      </c>
      <c r="AD28" s="443">
        <v>1330</v>
      </c>
      <c r="AE28" s="443">
        <v>1330</v>
      </c>
      <c r="AF28" s="301">
        <f t="shared" si="0"/>
        <v>0</v>
      </c>
      <c r="AG28" s="443">
        <v>1330</v>
      </c>
      <c r="AH28" s="144">
        <v>0</v>
      </c>
      <c r="AI28" s="307"/>
      <c r="AJ28" s="414"/>
    </row>
    <row r="29" spans="1:36">
      <c r="A29" s="309" t="s">
        <v>154</v>
      </c>
      <c r="B29" s="443">
        <v>1399</v>
      </c>
      <c r="C29" s="443">
        <v>1400</v>
      </c>
      <c r="D29" s="443">
        <v>1401</v>
      </c>
      <c r="E29" s="443">
        <v>1402</v>
      </c>
      <c r="F29" s="443">
        <v>1403</v>
      </c>
      <c r="G29" s="443">
        <v>1404</v>
      </c>
      <c r="H29" s="443">
        <v>1405</v>
      </c>
      <c r="I29" s="443">
        <v>1405</v>
      </c>
      <c r="J29" s="443">
        <v>1406</v>
      </c>
      <c r="K29" s="443">
        <v>1407</v>
      </c>
      <c r="L29" s="443">
        <v>1409</v>
      </c>
      <c r="M29" s="443">
        <v>1410</v>
      </c>
      <c r="N29" s="443">
        <v>1411</v>
      </c>
      <c r="O29" s="443">
        <v>1412</v>
      </c>
      <c r="P29" s="443">
        <v>1412</v>
      </c>
      <c r="Q29" s="443">
        <v>1413</v>
      </c>
      <c r="R29" s="443">
        <v>1414</v>
      </c>
      <c r="S29" s="443">
        <v>1415</v>
      </c>
      <c r="T29" s="443">
        <v>1416</v>
      </c>
      <c r="U29" s="443">
        <v>1417</v>
      </c>
      <c r="V29" s="443">
        <v>1418</v>
      </c>
      <c r="W29" s="443">
        <v>1418</v>
      </c>
      <c r="X29" s="443">
        <v>1419</v>
      </c>
      <c r="Y29" s="443">
        <v>1420</v>
      </c>
      <c r="Z29" s="443">
        <v>1421</v>
      </c>
      <c r="AA29" s="443">
        <v>1422</v>
      </c>
      <c r="AB29" s="443">
        <v>1422</v>
      </c>
      <c r="AC29" s="443">
        <v>1423</v>
      </c>
      <c r="AD29" s="443">
        <v>1425</v>
      </c>
      <c r="AE29" s="443">
        <v>1426</v>
      </c>
      <c r="AF29" s="301">
        <f t="shared" si="0"/>
        <v>27</v>
      </c>
      <c r="AG29" s="443">
        <v>1399</v>
      </c>
      <c r="AH29" s="144">
        <v>27</v>
      </c>
      <c r="AI29" s="307"/>
      <c r="AJ29" s="414"/>
    </row>
    <row r="30" spans="1:36">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301">
        <f t="shared" si="0"/>
        <v>0</v>
      </c>
      <c r="AG30" s="406"/>
      <c r="AJ30" s="414"/>
    </row>
    <row r="31" spans="1:36">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301" t="e">
        <f t="shared" si="0"/>
        <v>#VALUE!</v>
      </c>
      <c r="AG31" s="408" t="s">
        <v>75</v>
      </c>
    </row>
    <row r="32" spans="1:36">
      <c r="A32" s="282" t="s">
        <v>77</v>
      </c>
      <c r="B32" s="443">
        <v>45350</v>
      </c>
      <c r="C32" s="443">
        <v>45350</v>
      </c>
      <c r="D32" s="443">
        <v>45350</v>
      </c>
      <c r="E32" s="443">
        <v>45350</v>
      </c>
      <c r="F32" s="443">
        <v>45350</v>
      </c>
      <c r="G32" s="443">
        <v>45350</v>
      </c>
      <c r="H32" s="443">
        <v>45350</v>
      </c>
      <c r="I32" s="443">
        <v>45350</v>
      </c>
      <c r="J32" s="443">
        <v>45350</v>
      </c>
      <c r="K32" s="443" t="s">
        <v>2815</v>
      </c>
      <c r="L32" s="443" t="s">
        <v>2815</v>
      </c>
      <c r="M32" s="443" t="s">
        <v>2815</v>
      </c>
      <c r="N32" s="443" t="s">
        <v>2815</v>
      </c>
      <c r="O32" s="443" t="s">
        <v>2815</v>
      </c>
      <c r="P32" s="443" t="s">
        <v>2815</v>
      </c>
      <c r="Q32" s="443" t="s">
        <v>2815</v>
      </c>
      <c r="R32" s="443" t="s">
        <v>2815</v>
      </c>
      <c r="S32" s="443" t="s">
        <v>2815</v>
      </c>
      <c r="T32" s="443" t="s">
        <v>2815</v>
      </c>
      <c r="U32" s="443" t="s">
        <v>2815</v>
      </c>
      <c r="V32" s="443" t="s">
        <v>2815</v>
      </c>
      <c r="W32" s="443" t="s">
        <v>2815</v>
      </c>
      <c r="X32" s="443" t="s">
        <v>2815</v>
      </c>
      <c r="Y32" s="443" t="s">
        <v>2815</v>
      </c>
      <c r="Z32" s="443" t="s">
        <v>2815</v>
      </c>
      <c r="AA32" s="443" t="s">
        <v>2815</v>
      </c>
      <c r="AB32" s="443" t="s">
        <v>2815</v>
      </c>
      <c r="AC32" s="443" t="s">
        <v>2815</v>
      </c>
      <c r="AD32" s="443" t="s">
        <v>2815</v>
      </c>
      <c r="AE32" s="443" t="s">
        <v>2815</v>
      </c>
      <c r="AF32" s="301" t="e">
        <f t="shared" si="0"/>
        <v>#VALUE!</v>
      </c>
      <c r="AG32" s="443">
        <v>45350</v>
      </c>
    </row>
    <row r="33" spans="1:33" ht="25.5">
      <c r="A33" s="282" t="s">
        <v>80</v>
      </c>
      <c r="B33" s="443">
        <v>45350</v>
      </c>
      <c r="C33" s="443">
        <v>45350</v>
      </c>
      <c r="D33" s="443">
        <v>45350</v>
      </c>
      <c r="E33" s="443">
        <v>45350</v>
      </c>
      <c r="F33" s="443">
        <v>45350</v>
      </c>
      <c r="G33" s="443">
        <v>45350</v>
      </c>
      <c r="H33" s="443">
        <v>45350</v>
      </c>
      <c r="I33" s="443">
        <v>45350</v>
      </c>
      <c r="J33" s="443">
        <v>45350</v>
      </c>
      <c r="K33" s="443" t="s">
        <v>2815</v>
      </c>
      <c r="L33" s="443" t="s">
        <v>2815</v>
      </c>
      <c r="M33" s="443" t="s">
        <v>2815</v>
      </c>
      <c r="N33" s="443" t="s">
        <v>2815</v>
      </c>
      <c r="O33" s="443" t="s">
        <v>2815</v>
      </c>
      <c r="P33" s="443" t="s">
        <v>2815</v>
      </c>
      <c r="Q33" s="443" t="s">
        <v>2815</v>
      </c>
      <c r="R33" s="443" t="s">
        <v>2815</v>
      </c>
      <c r="S33" s="443" t="s">
        <v>2815</v>
      </c>
      <c r="T33" s="443" t="s">
        <v>2815</v>
      </c>
      <c r="U33" s="443" t="s">
        <v>2815</v>
      </c>
      <c r="V33" s="443" t="s">
        <v>2815</v>
      </c>
      <c r="W33" s="443" t="s">
        <v>2815</v>
      </c>
      <c r="X33" s="443" t="s">
        <v>2815</v>
      </c>
      <c r="Y33" s="443" t="s">
        <v>2815</v>
      </c>
      <c r="Z33" s="443" t="s">
        <v>2815</v>
      </c>
      <c r="AA33" s="443" t="s">
        <v>2815</v>
      </c>
      <c r="AB33" s="443" t="s">
        <v>2815</v>
      </c>
      <c r="AC33" s="443" t="s">
        <v>2815</v>
      </c>
      <c r="AD33" s="443" t="s">
        <v>2815</v>
      </c>
      <c r="AE33" s="443" t="s">
        <v>2815</v>
      </c>
      <c r="AF33" s="301" t="e">
        <f t="shared" si="0"/>
        <v>#VALUE!</v>
      </c>
      <c r="AG33" s="443">
        <v>45350</v>
      </c>
    </row>
    <row r="34" spans="1:33" ht="15.75" thickBot="1">
      <c r="A34" s="310" t="s">
        <v>81</v>
      </c>
      <c r="B34" s="446">
        <v>1500</v>
      </c>
      <c r="C34" s="446">
        <v>1500</v>
      </c>
      <c r="D34" s="446">
        <v>1500</v>
      </c>
      <c r="E34" s="446">
        <v>1500</v>
      </c>
      <c r="F34" s="446">
        <v>1500</v>
      </c>
      <c r="G34" s="446">
        <v>1500</v>
      </c>
      <c r="H34" s="446">
        <v>1500</v>
      </c>
      <c r="I34" s="446">
        <v>1500</v>
      </c>
      <c r="J34" s="446">
        <v>1500</v>
      </c>
      <c r="K34" s="446" t="s">
        <v>2816</v>
      </c>
      <c r="L34" s="446" t="s">
        <v>2816</v>
      </c>
      <c r="M34" s="446" t="s">
        <v>2816</v>
      </c>
      <c r="N34" s="446" t="s">
        <v>2816</v>
      </c>
      <c r="O34" s="446" t="s">
        <v>2816</v>
      </c>
      <c r="P34" s="446" t="s">
        <v>2816</v>
      </c>
      <c r="Q34" s="446" t="s">
        <v>2816</v>
      </c>
      <c r="R34" s="446" t="s">
        <v>2816</v>
      </c>
      <c r="S34" s="446" t="s">
        <v>2816</v>
      </c>
      <c r="T34" s="446" t="s">
        <v>2816</v>
      </c>
      <c r="U34" s="446" t="s">
        <v>2816</v>
      </c>
      <c r="V34" s="446" t="s">
        <v>2816</v>
      </c>
      <c r="W34" s="446" t="s">
        <v>2816</v>
      </c>
      <c r="X34" s="446" t="s">
        <v>2816</v>
      </c>
      <c r="Y34" s="446" t="s">
        <v>2816</v>
      </c>
      <c r="Z34" s="446" t="s">
        <v>2816</v>
      </c>
      <c r="AA34" s="446" t="s">
        <v>2816</v>
      </c>
      <c r="AB34" s="446" t="s">
        <v>2816</v>
      </c>
      <c r="AC34" s="446" t="s">
        <v>2816</v>
      </c>
      <c r="AD34" s="446" t="s">
        <v>2816</v>
      </c>
      <c r="AE34" s="446" t="s">
        <v>2816</v>
      </c>
      <c r="AF34" s="301" t="e">
        <f t="shared" si="0"/>
        <v>#VALUE!</v>
      </c>
      <c r="AG34" s="446">
        <v>1500</v>
      </c>
    </row>
  </sheetData>
  <mergeCells count="1">
    <mergeCell ref="A1:AG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28EB-4ABC-420A-A8C3-4DF952AAA6F2}">
  <dimension ref="A1:AK43"/>
  <sheetViews>
    <sheetView workbookViewId="0">
      <selection activeCell="I16" sqref="I16"/>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45992</v>
      </c>
      <c r="C2" s="281">
        <v>45993</v>
      </c>
      <c r="D2" s="281">
        <v>45994</v>
      </c>
      <c r="E2" s="281">
        <v>45995</v>
      </c>
      <c r="F2" s="281">
        <v>45996</v>
      </c>
      <c r="G2" s="281">
        <v>45997</v>
      </c>
      <c r="H2" s="281">
        <v>45998</v>
      </c>
      <c r="I2" s="281">
        <v>45999</v>
      </c>
      <c r="J2" s="281">
        <v>46000</v>
      </c>
      <c r="K2" s="281">
        <v>46001</v>
      </c>
      <c r="L2" s="281">
        <v>46002</v>
      </c>
      <c r="M2" s="281">
        <v>46003</v>
      </c>
      <c r="N2" s="281">
        <v>46004</v>
      </c>
      <c r="O2" s="281">
        <v>46005</v>
      </c>
      <c r="P2" s="281">
        <v>46006</v>
      </c>
      <c r="Q2" s="281">
        <v>46007</v>
      </c>
      <c r="R2" s="281">
        <v>46008</v>
      </c>
      <c r="S2" s="281">
        <v>46009</v>
      </c>
      <c r="T2" s="281">
        <v>46010</v>
      </c>
      <c r="U2" s="281">
        <v>46011</v>
      </c>
      <c r="V2" s="281">
        <v>46012</v>
      </c>
      <c r="W2" s="281">
        <v>46013</v>
      </c>
      <c r="X2" s="281">
        <v>46014</v>
      </c>
      <c r="Y2" s="281">
        <v>46015</v>
      </c>
      <c r="Z2" s="281">
        <v>46016</v>
      </c>
      <c r="AA2" s="281">
        <v>46017</v>
      </c>
      <c r="AB2" s="281">
        <v>46018</v>
      </c>
      <c r="AC2" s="281">
        <v>46019</v>
      </c>
      <c r="AD2" s="281">
        <v>46020</v>
      </c>
      <c r="AE2" s="281">
        <v>46021</v>
      </c>
      <c r="AF2" s="281">
        <v>46022</v>
      </c>
      <c r="AG2" s="281"/>
      <c r="AH2" s="86">
        <v>45991</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431" t="s">
        <v>52</v>
      </c>
    </row>
    <row r="4" spans="1:37" ht="20.100000000000001" customHeight="1">
      <c r="A4" s="285" t="s">
        <v>54</v>
      </c>
      <c r="B4" s="420">
        <v>529046</v>
      </c>
      <c r="C4" s="420">
        <v>529280</v>
      </c>
      <c r="D4" s="420">
        <v>529518</v>
      </c>
      <c r="E4" s="420">
        <v>529755</v>
      </c>
      <c r="F4" s="416">
        <v>529980</v>
      </c>
      <c r="G4" s="420">
        <v>530205</v>
      </c>
      <c r="H4" s="420">
        <v>530433</v>
      </c>
      <c r="I4" s="420">
        <v>530670</v>
      </c>
      <c r="J4" s="420">
        <v>530907</v>
      </c>
      <c r="K4" s="420">
        <v>531148</v>
      </c>
      <c r="L4" s="420">
        <v>531384</v>
      </c>
      <c r="M4" s="420">
        <v>531614</v>
      </c>
      <c r="N4" s="420">
        <v>531843</v>
      </c>
      <c r="O4" s="420">
        <v>532065</v>
      </c>
      <c r="P4" s="420">
        <v>532299</v>
      </c>
      <c r="Q4" s="420">
        <v>532534</v>
      </c>
      <c r="R4" s="420">
        <v>532769</v>
      </c>
      <c r="S4" s="420">
        <v>533008</v>
      </c>
      <c r="T4" s="420">
        <v>533220</v>
      </c>
      <c r="U4" s="420">
        <v>533439</v>
      </c>
      <c r="V4" s="420">
        <v>533657</v>
      </c>
      <c r="W4" s="420">
        <v>533892</v>
      </c>
      <c r="X4" s="420">
        <v>534121</v>
      </c>
      <c r="Y4" s="420">
        <v>534352</v>
      </c>
      <c r="Z4" s="420">
        <v>534586</v>
      </c>
      <c r="AA4" s="420">
        <v>534815</v>
      </c>
      <c r="AB4" s="420">
        <v>535032</v>
      </c>
      <c r="AC4" s="420">
        <v>535255</v>
      </c>
      <c r="AD4" s="420">
        <v>535492</v>
      </c>
      <c r="AE4" s="420">
        <v>535728</v>
      </c>
      <c r="AF4" s="420">
        <v>535962</v>
      </c>
      <c r="AG4" s="290"/>
      <c r="AH4" s="432">
        <v>528812</v>
      </c>
      <c r="AI4" s="288"/>
    </row>
    <row r="5" spans="1:37" ht="20.100000000000001" customHeight="1">
      <c r="A5" s="285" t="s">
        <v>55</v>
      </c>
      <c r="B5" s="420">
        <v>14841834</v>
      </c>
      <c r="C5" s="420">
        <v>14848743</v>
      </c>
      <c r="D5" s="420">
        <v>14855701</v>
      </c>
      <c r="E5" s="420">
        <v>14862714</v>
      </c>
      <c r="F5" s="416">
        <v>14868826.5</v>
      </c>
      <c r="G5" s="420">
        <v>14874939</v>
      </c>
      <c r="H5" s="420">
        <v>14880856</v>
      </c>
      <c r="I5" s="420">
        <v>14887872</v>
      </c>
      <c r="J5" s="420">
        <v>14894915</v>
      </c>
      <c r="K5" s="420">
        <v>14902067</v>
      </c>
      <c r="L5" s="420">
        <v>14908985</v>
      </c>
      <c r="M5" s="420">
        <v>14915642</v>
      </c>
      <c r="N5" s="420">
        <v>14921487</v>
      </c>
      <c r="O5" s="420">
        <v>14927251</v>
      </c>
      <c r="P5" s="420">
        <v>14934056</v>
      </c>
      <c r="Q5" s="420">
        <v>14940910</v>
      </c>
      <c r="R5" s="420">
        <v>14947713</v>
      </c>
      <c r="S5" s="420">
        <v>14954604</v>
      </c>
      <c r="T5" s="420">
        <v>14960447</v>
      </c>
      <c r="U5" s="420">
        <v>14965910</v>
      </c>
      <c r="V5" s="420">
        <v>14971789</v>
      </c>
      <c r="W5" s="420">
        <v>14978620</v>
      </c>
      <c r="X5" s="420">
        <v>14985294</v>
      </c>
      <c r="Y5" s="420">
        <v>14991931</v>
      </c>
      <c r="Z5" s="420">
        <v>14998627</v>
      </c>
      <c r="AA5" s="420">
        <v>15005082</v>
      </c>
      <c r="AB5" s="420">
        <v>15010653</v>
      </c>
      <c r="AC5" s="420">
        <v>15016507</v>
      </c>
      <c r="AD5" s="420">
        <v>15023226</v>
      </c>
      <c r="AE5" s="420">
        <v>15029820</v>
      </c>
      <c r="AF5" s="420">
        <v>15036326</v>
      </c>
      <c r="AG5" s="290"/>
      <c r="AH5" s="432">
        <v>14834770</v>
      </c>
      <c r="AI5" s="288"/>
    </row>
    <row r="6" spans="1:37" ht="20.100000000000001" customHeight="1">
      <c r="A6" s="285" t="s">
        <v>56</v>
      </c>
      <c r="B6" s="420">
        <v>6826580</v>
      </c>
      <c r="C6" s="420">
        <v>6829648</v>
      </c>
      <c r="D6" s="420">
        <v>6832931</v>
      </c>
      <c r="E6" s="420">
        <v>6836124</v>
      </c>
      <c r="F6" s="416">
        <v>6838767.5</v>
      </c>
      <c r="G6" s="420">
        <v>6841411</v>
      </c>
      <c r="H6" s="420">
        <v>6844024</v>
      </c>
      <c r="I6" s="420">
        <v>6847109</v>
      </c>
      <c r="J6" s="420">
        <v>6850246</v>
      </c>
      <c r="K6" s="420">
        <v>6853329</v>
      </c>
      <c r="L6" s="420">
        <v>6856320</v>
      </c>
      <c r="M6" s="420">
        <v>6859138</v>
      </c>
      <c r="N6" s="420">
        <v>6861649</v>
      </c>
      <c r="O6" s="420">
        <v>6864349</v>
      </c>
      <c r="P6" s="420">
        <v>6867370</v>
      </c>
      <c r="Q6" s="420">
        <v>6870398</v>
      </c>
      <c r="R6" s="420">
        <v>6873321</v>
      </c>
      <c r="S6" s="420">
        <v>6876251</v>
      </c>
      <c r="T6" s="420">
        <v>6878613</v>
      </c>
      <c r="U6" s="420">
        <v>6881074</v>
      </c>
      <c r="V6" s="420">
        <v>6883772</v>
      </c>
      <c r="W6" s="420">
        <v>6886771</v>
      </c>
      <c r="X6" s="420">
        <v>6889713</v>
      </c>
      <c r="Y6" s="420">
        <v>6892647</v>
      </c>
      <c r="Z6" s="420">
        <v>6895518</v>
      </c>
      <c r="AA6" s="420">
        <v>6898190</v>
      </c>
      <c r="AB6" s="420">
        <v>6900472</v>
      </c>
      <c r="AC6" s="420">
        <v>6903000</v>
      </c>
      <c r="AD6" s="420">
        <v>6905831</v>
      </c>
      <c r="AE6" s="420">
        <v>6908671</v>
      </c>
      <c r="AF6" s="420">
        <v>6911496</v>
      </c>
      <c r="AG6" s="290"/>
      <c r="AH6" s="432">
        <v>6823738</v>
      </c>
      <c r="AI6" s="288"/>
    </row>
    <row r="7" spans="1:37" ht="20.100000000000001" customHeight="1">
      <c r="A7" s="285" t="s">
        <v>57</v>
      </c>
      <c r="B7" s="420">
        <v>1955786</v>
      </c>
      <c r="C7" s="420">
        <v>1955866</v>
      </c>
      <c r="D7" s="420">
        <v>1955946</v>
      </c>
      <c r="E7" s="420">
        <v>1956026</v>
      </c>
      <c r="F7" s="433">
        <v>1956114.5</v>
      </c>
      <c r="G7" s="420">
        <v>1956203</v>
      </c>
      <c r="H7" s="420">
        <v>1956324</v>
      </c>
      <c r="I7" s="420">
        <v>1956404</v>
      </c>
      <c r="J7" s="420">
        <v>1956483</v>
      </c>
      <c r="K7" s="420">
        <v>1956564</v>
      </c>
      <c r="L7" s="420">
        <v>1956642</v>
      </c>
      <c r="M7" s="420">
        <v>1956721</v>
      </c>
      <c r="N7" s="420">
        <v>1956808</v>
      </c>
      <c r="O7" s="420">
        <v>1964357</v>
      </c>
      <c r="P7" s="420">
        <v>1972506</v>
      </c>
      <c r="Q7" s="420">
        <v>1980265</v>
      </c>
      <c r="R7" s="420">
        <v>1986807</v>
      </c>
      <c r="S7" s="420">
        <v>1994251</v>
      </c>
      <c r="T7" s="420">
        <v>1998998</v>
      </c>
      <c r="U7" s="420">
        <v>2002638</v>
      </c>
      <c r="V7" s="420">
        <v>2006441</v>
      </c>
      <c r="W7" s="420">
        <v>2011493</v>
      </c>
      <c r="X7" s="420">
        <v>2016606</v>
      </c>
      <c r="Y7" s="420">
        <v>2021657</v>
      </c>
      <c r="Z7" s="420">
        <v>2026131</v>
      </c>
      <c r="AA7" s="420">
        <v>2030793</v>
      </c>
      <c r="AB7" s="420">
        <v>2035439</v>
      </c>
      <c r="AC7" s="420">
        <v>2035676</v>
      </c>
      <c r="AD7" s="420">
        <v>2035759</v>
      </c>
      <c r="AE7" s="420">
        <v>2035843</v>
      </c>
      <c r="AF7" s="420">
        <v>2035927</v>
      </c>
      <c r="AG7" s="290"/>
      <c r="AH7" s="432">
        <v>1955707</v>
      </c>
      <c r="AI7" s="288"/>
    </row>
    <row r="8" spans="1:37" ht="20.100000000000001" customHeight="1">
      <c r="A8" s="285" t="s">
        <v>58</v>
      </c>
      <c r="B8" s="420">
        <v>1800162</v>
      </c>
      <c r="C8" s="420">
        <v>1807468</v>
      </c>
      <c r="D8" s="420">
        <v>1814795</v>
      </c>
      <c r="E8" s="420">
        <v>1821471</v>
      </c>
      <c r="F8" s="416">
        <v>1828444</v>
      </c>
      <c r="G8" s="420">
        <v>1835417</v>
      </c>
      <c r="H8" s="420">
        <v>1842560</v>
      </c>
      <c r="I8" s="420">
        <v>1850250</v>
      </c>
      <c r="J8" s="420">
        <v>1858083</v>
      </c>
      <c r="K8" s="420">
        <v>1866078</v>
      </c>
      <c r="L8" s="420">
        <v>1874130</v>
      </c>
      <c r="M8" s="420">
        <v>1882100</v>
      </c>
      <c r="N8" s="420">
        <v>1890176</v>
      </c>
      <c r="O8" s="420">
        <v>1890381</v>
      </c>
      <c r="P8" s="420">
        <v>1890464</v>
      </c>
      <c r="Q8" s="420">
        <v>1891021</v>
      </c>
      <c r="R8" s="420">
        <v>1892383</v>
      </c>
      <c r="S8" s="420">
        <v>1892468</v>
      </c>
      <c r="T8" s="420">
        <v>1892547</v>
      </c>
      <c r="U8" s="420">
        <v>1892635</v>
      </c>
      <c r="V8" s="420">
        <v>1892719</v>
      </c>
      <c r="W8" s="420">
        <v>1892805</v>
      </c>
      <c r="X8" s="420">
        <v>1892888</v>
      </c>
      <c r="Y8" s="420">
        <v>1892972</v>
      </c>
      <c r="Z8" s="420">
        <v>1893057</v>
      </c>
      <c r="AA8" s="420">
        <v>1893139</v>
      </c>
      <c r="AB8" s="420">
        <v>1893226</v>
      </c>
      <c r="AC8" s="420">
        <v>1897802</v>
      </c>
      <c r="AD8" s="420">
        <v>1903266</v>
      </c>
      <c r="AE8" s="420">
        <v>1907798</v>
      </c>
      <c r="AF8" s="420">
        <v>1911842</v>
      </c>
      <c r="AG8" s="290"/>
      <c r="AH8" s="432">
        <v>1793025</v>
      </c>
      <c r="AI8" s="288"/>
    </row>
    <row r="9" spans="1:37" ht="20.100000000000001" customHeight="1">
      <c r="A9" s="285" t="s">
        <v>59</v>
      </c>
      <c r="B9" s="420">
        <v>2506012</v>
      </c>
      <c r="C9" s="420">
        <v>2511721</v>
      </c>
      <c r="D9" s="420">
        <v>2517458</v>
      </c>
      <c r="E9" s="420">
        <v>2523116</v>
      </c>
      <c r="F9" s="416">
        <v>2528379</v>
      </c>
      <c r="G9" s="420">
        <v>2533642</v>
      </c>
      <c r="H9" s="420">
        <v>2538890</v>
      </c>
      <c r="I9" s="420">
        <v>2544294</v>
      </c>
      <c r="J9" s="420">
        <v>2549712</v>
      </c>
      <c r="K9" s="420">
        <v>2555277</v>
      </c>
      <c r="L9" s="420">
        <v>2560554</v>
      </c>
      <c r="M9" s="420">
        <v>2565643</v>
      </c>
      <c r="N9" s="420">
        <v>2570821</v>
      </c>
      <c r="O9" s="420">
        <v>2575763</v>
      </c>
      <c r="P9" s="420">
        <v>2580892</v>
      </c>
      <c r="Q9" s="420">
        <v>2586123</v>
      </c>
      <c r="R9" s="420">
        <v>2591311</v>
      </c>
      <c r="S9" s="420">
        <v>2596661</v>
      </c>
      <c r="T9" s="420">
        <v>2601909</v>
      </c>
      <c r="U9" s="420">
        <v>2607275</v>
      </c>
      <c r="V9" s="420">
        <v>2612421</v>
      </c>
      <c r="W9" s="420">
        <v>2617717</v>
      </c>
      <c r="X9" s="420">
        <v>2623240</v>
      </c>
      <c r="Y9" s="420">
        <v>2628800</v>
      </c>
      <c r="Z9" s="420">
        <v>2634171</v>
      </c>
      <c r="AA9" s="420">
        <v>2639403</v>
      </c>
      <c r="AB9" s="420">
        <v>2644581</v>
      </c>
      <c r="AC9" s="420">
        <v>2649867</v>
      </c>
      <c r="AD9" s="420">
        <v>2655155</v>
      </c>
      <c r="AE9" s="420">
        <v>2660372</v>
      </c>
      <c r="AF9" s="420">
        <v>2665654</v>
      </c>
      <c r="AG9" s="290"/>
      <c r="AH9" s="432">
        <v>2500450</v>
      </c>
      <c r="AI9" s="288"/>
    </row>
    <row r="10" spans="1:37" ht="20.100000000000001" customHeight="1">
      <c r="A10" s="285" t="s">
        <v>60</v>
      </c>
      <c r="B10" s="420">
        <v>9356145</v>
      </c>
      <c r="C10" s="420">
        <v>9359402</v>
      </c>
      <c r="D10" s="420">
        <v>9362697</v>
      </c>
      <c r="E10" s="420">
        <v>9366056</v>
      </c>
      <c r="F10" s="416">
        <v>9368741.5</v>
      </c>
      <c r="G10" s="420">
        <v>9371427</v>
      </c>
      <c r="H10" s="420">
        <v>9373987</v>
      </c>
      <c r="I10" s="420">
        <v>9377352</v>
      </c>
      <c r="J10" s="420">
        <v>9380737</v>
      </c>
      <c r="K10" s="420">
        <v>9384065</v>
      </c>
      <c r="L10" s="420">
        <v>9387295</v>
      </c>
      <c r="M10" s="420">
        <v>9390572</v>
      </c>
      <c r="N10" s="420">
        <v>9393068</v>
      </c>
      <c r="O10" s="420">
        <v>9395921</v>
      </c>
      <c r="P10" s="420">
        <v>9399336</v>
      </c>
      <c r="Q10" s="420">
        <v>9402634</v>
      </c>
      <c r="R10" s="420">
        <v>9405898</v>
      </c>
      <c r="S10" s="420">
        <v>9409175</v>
      </c>
      <c r="T10" s="420">
        <v>9411212</v>
      </c>
      <c r="U10" s="420">
        <v>9413001</v>
      </c>
      <c r="V10" s="420">
        <v>9415184</v>
      </c>
      <c r="W10" s="420">
        <v>9418354</v>
      </c>
      <c r="X10" s="420">
        <v>9421404</v>
      </c>
      <c r="Y10" s="420">
        <v>9424489</v>
      </c>
      <c r="Z10" s="420">
        <v>9427574</v>
      </c>
      <c r="AA10" s="420">
        <v>9430549</v>
      </c>
      <c r="AB10" s="420">
        <v>9432363</v>
      </c>
      <c r="AC10" s="420">
        <v>9434804</v>
      </c>
      <c r="AD10" s="420">
        <v>9437974</v>
      </c>
      <c r="AE10" s="420">
        <v>9441131</v>
      </c>
      <c r="AF10" s="420">
        <v>9444244</v>
      </c>
      <c r="AG10" s="290"/>
      <c r="AH10" s="432">
        <v>9352870</v>
      </c>
      <c r="AI10" s="288"/>
    </row>
    <row r="11" spans="1:37" ht="22.5" customHeight="1">
      <c r="A11" s="285" t="s">
        <v>61</v>
      </c>
      <c r="B11" s="420">
        <v>356975</v>
      </c>
      <c r="C11" s="420">
        <v>357103</v>
      </c>
      <c r="D11" s="420">
        <v>357235</v>
      </c>
      <c r="E11" s="420">
        <v>357363</v>
      </c>
      <c r="F11" s="429">
        <v>357466.5</v>
      </c>
      <c r="G11" s="420">
        <v>357570</v>
      </c>
      <c r="H11" s="420">
        <v>357670</v>
      </c>
      <c r="I11" s="420">
        <v>357794</v>
      </c>
      <c r="J11" s="420">
        <v>357916</v>
      </c>
      <c r="K11" s="420">
        <v>358039</v>
      </c>
      <c r="L11" s="420">
        <v>358160</v>
      </c>
      <c r="M11" s="420">
        <v>358278</v>
      </c>
      <c r="N11" s="420">
        <v>358368</v>
      </c>
      <c r="O11" s="420">
        <v>358464</v>
      </c>
      <c r="P11" s="420">
        <v>358589</v>
      </c>
      <c r="Q11" s="420">
        <v>358713</v>
      </c>
      <c r="R11" s="420">
        <v>358834</v>
      </c>
      <c r="S11" s="420">
        <v>358961</v>
      </c>
      <c r="T11" s="420">
        <v>359060</v>
      </c>
      <c r="U11" s="420">
        <v>359147</v>
      </c>
      <c r="V11" s="420">
        <v>359247</v>
      </c>
      <c r="W11" s="420">
        <v>359370</v>
      </c>
      <c r="X11" s="420">
        <v>359490</v>
      </c>
      <c r="Y11" s="420">
        <v>359611</v>
      </c>
      <c r="Z11" s="420">
        <v>359735</v>
      </c>
      <c r="AA11" s="420">
        <v>359857</v>
      </c>
      <c r="AB11" s="420">
        <v>359946</v>
      </c>
      <c r="AC11" s="420">
        <v>360045</v>
      </c>
      <c r="AD11" s="420">
        <v>360171</v>
      </c>
      <c r="AE11" s="420">
        <v>360293</v>
      </c>
      <c r="AF11" s="420">
        <v>360415</v>
      </c>
      <c r="AG11" s="290"/>
      <c r="AH11" s="432">
        <v>356845</v>
      </c>
      <c r="AI11" s="288"/>
    </row>
    <row r="12" spans="1:37" s="294" customFormat="1" ht="18" customHeight="1">
      <c r="A12" s="291" t="s">
        <v>62</v>
      </c>
      <c r="B12" s="420"/>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07"/>
      <c r="AH12" s="432"/>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08" t="s">
        <v>64</v>
      </c>
      <c r="T13" s="408" t="s">
        <v>64</v>
      </c>
      <c r="U13" s="408" t="s">
        <v>64</v>
      </c>
      <c r="V13" s="408" t="s">
        <v>64</v>
      </c>
      <c r="W13" s="408" t="s">
        <v>64</v>
      </c>
      <c r="X13" s="408" t="s">
        <v>64</v>
      </c>
      <c r="Y13" s="408" t="s">
        <v>64</v>
      </c>
      <c r="Z13" s="408" t="s">
        <v>64</v>
      </c>
      <c r="AA13" s="408" t="s">
        <v>64</v>
      </c>
      <c r="AB13" s="408" t="s">
        <v>64</v>
      </c>
      <c r="AC13" s="408" t="s">
        <v>64</v>
      </c>
      <c r="AD13" s="408" t="s">
        <v>64</v>
      </c>
      <c r="AE13" s="408" t="s">
        <v>64</v>
      </c>
      <c r="AF13" s="408" t="s">
        <v>64</v>
      </c>
      <c r="AG13" s="296"/>
      <c r="AH13" s="434" t="s">
        <v>64</v>
      </c>
    </row>
    <row r="14" spans="1:37">
      <c r="A14" s="282" t="s">
        <v>995</v>
      </c>
      <c r="B14" s="409">
        <v>48167</v>
      </c>
      <c r="C14" s="409">
        <v>48273</v>
      </c>
      <c r="D14" s="409">
        <v>48351</v>
      </c>
      <c r="E14" s="409">
        <v>48465</v>
      </c>
      <c r="F14" s="409">
        <v>48596</v>
      </c>
      <c r="G14" s="409">
        <v>48636</v>
      </c>
      <c r="H14" s="409">
        <v>48728</v>
      </c>
      <c r="I14" s="409">
        <v>48849</v>
      </c>
      <c r="J14" s="409">
        <v>48934</v>
      </c>
      <c r="K14" s="409">
        <v>49026</v>
      </c>
      <c r="L14" s="409">
        <v>49120</v>
      </c>
      <c r="M14" s="409">
        <v>49219</v>
      </c>
      <c r="N14" s="409">
        <v>49239</v>
      </c>
      <c r="O14" s="409">
        <v>49353</v>
      </c>
      <c r="P14" s="409">
        <v>49454</v>
      </c>
      <c r="Q14" s="409">
        <v>49553</v>
      </c>
      <c r="R14" s="409">
        <v>49640</v>
      </c>
      <c r="S14" s="409">
        <v>49640</v>
      </c>
      <c r="T14" s="409">
        <v>49740</v>
      </c>
      <c r="U14" s="409">
        <v>49740</v>
      </c>
      <c r="V14" s="409">
        <v>49742</v>
      </c>
      <c r="W14" s="409">
        <v>49918</v>
      </c>
      <c r="X14" s="409">
        <v>49992</v>
      </c>
      <c r="Y14" s="409">
        <v>50106</v>
      </c>
      <c r="Z14" s="409">
        <v>50202</v>
      </c>
      <c r="AA14" s="409">
        <v>50308</v>
      </c>
      <c r="AB14" s="409">
        <v>50345</v>
      </c>
      <c r="AC14" s="409">
        <v>50456</v>
      </c>
      <c r="AD14" s="409">
        <v>50576</v>
      </c>
      <c r="AE14" s="409">
        <v>50650</v>
      </c>
      <c r="AF14" s="409">
        <v>50737</v>
      </c>
      <c r="AG14" s="301">
        <f>AF14-AH14</f>
        <v>2679</v>
      </c>
      <c r="AH14" s="435">
        <v>48058</v>
      </c>
      <c r="AI14" s="299">
        <v>2679</v>
      </c>
      <c r="AJ14" s="299"/>
      <c r="AK14" s="436"/>
    </row>
    <row r="15" spans="1:37" ht="25.5">
      <c r="A15" s="282" t="s">
        <v>67</v>
      </c>
      <c r="B15" s="409">
        <v>8938</v>
      </c>
      <c r="C15" s="409">
        <v>8938</v>
      </c>
      <c r="D15" s="409">
        <v>8938</v>
      </c>
      <c r="E15" s="409">
        <v>8938</v>
      </c>
      <c r="F15" s="409">
        <v>8938</v>
      </c>
      <c r="G15" s="409">
        <v>8938</v>
      </c>
      <c r="H15" s="409">
        <v>8938</v>
      </c>
      <c r="I15" s="409">
        <v>8938</v>
      </c>
      <c r="J15" s="409">
        <v>8938</v>
      </c>
      <c r="K15" s="409">
        <v>8938</v>
      </c>
      <c r="L15" s="409">
        <v>8938</v>
      </c>
      <c r="M15" s="409">
        <v>8938</v>
      </c>
      <c r="N15" s="409">
        <v>8938</v>
      </c>
      <c r="O15" s="409">
        <v>8938</v>
      </c>
      <c r="P15" s="409">
        <v>8938</v>
      </c>
      <c r="Q15" s="409">
        <v>8938</v>
      </c>
      <c r="R15" s="409">
        <v>8938</v>
      </c>
      <c r="S15" s="409">
        <v>8938</v>
      </c>
      <c r="T15" s="409">
        <v>8938</v>
      </c>
      <c r="U15" s="409">
        <v>8938</v>
      </c>
      <c r="V15" s="409">
        <v>8938</v>
      </c>
      <c r="W15" s="409">
        <v>8938</v>
      </c>
      <c r="X15" s="409">
        <v>8938</v>
      </c>
      <c r="Y15" s="409">
        <v>8938</v>
      </c>
      <c r="Z15" s="409">
        <v>8938</v>
      </c>
      <c r="AA15" s="409">
        <v>8938</v>
      </c>
      <c r="AB15" s="409">
        <v>8938</v>
      </c>
      <c r="AC15" s="409">
        <v>8938</v>
      </c>
      <c r="AD15" s="409">
        <v>8941</v>
      </c>
      <c r="AE15" s="409">
        <v>8943</v>
      </c>
      <c r="AF15" s="409">
        <v>8944</v>
      </c>
      <c r="AG15" s="301">
        <f t="shared" ref="AG15:AG34" si="0">AF15-AH15</f>
        <v>6</v>
      </c>
      <c r="AH15" s="435">
        <v>8938</v>
      </c>
      <c r="AI15" s="144">
        <v>0</v>
      </c>
      <c r="AJ15" s="299"/>
      <c r="AK15" s="411"/>
    </row>
    <row r="16" spans="1:37" ht="25.5">
      <c r="A16" s="282" t="s">
        <v>68</v>
      </c>
      <c r="B16" s="409">
        <v>12877</v>
      </c>
      <c r="C16" s="409">
        <v>12877</v>
      </c>
      <c r="D16" s="409">
        <v>12877</v>
      </c>
      <c r="E16" s="409">
        <v>12877</v>
      </c>
      <c r="F16" s="409">
        <v>12877</v>
      </c>
      <c r="G16" s="409">
        <v>12877</v>
      </c>
      <c r="H16" s="409">
        <v>12877</v>
      </c>
      <c r="I16" s="409">
        <v>12877</v>
      </c>
      <c r="J16" s="409">
        <v>12877</v>
      </c>
      <c r="K16" s="409">
        <v>12877</v>
      </c>
      <c r="L16" s="409">
        <v>12877</v>
      </c>
      <c r="M16" s="409">
        <v>12877</v>
      </c>
      <c r="N16" s="409">
        <v>12877</v>
      </c>
      <c r="O16" s="409">
        <v>12877</v>
      </c>
      <c r="P16" s="409">
        <v>12879</v>
      </c>
      <c r="Q16" s="409">
        <v>12879</v>
      </c>
      <c r="R16" s="409">
        <v>12879</v>
      </c>
      <c r="S16" s="409">
        <v>12879</v>
      </c>
      <c r="T16" s="409">
        <v>12879</v>
      </c>
      <c r="U16" s="409">
        <v>12879</v>
      </c>
      <c r="V16" s="409">
        <v>12879</v>
      </c>
      <c r="W16" s="409">
        <v>12879</v>
      </c>
      <c r="X16" s="409">
        <v>12879</v>
      </c>
      <c r="Y16" s="409">
        <v>12879</v>
      </c>
      <c r="Z16" s="409">
        <v>12879</v>
      </c>
      <c r="AA16" s="409">
        <v>12879</v>
      </c>
      <c r="AB16" s="409">
        <v>12879</v>
      </c>
      <c r="AC16" s="409">
        <v>12879</v>
      </c>
      <c r="AD16" s="409">
        <v>12879</v>
      </c>
      <c r="AE16" s="409">
        <v>12879</v>
      </c>
      <c r="AF16" s="409">
        <v>12879</v>
      </c>
      <c r="AG16" s="301">
        <f t="shared" si="0"/>
        <v>2</v>
      </c>
      <c r="AH16" s="435">
        <v>12877</v>
      </c>
      <c r="AI16" s="144">
        <v>0</v>
      </c>
      <c r="AJ16" s="299"/>
      <c r="AK16" s="411"/>
    </row>
    <row r="17" spans="1:37" ht="20.100000000000001" customHeight="1">
      <c r="A17" s="303"/>
      <c r="B17" s="437"/>
      <c r="C17" s="437"/>
      <c r="D17" s="437"/>
      <c r="E17" s="437"/>
      <c r="F17" s="437"/>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301">
        <f t="shared" si="0"/>
        <v>0</v>
      </c>
      <c r="AH17" s="438"/>
      <c r="AK17" s="411"/>
    </row>
    <row r="18" spans="1:37">
      <c r="A18" s="282" t="s">
        <v>69</v>
      </c>
      <c r="B18" s="439" t="s">
        <v>64</v>
      </c>
      <c r="C18" s="439" t="s">
        <v>64</v>
      </c>
      <c r="D18" s="439" t="s">
        <v>64</v>
      </c>
      <c r="E18" s="439" t="s">
        <v>64</v>
      </c>
      <c r="F18" s="439" t="s">
        <v>64</v>
      </c>
      <c r="G18" s="439" t="s">
        <v>64</v>
      </c>
      <c r="H18" s="439" t="s">
        <v>64</v>
      </c>
      <c r="I18" s="439" t="s">
        <v>64</v>
      </c>
      <c r="J18" s="439" t="s">
        <v>64</v>
      </c>
      <c r="K18" s="439" t="s">
        <v>64</v>
      </c>
      <c r="L18" s="439" t="s">
        <v>64</v>
      </c>
      <c r="M18" s="439" t="s">
        <v>64</v>
      </c>
      <c r="N18" s="439" t="s">
        <v>64</v>
      </c>
      <c r="O18" s="439" t="s">
        <v>64</v>
      </c>
      <c r="P18" s="439" t="s">
        <v>64</v>
      </c>
      <c r="Q18" s="439" t="s">
        <v>64</v>
      </c>
      <c r="R18" s="439" t="s">
        <v>64</v>
      </c>
      <c r="S18" s="439" t="s">
        <v>64</v>
      </c>
      <c r="T18" s="439" t="s">
        <v>64</v>
      </c>
      <c r="U18" s="439" t="s">
        <v>64</v>
      </c>
      <c r="V18" s="439" t="s">
        <v>64</v>
      </c>
      <c r="W18" s="439" t="s">
        <v>64</v>
      </c>
      <c r="X18" s="439" t="s">
        <v>64</v>
      </c>
      <c r="Y18" s="439" t="s">
        <v>64</v>
      </c>
      <c r="Z18" s="439" t="s">
        <v>64</v>
      </c>
      <c r="AA18" s="439" t="s">
        <v>64</v>
      </c>
      <c r="AB18" s="439" t="s">
        <v>64</v>
      </c>
      <c r="AC18" s="439" t="s">
        <v>64</v>
      </c>
      <c r="AD18" s="439" t="s">
        <v>64</v>
      </c>
      <c r="AE18" s="439" t="s">
        <v>64</v>
      </c>
      <c r="AF18" s="439" t="s">
        <v>64</v>
      </c>
      <c r="AG18" s="301" t="e">
        <f t="shared" si="0"/>
        <v>#VALUE!</v>
      </c>
      <c r="AH18" s="440" t="s">
        <v>64</v>
      </c>
      <c r="AK18" s="412"/>
    </row>
    <row r="19" spans="1:37" ht="25.5">
      <c r="A19" s="282" t="s">
        <v>70</v>
      </c>
      <c r="B19" s="413">
        <v>0</v>
      </c>
      <c r="C19" s="413">
        <v>0</v>
      </c>
      <c r="D19" s="413">
        <v>0</v>
      </c>
      <c r="E19" s="413">
        <v>0</v>
      </c>
      <c r="F19" s="413">
        <v>0</v>
      </c>
      <c r="G19" s="413">
        <v>0</v>
      </c>
      <c r="H19" s="413">
        <v>0</v>
      </c>
      <c r="I19" s="413">
        <v>0</v>
      </c>
      <c r="J19" s="413">
        <v>0</v>
      </c>
      <c r="K19" s="413">
        <v>0</v>
      </c>
      <c r="L19" s="413">
        <v>0</v>
      </c>
      <c r="M19" s="413">
        <v>0</v>
      </c>
      <c r="N19" s="413">
        <v>0</v>
      </c>
      <c r="O19" s="413">
        <v>0</v>
      </c>
      <c r="P19" s="413">
        <v>0</v>
      </c>
      <c r="Q19" s="413">
        <v>0</v>
      </c>
      <c r="R19" s="413">
        <v>0</v>
      </c>
      <c r="S19" s="413">
        <v>0</v>
      </c>
      <c r="T19" s="413">
        <v>0</v>
      </c>
      <c r="U19" s="21">
        <v>0</v>
      </c>
      <c r="V19" s="413">
        <v>0</v>
      </c>
      <c r="W19" s="413">
        <v>0</v>
      </c>
      <c r="X19" s="413">
        <v>0</v>
      </c>
      <c r="Y19" s="413">
        <v>0</v>
      </c>
      <c r="Z19" s="21">
        <v>0</v>
      </c>
      <c r="AA19" s="413">
        <v>0</v>
      </c>
      <c r="AB19" s="413">
        <v>0</v>
      </c>
      <c r="AC19" s="413">
        <v>0</v>
      </c>
      <c r="AD19" s="413">
        <v>0</v>
      </c>
      <c r="AE19" s="413">
        <v>0</v>
      </c>
      <c r="AF19" s="413">
        <v>0</v>
      </c>
      <c r="AG19" s="301">
        <f t="shared" si="0"/>
        <v>0</v>
      </c>
      <c r="AH19" s="441">
        <v>0</v>
      </c>
      <c r="AI19" s="307">
        <v>0</v>
      </c>
      <c r="AJ19" s="307"/>
      <c r="AK19" s="436"/>
    </row>
    <row r="20" spans="1:37" ht="25.5">
      <c r="A20" s="282" t="s">
        <v>2715</v>
      </c>
      <c r="B20" s="413">
        <v>1682855</v>
      </c>
      <c r="C20" s="413">
        <v>1700461</v>
      </c>
      <c r="D20" s="413">
        <v>1715235</v>
      </c>
      <c r="E20" s="413">
        <v>1724336</v>
      </c>
      <c r="F20" s="413">
        <v>1762066</v>
      </c>
      <c r="G20" s="413">
        <v>1774819</v>
      </c>
      <c r="H20" s="413">
        <v>1774819</v>
      </c>
      <c r="I20" s="413">
        <v>1774819</v>
      </c>
      <c r="J20" s="413">
        <v>1774819</v>
      </c>
      <c r="K20" s="413">
        <v>1774819</v>
      </c>
      <c r="L20" s="413">
        <v>1774819</v>
      </c>
      <c r="M20" s="413">
        <v>1774819</v>
      </c>
      <c r="N20" s="413">
        <v>1774819</v>
      </c>
      <c r="O20" s="413">
        <v>1774819</v>
      </c>
      <c r="P20" s="413">
        <v>1774819</v>
      </c>
      <c r="Q20" s="413">
        <v>1774819</v>
      </c>
      <c r="R20" s="413">
        <v>1774819</v>
      </c>
      <c r="S20" s="143">
        <v>1774819</v>
      </c>
      <c r="T20" s="413">
        <v>1774819</v>
      </c>
      <c r="U20" s="21">
        <v>1774819</v>
      </c>
      <c r="V20" s="413">
        <v>1774819</v>
      </c>
      <c r="W20" s="413">
        <v>1774819</v>
      </c>
      <c r="X20" s="413">
        <v>1774819</v>
      </c>
      <c r="Y20" s="413">
        <v>1774819</v>
      </c>
      <c r="Z20" s="416">
        <v>1774819</v>
      </c>
      <c r="AA20" s="413">
        <v>1788602</v>
      </c>
      <c r="AB20" s="413">
        <v>1788602</v>
      </c>
      <c r="AC20" s="413">
        <v>1788602</v>
      </c>
      <c r="AD20" s="413">
        <v>1788602</v>
      </c>
      <c r="AE20" s="413">
        <v>1788602</v>
      </c>
      <c r="AF20" s="413">
        <v>1788602</v>
      </c>
      <c r="AG20" s="301">
        <f t="shared" si="0"/>
        <v>105747</v>
      </c>
      <c r="AH20" s="441">
        <v>1682855</v>
      </c>
      <c r="AI20" s="144">
        <v>105747</v>
      </c>
      <c r="AJ20" s="307"/>
      <c r="AK20" s="414"/>
    </row>
    <row r="21" spans="1:37">
      <c r="A21" s="282" t="s">
        <v>72</v>
      </c>
      <c r="B21" s="409">
        <v>289056</v>
      </c>
      <c r="C21" s="409">
        <v>289165</v>
      </c>
      <c r="D21" s="409">
        <v>289287</v>
      </c>
      <c r="E21" s="409">
        <v>289442</v>
      </c>
      <c r="F21" s="409">
        <v>289546</v>
      </c>
      <c r="G21" s="409">
        <v>289547</v>
      </c>
      <c r="H21" s="409">
        <v>289712</v>
      </c>
      <c r="I21" s="409">
        <v>289809</v>
      </c>
      <c r="J21" s="409">
        <v>289923</v>
      </c>
      <c r="K21" s="409">
        <v>290004</v>
      </c>
      <c r="L21" s="409">
        <v>290110</v>
      </c>
      <c r="M21" s="409">
        <v>290264</v>
      </c>
      <c r="N21" s="409">
        <v>290265</v>
      </c>
      <c r="O21" s="409">
        <v>290380</v>
      </c>
      <c r="P21" s="409">
        <v>290502</v>
      </c>
      <c r="Q21" s="409">
        <v>290578</v>
      </c>
      <c r="R21" s="409">
        <v>290678</v>
      </c>
      <c r="S21" s="413">
        <v>290780</v>
      </c>
      <c r="T21" s="409">
        <v>290882</v>
      </c>
      <c r="U21" s="21">
        <v>290932</v>
      </c>
      <c r="V21" s="409">
        <v>290982</v>
      </c>
      <c r="W21" s="409">
        <v>290982</v>
      </c>
      <c r="X21" s="409">
        <v>291111</v>
      </c>
      <c r="Y21" s="409">
        <v>291199</v>
      </c>
      <c r="Z21" s="416">
        <v>291448</v>
      </c>
      <c r="AA21" s="409">
        <v>291365</v>
      </c>
      <c r="AB21" s="409">
        <v>291452</v>
      </c>
      <c r="AC21" s="409">
        <v>291452</v>
      </c>
      <c r="AD21" s="409">
        <v>291512</v>
      </c>
      <c r="AE21" s="409">
        <v>291512</v>
      </c>
      <c r="AF21" s="409">
        <v>291655</v>
      </c>
      <c r="AG21" s="301">
        <f t="shared" si="0"/>
        <v>2675</v>
      </c>
      <c r="AH21" s="435">
        <v>288980</v>
      </c>
      <c r="AI21" s="144">
        <v>2675</v>
      </c>
      <c r="AJ21" s="307"/>
      <c r="AK21" s="415"/>
    </row>
    <row r="22" spans="1:37">
      <c r="A22" s="282" t="s">
        <v>73</v>
      </c>
      <c r="B22" s="409">
        <v>264924</v>
      </c>
      <c r="C22" s="409">
        <v>264988</v>
      </c>
      <c r="D22" s="409">
        <v>265050</v>
      </c>
      <c r="E22" s="409">
        <v>265106</v>
      </c>
      <c r="F22" s="409">
        <v>265185</v>
      </c>
      <c r="G22" s="409">
        <v>265221</v>
      </c>
      <c r="H22" s="409">
        <v>265268</v>
      </c>
      <c r="I22" s="409">
        <v>265329</v>
      </c>
      <c r="J22" s="409">
        <v>265393</v>
      </c>
      <c r="K22" s="409">
        <v>265449</v>
      </c>
      <c r="L22" s="409">
        <v>265515</v>
      </c>
      <c r="M22" s="409">
        <v>265597</v>
      </c>
      <c r="N22" s="409">
        <v>265634</v>
      </c>
      <c r="O22" s="409">
        <v>265690</v>
      </c>
      <c r="P22" s="409">
        <v>265749</v>
      </c>
      <c r="Q22" s="409">
        <v>265801</v>
      </c>
      <c r="R22" s="409">
        <v>265851</v>
      </c>
      <c r="S22" s="409">
        <v>265904</v>
      </c>
      <c r="T22" s="409">
        <v>265957</v>
      </c>
      <c r="U22" s="21">
        <v>265980</v>
      </c>
      <c r="V22" s="409">
        <v>266010</v>
      </c>
      <c r="W22" s="409">
        <v>266059</v>
      </c>
      <c r="X22" s="409">
        <v>266100</v>
      </c>
      <c r="Y22" s="409">
        <v>266141</v>
      </c>
      <c r="Z22" s="416">
        <v>266292.5</v>
      </c>
      <c r="AA22" s="409">
        <v>266293</v>
      </c>
      <c r="AB22" s="409">
        <v>266310</v>
      </c>
      <c r="AC22" s="409">
        <v>266310</v>
      </c>
      <c r="AD22" s="409">
        <v>266355</v>
      </c>
      <c r="AE22" s="409">
        <v>266408</v>
      </c>
      <c r="AF22" s="409">
        <v>266448</v>
      </c>
      <c r="AG22" s="301">
        <f t="shared" si="0"/>
        <v>1585</v>
      </c>
      <c r="AH22" s="435">
        <v>264863</v>
      </c>
      <c r="AI22" s="144">
        <v>1585</v>
      </c>
      <c r="AJ22" s="307"/>
      <c r="AK22" s="415"/>
    </row>
    <row r="23" spans="1:37">
      <c r="A23" s="442" t="s">
        <v>136</v>
      </c>
      <c r="B23" s="409">
        <v>17160</v>
      </c>
      <c r="C23" s="409">
        <v>17178</v>
      </c>
      <c r="D23" s="409">
        <v>17194</v>
      </c>
      <c r="E23" s="409">
        <v>17211</v>
      </c>
      <c r="F23" s="409">
        <v>17224</v>
      </c>
      <c r="G23" s="409">
        <v>17224</v>
      </c>
      <c r="H23" s="409">
        <v>17228</v>
      </c>
      <c r="I23" s="409">
        <v>17248</v>
      </c>
      <c r="J23" s="409">
        <v>17262</v>
      </c>
      <c r="K23" s="409">
        <v>17275</v>
      </c>
      <c r="L23" s="409">
        <v>17288</v>
      </c>
      <c r="M23" s="409">
        <v>17300</v>
      </c>
      <c r="N23" s="409">
        <v>17300</v>
      </c>
      <c r="O23" s="409">
        <v>17304</v>
      </c>
      <c r="P23" s="409">
        <v>17318</v>
      </c>
      <c r="Q23" s="409">
        <v>17332</v>
      </c>
      <c r="R23" s="409">
        <v>17343</v>
      </c>
      <c r="S23" s="409">
        <v>17349</v>
      </c>
      <c r="T23" s="409">
        <v>17355</v>
      </c>
      <c r="U23" s="21">
        <v>17360</v>
      </c>
      <c r="V23" s="409">
        <v>17365</v>
      </c>
      <c r="W23" s="409">
        <v>17377</v>
      </c>
      <c r="X23" s="409">
        <v>17388</v>
      </c>
      <c r="Y23" s="409">
        <v>17398</v>
      </c>
      <c r="Z23" s="416">
        <v>17416</v>
      </c>
      <c r="AA23" s="409">
        <v>17420</v>
      </c>
      <c r="AB23" s="409">
        <v>17423</v>
      </c>
      <c r="AC23" s="409">
        <v>17423</v>
      </c>
      <c r="AD23" s="409">
        <v>17433</v>
      </c>
      <c r="AE23" s="409">
        <v>17445</v>
      </c>
      <c r="AF23" s="409">
        <v>17454</v>
      </c>
      <c r="AG23" s="301">
        <f t="shared" si="0"/>
        <v>313</v>
      </c>
      <c r="AH23" s="435">
        <v>17141</v>
      </c>
      <c r="AI23" s="144">
        <v>313</v>
      </c>
      <c r="AJ23" s="307"/>
      <c r="AK23" s="414"/>
    </row>
    <row r="24" spans="1:37">
      <c r="A24" s="442" t="s">
        <v>139</v>
      </c>
      <c r="B24" s="409">
        <v>11722</v>
      </c>
      <c r="C24" s="409">
        <v>11734</v>
      </c>
      <c r="D24" s="409">
        <v>11743</v>
      </c>
      <c r="E24" s="409">
        <v>11754</v>
      </c>
      <c r="F24" s="409">
        <v>11770</v>
      </c>
      <c r="G24" s="409">
        <v>11772</v>
      </c>
      <c r="H24" s="409">
        <v>11779</v>
      </c>
      <c r="I24" s="409">
        <v>11788</v>
      </c>
      <c r="J24" s="409">
        <v>11796</v>
      </c>
      <c r="K24" s="409">
        <v>11804</v>
      </c>
      <c r="L24" s="409">
        <v>11812</v>
      </c>
      <c r="M24" s="409">
        <v>11823</v>
      </c>
      <c r="N24" s="409">
        <v>11823</v>
      </c>
      <c r="O24" s="409">
        <v>11831</v>
      </c>
      <c r="P24" s="409">
        <v>11842</v>
      </c>
      <c r="Q24" s="409">
        <v>11854</v>
      </c>
      <c r="R24" s="409">
        <v>11863</v>
      </c>
      <c r="S24" s="409">
        <v>11870.5</v>
      </c>
      <c r="T24" s="409">
        <v>11878</v>
      </c>
      <c r="U24" s="21">
        <v>11881</v>
      </c>
      <c r="V24" s="409">
        <v>11884</v>
      </c>
      <c r="W24" s="409">
        <v>11897</v>
      </c>
      <c r="X24" s="409">
        <v>11911</v>
      </c>
      <c r="Y24" s="409">
        <v>11919</v>
      </c>
      <c r="Z24" s="416">
        <v>11954</v>
      </c>
      <c r="AA24" s="409">
        <v>11971</v>
      </c>
      <c r="AB24" s="409">
        <v>11971</v>
      </c>
      <c r="AC24" s="409">
        <v>11971</v>
      </c>
      <c r="AD24" s="409">
        <v>11987</v>
      </c>
      <c r="AE24" s="409">
        <v>11999</v>
      </c>
      <c r="AF24" s="409">
        <v>12014</v>
      </c>
      <c r="AG24" s="301">
        <f t="shared" si="0"/>
        <v>300</v>
      </c>
      <c r="AH24" s="435">
        <v>11714</v>
      </c>
      <c r="AI24" s="144">
        <v>300</v>
      </c>
      <c r="AJ24" s="307"/>
      <c r="AK24" s="414"/>
    </row>
    <row r="25" spans="1:37">
      <c r="A25" s="442" t="s">
        <v>142</v>
      </c>
      <c r="B25" s="409">
        <v>4827</v>
      </c>
      <c r="C25" s="409">
        <v>4832</v>
      </c>
      <c r="D25" s="409">
        <v>4837</v>
      </c>
      <c r="E25" s="409">
        <v>4840</v>
      </c>
      <c r="F25" s="409">
        <v>4844</v>
      </c>
      <c r="G25" s="409">
        <v>4845</v>
      </c>
      <c r="H25" s="409">
        <v>4845</v>
      </c>
      <c r="I25" s="409">
        <v>4850</v>
      </c>
      <c r="J25" s="409">
        <v>4854</v>
      </c>
      <c r="K25" s="409">
        <v>4858</v>
      </c>
      <c r="L25" s="409">
        <v>4863</v>
      </c>
      <c r="M25" s="409">
        <v>4870</v>
      </c>
      <c r="N25" s="409">
        <v>4870</v>
      </c>
      <c r="O25" s="409">
        <v>4871</v>
      </c>
      <c r="P25" s="409">
        <v>4875</v>
      </c>
      <c r="Q25" s="409">
        <v>4879</v>
      </c>
      <c r="R25" s="409">
        <v>4882</v>
      </c>
      <c r="S25" s="409">
        <v>4883.5</v>
      </c>
      <c r="T25" s="409">
        <v>4885</v>
      </c>
      <c r="U25" s="21">
        <v>4885</v>
      </c>
      <c r="V25" s="409">
        <v>4886</v>
      </c>
      <c r="W25" s="409">
        <v>4889</v>
      </c>
      <c r="X25" s="409">
        <v>4892</v>
      </c>
      <c r="Y25" s="409">
        <v>4895</v>
      </c>
      <c r="Z25" s="416">
        <v>4897</v>
      </c>
      <c r="AA25" s="409">
        <v>4899</v>
      </c>
      <c r="AB25" s="409">
        <v>4899</v>
      </c>
      <c r="AC25" s="409">
        <v>4899</v>
      </c>
      <c r="AD25" s="409">
        <v>4901</v>
      </c>
      <c r="AE25" s="409">
        <v>4903</v>
      </c>
      <c r="AF25" s="409">
        <v>4905</v>
      </c>
      <c r="AG25" s="301">
        <f t="shared" si="0"/>
        <v>83</v>
      </c>
      <c r="AH25" s="435">
        <v>4822</v>
      </c>
      <c r="AI25" s="144">
        <v>83</v>
      </c>
      <c r="AJ25" s="307"/>
      <c r="AK25" s="414"/>
    </row>
    <row r="26" spans="1:37">
      <c r="A26" s="442" t="s">
        <v>145</v>
      </c>
      <c r="B26" s="409">
        <v>2971</v>
      </c>
      <c r="C26" s="409">
        <v>2974</v>
      </c>
      <c r="D26" s="409">
        <v>2977</v>
      </c>
      <c r="E26" s="409">
        <v>2980</v>
      </c>
      <c r="F26" s="409">
        <v>2983</v>
      </c>
      <c r="G26" s="409">
        <v>2983</v>
      </c>
      <c r="H26" s="409">
        <v>2984</v>
      </c>
      <c r="I26" s="409">
        <v>2987</v>
      </c>
      <c r="J26" s="409">
        <v>2990</v>
      </c>
      <c r="K26" s="409">
        <v>2993</v>
      </c>
      <c r="L26" s="409">
        <v>2996</v>
      </c>
      <c r="M26" s="409">
        <v>2998</v>
      </c>
      <c r="N26" s="409">
        <v>2998</v>
      </c>
      <c r="O26" s="409">
        <v>3000</v>
      </c>
      <c r="P26" s="409">
        <v>3002</v>
      </c>
      <c r="Q26" s="409">
        <v>3005</v>
      </c>
      <c r="R26" s="409">
        <v>3008</v>
      </c>
      <c r="S26" s="409">
        <v>3009.5</v>
      </c>
      <c r="T26" s="409">
        <v>3011</v>
      </c>
      <c r="U26" s="21">
        <v>3012</v>
      </c>
      <c r="V26" s="409">
        <v>3013</v>
      </c>
      <c r="W26" s="409">
        <v>3016</v>
      </c>
      <c r="X26" s="409">
        <v>3018</v>
      </c>
      <c r="Y26" s="409">
        <v>3021</v>
      </c>
      <c r="Z26" s="416">
        <v>3030</v>
      </c>
      <c r="AA26" s="409">
        <v>3034</v>
      </c>
      <c r="AB26" s="409">
        <v>3034</v>
      </c>
      <c r="AC26" s="409">
        <v>3034</v>
      </c>
      <c r="AD26" s="409">
        <v>3038</v>
      </c>
      <c r="AE26" s="409">
        <v>3042</v>
      </c>
      <c r="AF26" s="409">
        <v>3047</v>
      </c>
      <c r="AG26" s="301">
        <f t="shared" si="0"/>
        <v>79</v>
      </c>
      <c r="AH26" s="435">
        <v>2968</v>
      </c>
      <c r="AI26" s="144">
        <v>79</v>
      </c>
      <c r="AJ26" s="307"/>
      <c r="AK26" s="414"/>
    </row>
    <row r="27" spans="1:37">
      <c r="A27" s="442" t="s">
        <v>148</v>
      </c>
      <c r="B27" s="409">
        <v>17975</v>
      </c>
      <c r="C27" s="409">
        <v>17989</v>
      </c>
      <c r="D27" s="409">
        <v>18001</v>
      </c>
      <c r="E27" s="409">
        <v>18011</v>
      </c>
      <c r="F27" s="409">
        <v>18023</v>
      </c>
      <c r="G27" s="409">
        <v>18024</v>
      </c>
      <c r="H27" s="409">
        <v>18028</v>
      </c>
      <c r="I27" s="409">
        <v>18040</v>
      </c>
      <c r="J27" s="409">
        <v>18051</v>
      </c>
      <c r="K27" s="409">
        <v>18062</v>
      </c>
      <c r="L27" s="409">
        <v>18075</v>
      </c>
      <c r="M27" s="409">
        <v>18082</v>
      </c>
      <c r="N27" s="409">
        <v>18083</v>
      </c>
      <c r="O27" s="409">
        <v>18087</v>
      </c>
      <c r="P27" s="409">
        <v>18096</v>
      </c>
      <c r="Q27" s="409">
        <v>18106</v>
      </c>
      <c r="R27" s="409">
        <v>18117</v>
      </c>
      <c r="S27" s="409">
        <v>18122</v>
      </c>
      <c r="T27" s="409">
        <v>18127</v>
      </c>
      <c r="U27" s="21">
        <v>18128</v>
      </c>
      <c r="V27" s="409">
        <v>18129</v>
      </c>
      <c r="W27" s="409">
        <v>18138</v>
      </c>
      <c r="X27" s="409">
        <v>18147</v>
      </c>
      <c r="Y27" s="409">
        <v>18154</v>
      </c>
      <c r="Z27" s="416">
        <v>18163.5</v>
      </c>
      <c r="AA27" s="409">
        <v>18169</v>
      </c>
      <c r="AB27" s="409">
        <v>18171</v>
      </c>
      <c r="AC27" s="409">
        <v>18171</v>
      </c>
      <c r="AD27" s="409">
        <v>18178</v>
      </c>
      <c r="AE27" s="409">
        <v>18187</v>
      </c>
      <c r="AF27" s="409">
        <v>18193</v>
      </c>
      <c r="AG27" s="301">
        <f t="shared" si="0"/>
        <v>229</v>
      </c>
      <c r="AH27" s="435">
        <v>17964</v>
      </c>
      <c r="AI27" s="144">
        <v>229</v>
      </c>
      <c r="AJ27" s="307"/>
      <c r="AK27" s="414"/>
    </row>
    <row r="28" spans="1:37">
      <c r="A28" s="442" t="s">
        <v>151</v>
      </c>
      <c r="B28" s="443">
        <v>1330</v>
      </c>
      <c r="C28" s="443">
        <v>1330</v>
      </c>
      <c r="D28" s="443">
        <v>1330</v>
      </c>
      <c r="E28" s="443">
        <v>1330</v>
      </c>
      <c r="F28" s="443">
        <v>1330</v>
      </c>
      <c r="G28" s="443">
        <v>1330</v>
      </c>
      <c r="H28" s="443">
        <v>1330</v>
      </c>
      <c r="I28" s="443">
        <v>1330</v>
      </c>
      <c r="J28" s="443">
        <v>1330</v>
      </c>
      <c r="K28" s="443">
        <v>1330</v>
      </c>
      <c r="L28" s="443">
        <v>1330</v>
      </c>
      <c r="M28" s="443">
        <v>1330</v>
      </c>
      <c r="N28" s="443">
        <v>1330</v>
      </c>
      <c r="O28" s="443">
        <v>1330</v>
      </c>
      <c r="P28" s="443">
        <v>1330</v>
      </c>
      <c r="Q28" s="443">
        <v>1330</v>
      </c>
      <c r="R28" s="443">
        <v>1330</v>
      </c>
      <c r="S28" s="409">
        <v>1330</v>
      </c>
      <c r="T28" s="443">
        <v>1330</v>
      </c>
      <c r="U28" s="21">
        <v>1330</v>
      </c>
      <c r="V28" s="443">
        <v>1330</v>
      </c>
      <c r="W28" s="443">
        <v>1330</v>
      </c>
      <c r="X28" s="443">
        <v>1330</v>
      </c>
      <c r="Y28" s="443">
        <v>1330</v>
      </c>
      <c r="Z28" s="416">
        <v>1330</v>
      </c>
      <c r="AA28" s="443">
        <v>1330</v>
      </c>
      <c r="AB28" s="443">
        <v>1330</v>
      </c>
      <c r="AC28" s="443">
        <v>1330</v>
      </c>
      <c r="AD28" s="443">
        <v>1330</v>
      </c>
      <c r="AE28" s="443">
        <v>1330</v>
      </c>
      <c r="AF28" s="443">
        <v>1330</v>
      </c>
      <c r="AG28" s="301">
        <f t="shared" si="0"/>
        <v>0</v>
      </c>
      <c r="AH28" s="444">
        <v>1330</v>
      </c>
      <c r="AI28" s="144">
        <v>0</v>
      </c>
      <c r="AJ28" s="307"/>
      <c r="AK28" s="414"/>
    </row>
    <row r="29" spans="1:37">
      <c r="A29" s="442" t="s">
        <v>154</v>
      </c>
      <c r="B29" s="443">
        <v>1427</v>
      </c>
      <c r="C29" s="443">
        <v>1428</v>
      </c>
      <c r="D29" s="443">
        <v>1428</v>
      </c>
      <c r="E29" s="443">
        <v>1428</v>
      </c>
      <c r="F29" s="443">
        <v>1428</v>
      </c>
      <c r="G29" s="443">
        <v>1430</v>
      </c>
      <c r="H29" s="443">
        <v>1431</v>
      </c>
      <c r="I29" s="443">
        <v>1432</v>
      </c>
      <c r="J29" s="443">
        <v>1433</v>
      </c>
      <c r="K29" s="443">
        <v>1433</v>
      </c>
      <c r="L29" s="443">
        <v>1434</v>
      </c>
      <c r="M29" s="443">
        <v>1435</v>
      </c>
      <c r="N29" s="443">
        <v>1435</v>
      </c>
      <c r="O29" s="443">
        <v>1437</v>
      </c>
      <c r="P29" s="443">
        <v>1437</v>
      </c>
      <c r="Q29" s="443">
        <v>1438</v>
      </c>
      <c r="R29" s="443">
        <v>1439</v>
      </c>
      <c r="S29" s="443">
        <v>1439.5</v>
      </c>
      <c r="T29" s="443">
        <v>1440</v>
      </c>
      <c r="U29" s="21">
        <v>1440</v>
      </c>
      <c r="V29" s="443">
        <v>1439</v>
      </c>
      <c r="W29" s="443">
        <v>1442</v>
      </c>
      <c r="X29" s="443">
        <v>1443</v>
      </c>
      <c r="Y29" s="443">
        <v>1443</v>
      </c>
      <c r="Z29" s="443">
        <v>1446</v>
      </c>
      <c r="AA29" s="443">
        <v>1446</v>
      </c>
      <c r="AB29" s="443">
        <v>1446</v>
      </c>
      <c r="AC29" s="443">
        <v>1446</v>
      </c>
      <c r="AD29" s="443">
        <v>1447</v>
      </c>
      <c r="AE29" s="443">
        <v>1448</v>
      </c>
      <c r="AF29" s="443">
        <v>1449</v>
      </c>
      <c r="AG29" s="301">
        <f t="shared" si="0"/>
        <v>23</v>
      </c>
      <c r="AH29" s="444">
        <v>1426</v>
      </c>
      <c r="AI29" s="144">
        <v>23</v>
      </c>
      <c r="AJ29" s="307"/>
      <c r="AK29" s="414"/>
    </row>
    <row r="30" spans="1:37">
      <c r="A30" s="303"/>
      <c r="B30" s="406"/>
      <c r="C30" s="406"/>
      <c r="D30" s="406"/>
      <c r="E30" s="406"/>
      <c r="F30" s="406"/>
      <c r="G30" s="406"/>
      <c r="H30" s="406"/>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301">
        <f t="shared" si="0"/>
        <v>0</v>
      </c>
      <c r="AH30" s="445"/>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08" t="s">
        <v>75</v>
      </c>
      <c r="T31" s="408" t="s">
        <v>75</v>
      </c>
      <c r="U31" s="408" t="s">
        <v>75</v>
      </c>
      <c r="V31" s="408" t="s">
        <v>75</v>
      </c>
      <c r="W31" s="408" t="s">
        <v>75</v>
      </c>
      <c r="X31" s="408" t="s">
        <v>75</v>
      </c>
      <c r="Y31" s="408" t="s">
        <v>75</v>
      </c>
      <c r="Z31" s="408" t="s">
        <v>75</v>
      </c>
      <c r="AA31" s="408" t="s">
        <v>75</v>
      </c>
      <c r="AB31" s="408" t="s">
        <v>75</v>
      </c>
      <c r="AC31" s="408" t="s">
        <v>75</v>
      </c>
      <c r="AD31" s="408" t="s">
        <v>75</v>
      </c>
      <c r="AE31" s="408" t="s">
        <v>75</v>
      </c>
      <c r="AF31" s="408" t="s">
        <v>75</v>
      </c>
      <c r="AG31" s="301" t="e">
        <f t="shared" si="0"/>
        <v>#VALUE!</v>
      </c>
      <c r="AH31" s="434" t="s">
        <v>75</v>
      </c>
    </row>
    <row r="32" spans="1:37">
      <c r="A32" s="282" t="s">
        <v>77</v>
      </c>
      <c r="B32" s="443" t="s">
        <v>2815</v>
      </c>
      <c r="C32" s="443" t="s">
        <v>2815</v>
      </c>
      <c r="D32" s="443" t="s">
        <v>2815</v>
      </c>
      <c r="E32" s="443" t="s">
        <v>2815</v>
      </c>
      <c r="F32" s="443" t="s">
        <v>2815</v>
      </c>
      <c r="G32" s="443" t="s">
        <v>2815</v>
      </c>
      <c r="H32" s="443" t="s">
        <v>2815</v>
      </c>
      <c r="I32" s="443" t="s">
        <v>2815</v>
      </c>
      <c r="J32" s="443" t="s">
        <v>2815</v>
      </c>
      <c r="K32" s="443" t="s">
        <v>2815</v>
      </c>
      <c r="L32" s="443" t="s">
        <v>2815</v>
      </c>
      <c r="M32" s="443" t="s">
        <v>2815</v>
      </c>
      <c r="N32" s="443" t="s">
        <v>2815</v>
      </c>
      <c r="O32" s="443" t="s">
        <v>2815</v>
      </c>
      <c r="P32" s="443" t="s">
        <v>2815</v>
      </c>
      <c r="Q32" s="443" t="s">
        <v>2815</v>
      </c>
      <c r="R32" s="443" t="s">
        <v>2815</v>
      </c>
      <c r="S32" s="443" t="s">
        <v>2815</v>
      </c>
      <c r="T32" s="443" t="s">
        <v>2815</v>
      </c>
      <c r="U32" s="443" t="s">
        <v>2815</v>
      </c>
      <c r="V32" s="443" t="s">
        <v>2815</v>
      </c>
      <c r="W32" s="443" t="s">
        <v>2815</v>
      </c>
      <c r="X32" s="443" t="s">
        <v>2815</v>
      </c>
      <c r="Y32" s="443" t="s">
        <v>2815</v>
      </c>
      <c r="Z32" s="443" t="s">
        <v>2815</v>
      </c>
      <c r="AA32" s="443" t="s">
        <v>2815</v>
      </c>
      <c r="AB32" s="443" t="s">
        <v>2815</v>
      </c>
      <c r="AC32" s="443" t="s">
        <v>2815</v>
      </c>
      <c r="AD32" s="443" t="s">
        <v>2815</v>
      </c>
      <c r="AE32" s="443" t="s">
        <v>2815</v>
      </c>
      <c r="AF32" s="443">
        <v>45350</v>
      </c>
      <c r="AG32" s="301" t="e">
        <f t="shared" si="0"/>
        <v>#VALUE!</v>
      </c>
      <c r="AH32" s="444" t="s">
        <v>2815</v>
      </c>
    </row>
    <row r="33" spans="1:34" ht="25.5">
      <c r="A33" s="282" t="s">
        <v>80</v>
      </c>
      <c r="B33" s="443" t="s">
        <v>2815</v>
      </c>
      <c r="C33" s="443" t="s">
        <v>2815</v>
      </c>
      <c r="D33" s="443" t="s">
        <v>2815</v>
      </c>
      <c r="E33" s="443" t="s">
        <v>2815</v>
      </c>
      <c r="F33" s="443" t="s">
        <v>2815</v>
      </c>
      <c r="G33" s="443" t="s">
        <v>2815</v>
      </c>
      <c r="H33" s="443" t="s">
        <v>2815</v>
      </c>
      <c r="I33" s="443" t="s">
        <v>2815</v>
      </c>
      <c r="J33" s="443" t="s">
        <v>2815</v>
      </c>
      <c r="K33" s="443" t="s">
        <v>2815</v>
      </c>
      <c r="L33" s="443" t="s">
        <v>2815</v>
      </c>
      <c r="M33" s="443" t="s">
        <v>2815</v>
      </c>
      <c r="N33" s="443" t="s">
        <v>2815</v>
      </c>
      <c r="O33" s="443" t="s">
        <v>2815</v>
      </c>
      <c r="P33" s="443" t="s">
        <v>2815</v>
      </c>
      <c r="Q33" s="443" t="s">
        <v>2815</v>
      </c>
      <c r="R33" s="443" t="s">
        <v>2815</v>
      </c>
      <c r="S33" s="443" t="s">
        <v>2815</v>
      </c>
      <c r="T33" s="443" t="s">
        <v>2815</v>
      </c>
      <c r="U33" s="443" t="s">
        <v>2815</v>
      </c>
      <c r="V33" s="443" t="s">
        <v>2815</v>
      </c>
      <c r="W33" s="443" t="s">
        <v>2815</v>
      </c>
      <c r="X33" s="443" t="s">
        <v>2815</v>
      </c>
      <c r="Y33" s="443" t="s">
        <v>2815</v>
      </c>
      <c r="Z33" s="443" t="s">
        <v>2815</v>
      </c>
      <c r="AA33" s="443" t="s">
        <v>2815</v>
      </c>
      <c r="AB33" s="443" t="s">
        <v>2815</v>
      </c>
      <c r="AC33" s="443" t="s">
        <v>2815</v>
      </c>
      <c r="AD33" s="443" t="s">
        <v>2815</v>
      </c>
      <c r="AE33" s="443" t="s">
        <v>2815</v>
      </c>
      <c r="AF33" s="443">
        <v>45350</v>
      </c>
      <c r="AG33" s="301" t="e">
        <f t="shared" si="0"/>
        <v>#VALUE!</v>
      </c>
      <c r="AH33" s="444" t="s">
        <v>2815</v>
      </c>
    </row>
    <row r="34" spans="1:34" ht="15.75" thickBot="1">
      <c r="A34" s="310" t="s">
        <v>81</v>
      </c>
      <c r="B34" s="446" t="s">
        <v>2816</v>
      </c>
      <c r="C34" s="446" t="s">
        <v>2816</v>
      </c>
      <c r="D34" s="446" t="s">
        <v>2816</v>
      </c>
      <c r="E34" s="446" t="s">
        <v>2816</v>
      </c>
      <c r="F34" s="446" t="s">
        <v>2816</v>
      </c>
      <c r="G34" s="446" t="s">
        <v>2816</v>
      </c>
      <c r="H34" s="446" t="s">
        <v>2816</v>
      </c>
      <c r="I34" s="446" t="s">
        <v>2816</v>
      </c>
      <c r="J34" s="446" t="s">
        <v>2816</v>
      </c>
      <c r="K34" s="446" t="s">
        <v>2816</v>
      </c>
      <c r="L34" s="446" t="s">
        <v>2816</v>
      </c>
      <c r="M34" s="446" t="s">
        <v>2816</v>
      </c>
      <c r="N34" s="446" t="s">
        <v>2816</v>
      </c>
      <c r="O34" s="446" t="s">
        <v>2816</v>
      </c>
      <c r="P34" s="446" t="s">
        <v>2816</v>
      </c>
      <c r="Q34" s="446" t="s">
        <v>2816</v>
      </c>
      <c r="R34" s="446" t="s">
        <v>2816</v>
      </c>
      <c r="S34" s="446" t="s">
        <v>2816</v>
      </c>
      <c r="T34" s="446" t="s">
        <v>2816</v>
      </c>
      <c r="U34" s="446" t="s">
        <v>2816</v>
      </c>
      <c r="V34" s="446" t="s">
        <v>2816</v>
      </c>
      <c r="W34" s="446" t="s">
        <v>2816</v>
      </c>
      <c r="X34" s="446" t="s">
        <v>2816</v>
      </c>
      <c r="Y34" s="446" t="s">
        <v>2816</v>
      </c>
      <c r="Z34" s="446" t="s">
        <v>2816</v>
      </c>
      <c r="AA34" s="446" t="s">
        <v>2816</v>
      </c>
      <c r="AB34" s="446" t="s">
        <v>2816</v>
      </c>
      <c r="AC34" s="446" t="s">
        <v>2816</v>
      </c>
      <c r="AD34" s="446" t="s">
        <v>2816</v>
      </c>
      <c r="AE34" s="446" t="s">
        <v>2816</v>
      </c>
      <c r="AF34" s="446">
        <v>1500</v>
      </c>
      <c r="AG34" s="447" t="e">
        <f t="shared" si="0"/>
        <v>#VALUE!</v>
      </c>
      <c r="AH34" s="448" t="s">
        <v>2816</v>
      </c>
    </row>
    <row r="35" spans="1:34">
      <c r="A35" s="449"/>
      <c r="B35" s="450"/>
      <c r="C35" s="450"/>
      <c r="D35" s="450"/>
      <c r="E35" s="450"/>
      <c r="F35" s="450"/>
      <c r="G35" s="450"/>
      <c r="H35" s="450"/>
      <c r="I35" s="450"/>
      <c r="J35" s="450"/>
      <c r="K35" s="450"/>
      <c r="L35" s="450"/>
      <c r="M35" s="450"/>
      <c r="N35" s="450"/>
      <c r="O35" s="450"/>
      <c r="P35" s="450"/>
      <c r="Q35" s="450"/>
      <c r="R35" s="450"/>
      <c r="S35" s="450"/>
      <c r="T35" s="450"/>
      <c r="U35" s="450"/>
      <c r="V35" s="450"/>
      <c r="W35" s="450"/>
      <c r="X35" s="450"/>
      <c r="Y35" s="450"/>
      <c r="Z35" s="450"/>
      <c r="AA35" s="450"/>
      <c r="AB35" s="450"/>
      <c r="AC35" s="450"/>
      <c r="AD35" s="450"/>
      <c r="AE35" s="450"/>
      <c r="AF35" s="450"/>
      <c r="AG35" s="423"/>
      <c r="AH35" s="451"/>
    </row>
    <row r="36" spans="1:34">
      <c r="A36" s="452" t="s">
        <v>2817</v>
      </c>
      <c r="B36" s="408" t="s">
        <v>64</v>
      </c>
      <c r="C36" s="408" t="s">
        <v>64</v>
      </c>
      <c r="D36" s="408" t="s">
        <v>64</v>
      </c>
      <c r="E36" s="408" t="s">
        <v>64</v>
      </c>
      <c r="F36" s="408" t="s">
        <v>64</v>
      </c>
      <c r="G36" s="408" t="s">
        <v>64</v>
      </c>
      <c r="H36" s="408" t="s">
        <v>64</v>
      </c>
      <c r="I36" s="408" t="s">
        <v>64</v>
      </c>
      <c r="J36" s="408" t="s">
        <v>64</v>
      </c>
      <c r="K36" s="408" t="s">
        <v>64</v>
      </c>
      <c r="L36" s="408" t="s">
        <v>64</v>
      </c>
      <c r="M36" s="408" t="s">
        <v>64</v>
      </c>
      <c r="N36" s="408" t="s">
        <v>64</v>
      </c>
      <c r="O36" s="408" t="s">
        <v>64</v>
      </c>
      <c r="P36" s="408" t="s">
        <v>64</v>
      </c>
      <c r="Q36" s="408" t="s">
        <v>64</v>
      </c>
      <c r="R36" s="408" t="s">
        <v>64</v>
      </c>
      <c r="S36" s="408" t="s">
        <v>64</v>
      </c>
      <c r="T36" s="408" t="s">
        <v>64</v>
      </c>
      <c r="U36" s="408" t="s">
        <v>64</v>
      </c>
      <c r="V36" s="408" t="s">
        <v>64</v>
      </c>
      <c r="W36" s="408" t="s">
        <v>64</v>
      </c>
      <c r="X36" s="408" t="s">
        <v>64</v>
      </c>
      <c r="Y36" s="408" t="s">
        <v>64</v>
      </c>
      <c r="Z36" s="408" t="s">
        <v>64</v>
      </c>
      <c r="AA36" s="408" t="s">
        <v>64</v>
      </c>
      <c r="AB36" s="408" t="s">
        <v>64</v>
      </c>
      <c r="AC36" s="408" t="s">
        <v>64</v>
      </c>
      <c r="AD36" s="408" t="s">
        <v>64</v>
      </c>
      <c r="AE36" s="408" t="s">
        <v>64</v>
      </c>
      <c r="AF36" s="408" t="s">
        <v>64</v>
      </c>
      <c r="AG36" s="423"/>
      <c r="AH36" s="408" t="s">
        <v>64</v>
      </c>
    </row>
    <row r="37" spans="1:34">
      <c r="A37" s="453" t="s">
        <v>2818</v>
      </c>
      <c r="B37" s="424">
        <v>47044</v>
      </c>
      <c r="C37" s="424">
        <v>48308</v>
      </c>
      <c r="D37" s="424">
        <v>50334</v>
      </c>
      <c r="E37" s="424">
        <v>51638</v>
      </c>
      <c r="F37" s="424">
        <v>51638</v>
      </c>
      <c r="G37" s="424">
        <v>53917</v>
      </c>
      <c r="H37" s="424">
        <v>55022</v>
      </c>
      <c r="I37" s="424">
        <v>56237</v>
      </c>
      <c r="J37" s="424">
        <v>57499</v>
      </c>
      <c r="K37" s="424">
        <v>58789</v>
      </c>
      <c r="L37" s="424">
        <v>60068</v>
      </c>
      <c r="M37" s="424">
        <v>61556</v>
      </c>
      <c r="N37" s="424">
        <v>62657</v>
      </c>
      <c r="O37" s="424">
        <v>64042</v>
      </c>
      <c r="P37" s="424">
        <v>65647</v>
      </c>
      <c r="Q37" s="424">
        <v>67301</v>
      </c>
      <c r="R37" s="424">
        <v>68521</v>
      </c>
      <c r="S37" s="424">
        <v>69772</v>
      </c>
      <c r="T37" s="424">
        <v>71315</v>
      </c>
      <c r="U37" s="424">
        <v>72029</v>
      </c>
      <c r="V37" s="424">
        <v>73102</v>
      </c>
      <c r="W37" s="424">
        <v>74432</v>
      </c>
      <c r="X37" s="424">
        <v>75575</v>
      </c>
      <c r="Y37" s="424">
        <v>76726</v>
      </c>
      <c r="Z37" s="424">
        <v>77890</v>
      </c>
      <c r="AA37" s="424">
        <v>79415</v>
      </c>
      <c r="AB37" s="424">
        <v>79415</v>
      </c>
      <c r="AC37" s="424">
        <v>81277</v>
      </c>
      <c r="AD37" s="424">
        <v>82461</v>
      </c>
      <c r="AE37" s="424">
        <v>83697</v>
      </c>
      <c r="AF37" s="424">
        <v>84928</v>
      </c>
      <c r="AG37" s="423"/>
      <c r="AH37" s="424">
        <v>47044</v>
      </c>
    </row>
    <row r="38" spans="1:34">
      <c r="A38" s="453" t="s">
        <v>2819</v>
      </c>
      <c r="B38" s="450">
        <v>83350</v>
      </c>
      <c r="C38" s="450">
        <v>87962</v>
      </c>
      <c r="D38" s="450">
        <v>92566</v>
      </c>
      <c r="E38" s="450">
        <v>97091</v>
      </c>
      <c r="F38" s="450">
        <v>97091</v>
      </c>
      <c r="G38" s="450">
        <v>106058</v>
      </c>
      <c r="H38" s="450">
        <v>110429</v>
      </c>
      <c r="I38" s="450">
        <v>114892</v>
      </c>
      <c r="J38" s="450">
        <v>119379</v>
      </c>
      <c r="K38" s="450">
        <v>123933</v>
      </c>
      <c r="L38" s="450">
        <v>128473</v>
      </c>
      <c r="M38" s="450">
        <v>133730</v>
      </c>
      <c r="N38" s="450">
        <v>137656</v>
      </c>
      <c r="O38" s="450">
        <v>142068</v>
      </c>
      <c r="P38" s="450">
        <v>146534</v>
      </c>
      <c r="Q38" s="450">
        <v>151039</v>
      </c>
      <c r="R38" s="450">
        <v>155486</v>
      </c>
      <c r="S38" s="450">
        <v>159860</v>
      </c>
      <c r="T38" s="450">
        <v>165581</v>
      </c>
      <c r="U38" s="450">
        <v>168424</v>
      </c>
      <c r="V38" s="450">
        <v>172725</v>
      </c>
      <c r="W38" s="450">
        <v>177093</v>
      </c>
      <c r="X38" s="450">
        <v>181420</v>
      </c>
      <c r="Y38" s="450">
        <v>185760</v>
      </c>
      <c r="Z38" s="450">
        <v>190111</v>
      </c>
      <c r="AA38" s="450">
        <v>195864</v>
      </c>
      <c r="AB38" s="450">
        <v>195864</v>
      </c>
      <c r="AC38" s="450">
        <v>203103</v>
      </c>
      <c r="AD38" s="450">
        <v>207494</v>
      </c>
      <c r="AE38" s="450">
        <v>211966</v>
      </c>
      <c r="AF38" s="450">
        <v>216434</v>
      </c>
      <c r="AG38" s="423"/>
      <c r="AH38" s="450">
        <v>83350</v>
      </c>
    </row>
    <row r="39" spans="1:34">
      <c r="A39" s="453" t="s">
        <v>2820</v>
      </c>
      <c r="B39" s="450">
        <v>47350</v>
      </c>
      <c r="C39" s="450">
        <v>49354</v>
      </c>
      <c r="D39" s="450">
        <v>51282</v>
      </c>
      <c r="E39" s="450">
        <v>53173</v>
      </c>
      <c r="F39" s="450">
        <v>53173</v>
      </c>
      <c r="G39" s="450">
        <v>56897</v>
      </c>
      <c r="H39" s="450">
        <v>58686</v>
      </c>
      <c r="I39" s="450">
        <v>60585</v>
      </c>
      <c r="J39" s="450">
        <v>62467</v>
      </c>
      <c r="K39" s="450">
        <v>64376</v>
      </c>
      <c r="L39" s="450">
        <v>66283</v>
      </c>
      <c r="M39" s="450">
        <v>68302</v>
      </c>
      <c r="N39" s="450">
        <v>69941</v>
      </c>
      <c r="O39" s="450">
        <v>71707</v>
      </c>
      <c r="P39" s="450">
        <v>73557</v>
      </c>
      <c r="Q39" s="450">
        <v>75395</v>
      </c>
      <c r="R39" s="450">
        <v>77116</v>
      </c>
      <c r="S39" s="450">
        <v>78833</v>
      </c>
      <c r="T39" s="450">
        <v>80979</v>
      </c>
      <c r="U39" s="450">
        <v>82012</v>
      </c>
      <c r="V39" s="450">
        <v>83591</v>
      </c>
      <c r="W39" s="450">
        <v>85226</v>
      </c>
      <c r="X39" s="450">
        <v>86920</v>
      </c>
      <c r="Y39" s="450">
        <v>88666</v>
      </c>
      <c r="Z39" s="450">
        <v>90350</v>
      </c>
      <c r="AA39" s="450">
        <v>92642</v>
      </c>
      <c r="AB39" s="450">
        <v>92642</v>
      </c>
      <c r="AC39" s="450">
        <v>95429</v>
      </c>
      <c r="AD39" s="450">
        <v>97199</v>
      </c>
      <c r="AE39" s="450">
        <v>99001</v>
      </c>
      <c r="AF39" s="450">
        <v>100797</v>
      </c>
      <c r="AG39" s="423"/>
      <c r="AH39" s="450">
        <v>47350</v>
      </c>
    </row>
    <row r="40" spans="1:34">
      <c r="A40" s="453" t="s">
        <v>2821</v>
      </c>
      <c r="B40" s="450">
        <v>0</v>
      </c>
      <c r="C40" s="450">
        <v>0</v>
      </c>
      <c r="D40" s="450">
        <v>0</v>
      </c>
      <c r="E40" s="450">
        <v>0</v>
      </c>
      <c r="F40" s="450">
        <v>0</v>
      </c>
      <c r="G40" s="450">
        <v>0</v>
      </c>
      <c r="H40" s="450">
        <v>0</v>
      </c>
      <c r="I40" s="450">
        <v>0</v>
      </c>
      <c r="J40" s="450">
        <v>0</v>
      </c>
      <c r="K40" s="450">
        <v>0</v>
      </c>
      <c r="L40" s="450">
        <v>0</v>
      </c>
      <c r="M40" s="450">
        <v>0</v>
      </c>
      <c r="N40" s="450">
        <v>0</v>
      </c>
      <c r="O40" s="450">
        <v>0</v>
      </c>
      <c r="P40" s="450">
        <v>0</v>
      </c>
      <c r="Q40" s="450">
        <v>0</v>
      </c>
      <c r="R40" s="450">
        <v>0</v>
      </c>
      <c r="S40" s="450">
        <v>0</v>
      </c>
      <c r="T40" s="450">
        <v>0</v>
      </c>
      <c r="U40" s="450">
        <v>0</v>
      </c>
      <c r="V40" s="450">
        <v>0</v>
      </c>
      <c r="W40" s="450">
        <v>0</v>
      </c>
      <c r="X40" s="450">
        <v>0</v>
      </c>
      <c r="Y40" s="450">
        <v>0</v>
      </c>
      <c r="Z40" s="450">
        <v>0</v>
      </c>
      <c r="AA40" s="450">
        <v>0</v>
      </c>
      <c r="AB40" s="450">
        <v>0</v>
      </c>
      <c r="AC40" s="450">
        <v>0</v>
      </c>
      <c r="AD40" s="450">
        <v>0</v>
      </c>
      <c r="AE40" s="450">
        <v>0</v>
      </c>
      <c r="AF40" s="450">
        <v>0</v>
      </c>
      <c r="AG40" s="423"/>
      <c r="AH40" s="450">
        <v>0</v>
      </c>
    </row>
    <row r="41" spans="1:34">
      <c r="A41" s="453" t="s">
        <v>2822</v>
      </c>
      <c r="B41" s="450">
        <v>3314</v>
      </c>
      <c r="C41" s="450">
        <v>3367</v>
      </c>
      <c r="D41" s="450">
        <v>3418</v>
      </c>
      <c r="E41" s="450">
        <v>3504</v>
      </c>
      <c r="F41" s="450">
        <v>3550</v>
      </c>
      <c r="G41" s="450">
        <v>3586</v>
      </c>
      <c r="H41" s="450">
        <v>3637</v>
      </c>
      <c r="I41" s="450">
        <v>3687</v>
      </c>
      <c r="J41" s="450">
        <v>3738</v>
      </c>
      <c r="K41" s="450">
        <v>3788</v>
      </c>
      <c r="L41" s="450">
        <v>3839</v>
      </c>
      <c r="M41" s="450">
        <v>3916</v>
      </c>
      <c r="N41" s="450">
        <v>3916</v>
      </c>
      <c r="O41" s="450">
        <v>3986</v>
      </c>
      <c r="P41" s="450">
        <v>4042</v>
      </c>
      <c r="Q41" s="450">
        <v>4094</v>
      </c>
      <c r="R41" s="450">
        <v>4147</v>
      </c>
      <c r="S41" s="450">
        <v>4206</v>
      </c>
      <c r="T41" s="450">
        <v>4206</v>
      </c>
      <c r="U41" s="450">
        <v>4206</v>
      </c>
      <c r="V41" s="450">
        <v>4265</v>
      </c>
      <c r="W41" s="450">
        <v>4266</v>
      </c>
      <c r="X41" s="450">
        <v>4434</v>
      </c>
      <c r="Y41" s="450">
        <v>4515</v>
      </c>
      <c r="Z41" s="450">
        <v>4515</v>
      </c>
      <c r="AA41" s="450">
        <v>4775</v>
      </c>
      <c r="AB41" s="450">
        <v>4775</v>
      </c>
      <c r="AC41" s="450">
        <v>4775</v>
      </c>
      <c r="AD41" s="450">
        <v>4775</v>
      </c>
      <c r="AE41" s="450">
        <v>4775</v>
      </c>
      <c r="AF41" s="450">
        <v>4775</v>
      </c>
      <c r="AG41" s="423"/>
      <c r="AH41" s="450">
        <v>3314</v>
      </c>
    </row>
    <row r="42" spans="1:34">
      <c r="A42" s="453" t="s">
        <v>2823</v>
      </c>
      <c r="B42" s="450">
        <v>2872</v>
      </c>
      <c r="C42" s="450">
        <v>2967</v>
      </c>
      <c r="D42" s="450">
        <v>3035</v>
      </c>
      <c r="E42" s="450">
        <v>3105</v>
      </c>
      <c r="F42" s="450">
        <v>3170</v>
      </c>
      <c r="G42" s="450">
        <v>3170</v>
      </c>
      <c r="H42" s="450">
        <v>3295</v>
      </c>
      <c r="I42" s="450">
        <v>3414</v>
      </c>
      <c r="J42" s="450">
        <v>3464</v>
      </c>
      <c r="K42" s="450">
        <v>3598</v>
      </c>
      <c r="L42" s="450">
        <v>3653</v>
      </c>
      <c r="M42" s="450">
        <v>3682</v>
      </c>
      <c r="N42" s="450">
        <v>3682</v>
      </c>
      <c r="O42" s="450">
        <v>3702</v>
      </c>
      <c r="P42" s="450">
        <v>3715</v>
      </c>
      <c r="Q42" s="450">
        <v>3752</v>
      </c>
      <c r="R42" s="450">
        <v>3752</v>
      </c>
      <c r="S42" s="450">
        <v>3752</v>
      </c>
      <c r="T42" s="450">
        <v>3752</v>
      </c>
      <c r="U42" s="450">
        <v>3835</v>
      </c>
      <c r="V42" s="450">
        <v>3835</v>
      </c>
      <c r="W42" s="450">
        <v>3835</v>
      </c>
      <c r="X42" s="450">
        <v>3843</v>
      </c>
      <c r="Y42" s="450">
        <v>3853</v>
      </c>
      <c r="Z42" s="450">
        <v>3853</v>
      </c>
      <c r="AA42" s="450">
        <v>3858</v>
      </c>
      <c r="AB42" s="450">
        <v>3858</v>
      </c>
      <c r="AC42" s="450">
        <v>3957</v>
      </c>
      <c r="AD42" s="450">
        <v>3999</v>
      </c>
      <c r="AE42" s="450">
        <v>4024</v>
      </c>
      <c r="AF42" s="450">
        <v>4041</v>
      </c>
      <c r="AG42" s="423"/>
      <c r="AH42" s="450">
        <v>2872</v>
      </c>
    </row>
    <row r="43" spans="1:34" ht="15.75" thickBot="1">
      <c r="A43" s="454" t="s">
        <v>2824</v>
      </c>
      <c r="B43" s="455">
        <v>9745</v>
      </c>
      <c r="C43" s="455">
        <v>9739</v>
      </c>
      <c r="D43" s="455">
        <v>9699</v>
      </c>
      <c r="E43" s="455">
        <v>9699</v>
      </c>
      <c r="F43" s="455">
        <v>9699</v>
      </c>
      <c r="G43" s="455">
        <v>9699</v>
      </c>
      <c r="H43" s="455">
        <v>10</v>
      </c>
      <c r="I43" s="455">
        <v>14</v>
      </c>
      <c r="J43" s="455">
        <v>19</v>
      </c>
      <c r="K43" s="455">
        <v>19</v>
      </c>
      <c r="L43" s="455">
        <v>24</v>
      </c>
      <c r="M43" s="455">
        <v>27</v>
      </c>
      <c r="N43" s="455">
        <v>31</v>
      </c>
      <c r="O43" s="455">
        <v>35</v>
      </c>
      <c r="P43" s="455">
        <v>40</v>
      </c>
      <c r="Q43" s="455">
        <v>40</v>
      </c>
      <c r="R43" s="455">
        <v>40</v>
      </c>
      <c r="S43" s="455">
        <v>78</v>
      </c>
      <c r="T43" s="455">
        <v>78</v>
      </c>
      <c r="U43" s="455">
        <v>78</v>
      </c>
      <c r="V43" s="455">
        <v>78</v>
      </c>
      <c r="W43" s="455">
        <v>83</v>
      </c>
      <c r="X43" s="455">
        <v>83</v>
      </c>
      <c r="Y43" s="455">
        <v>83</v>
      </c>
      <c r="Z43" s="455">
        <v>88</v>
      </c>
      <c r="AA43" s="455">
        <v>93</v>
      </c>
      <c r="AB43" s="455">
        <v>93</v>
      </c>
      <c r="AC43" s="455">
        <v>93</v>
      </c>
      <c r="AD43" s="455">
        <v>93</v>
      </c>
      <c r="AE43" s="455">
        <v>93</v>
      </c>
      <c r="AF43" s="455">
        <v>93</v>
      </c>
      <c r="AG43" s="456"/>
      <c r="AH43" s="455">
        <v>9745</v>
      </c>
    </row>
  </sheetData>
  <mergeCells count="1">
    <mergeCell ref="A1:AH1"/>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4E1A-6B70-4737-A37E-7BF5BCC1CA60}">
  <dimension ref="A1:AK43"/>
  <sheetViews>
    <sheetView tabSelected="1" workbookViewId="0">
      <selection activeCell="K26" sqref="K26"/>
    </sheetView>
  </sheetViews>
  <sheetFormatPr defaultColWidth="9.140625" defaultRowHeight="15"/>
  <cols>
    <col min="1" max="1" width="39.7109375" style="522" customWidth="1"/>
    <col min="2" max="2" width="13" style="522" customWidth="1"/>
    <col min="3" max="16" width="12.85546875" style="522" customWidth="1"/>
    <col min="17" max="17" width="16" style="522" customWidth="1"/>
    <col min="18" max="21" width="12.85546875" style="522" customWidth="1"/>
    <col min="22" max="22" width="12.85546875" style="538" customWidth="1"/>
    <col min="23" max="32" width="12.85546875" style="522" customWidth="1"/>
    <col min="33" max="33" width="15.7109375" style="522" customWidth="1"/>
    <col min="34" max="34" width="14" style="522" customWidth="1"/>
    <col min="35" max="35" width="9.140625" style="522"/>
    <col min="36" max="36" width="10" style="522" bestFit="1" customWidth="1"/>
    <col min="37" max="37" width="13.85546875" style="522" customWidth="1"/>
    <col min="38" max="38" width="14.85546875" style="522" customWidth="1"/>
    <col min="39" max="16384" width="9.140625" style="522"/>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531"/>
      <c r="B2" s="530">
        <v>46023</v>
      </c>
      <c r="C2" s="530">
        <v>46024</v>
      </c>
      <c r="D2" s="530">
        <v>46025</v>
      </c>
      <c r="E2" s="530">
        <v>46026</v>
      </c>
      <c r="F2" s="530">
        <v>46027</v>
      </c>
      <c r="G2" s="530">
        <v>46028</v>
      </c>
      <c r="H2" s="530">
        <v>46029</v>
      </c>
      <c r="I2" s="530">
        <v>46030</v>
      </c>
      <c r="J2" s="530">
        <v>46031</v>
      </c>
      <c r="K2" s="530">
        <v>46032</v>
      </c>
      <c r="L2" s="530">
        <v>46033</v>
      </c>
      <c r="M2" s="530">
        <v>46034</v>
      </c>
      <c r="N2" s="530">
        <v>46035</v>
      </c>
      <c r="O2" s="530">
        <v>46036</v>
      </c>
      <c r="P2" s="530">
        <v>46037</v>
      </c>
      <c r="Q2" s="530">
        <v>46038</v>
      </c>
      <c r="R2" s="530">
        <v>46039</v>
      </c>
      <c r="S2" s="530">
        <v>46040</v>
      </c>
      <c r="T2" s="530">
        <v>46041</v>
      </c>
      <c r="U2" s="530">
        <v>46042</v>
      </c>
      <c r="V2" s="530">
        <v>46043</v>
      </c>
      <c r="W2" s="530">
        <v>46044</v>
      </c>
      <c r="X2" s="530">
        <v>46045</v>
      </c>
      <c r="Y2" s="530">
        <v>46046</v>
      </c>
      <c r="Z2" s="530">
        <v>46047</v>
      </c>
      <c r="AA2" s="530">
        <v>46048</v>
      </c>
      <c r="AB2" s="530">
        <v>46049</v>
      </c>
      <c r="AC2" s="530">
        <v>46050</v>
      </c>
      <c r="AD2" s="530">
        <v>46051</v>
      </c>
      <c r="AE2" s="530">
        <v>46052</v>
      </c>
      <c r="AF2" s="530">
        <v>46053</v>
      </c>
      <c r="AG2" s="530"/>
      <c r="AH2" s="530">
        <v>46022</v>
      </c>
    </row>
    <row r="3" spans="1:37" ht="16.5">
      <c r="A3" s="532" t="s">
        <v>51</v>
      </c>
      <c r="B3" s="523" t="s">
        <v>53</v>
      </c>
      <c r="C3" s="523" t="s">
        <v>53</v>
      </c>
      <c r="D3" s="523" t="s">
        <v>53</v>
      </c>
      <c r="E3" s="523" t="s">
        <v>53</v>
      </c>
      <c r="F3" s="523" t="s">
        <v>53</v>
      </c>
      <c r="G3" s="523" t="s">
        <v>53</v>
      </c>
      <c r="H3" s="523" t="s">
        <v>53</v>
      </c>
      <c r="I3" s="523" t="s">
        <v>53</v>
      </c>
      <c r="J3" s="523" t="s">
        <v>53</v>
      </c>
      <c r="K3" s="523" t="s">
        <v>53</v>
      </c>
      <c r="L3" s="523" t="s">
        <v>53</v>
      </c>
      <c r="M3" s="527" t="s">
        <v>53</v>
      </c>
      <c r="N3" s="523" t="s">
        <v>53</v>
      </c>
      <c r="O3" s="523" t="s">
        <v>53</v>
      </c>
      <c r="P3" s="523" t="s">
        <v>53</v>
      </c>
      <c r="Q3" s="523" t="s">
        <v>53</v>
      </c>
      <c r="R3" s="523" t="s">
        <v>53</v>
      </c>
      <c r="S3" s="523" t="s">
        <v>53</v>
      </c>
      <c r="T3" s="523" t="s">
        <v>53</v>
      </c>
      <c r="U3" s="523" t="s">
        <v>53</v>
      </c>
      <c r="V3" s="523" t="s">
        <v>53</v>
      </c>
      <c r="W3" s="523" t="s">
        <v>53</v>
      </c>
      <c r="X3" s="523" t="s">
        <v>53</v>
      </c>
      <c r="Y3" s="523" t="s">
        <v>53</v>
      </c>
      <c r="Z3" s="523" t="s">
        <v>53</v>
      </c>
      <c r="AA3" s="523" t="s">
        <v>52</v>
      </c>
      <c r="AB3" s="523" t="s">
        <v>52</v>
      </c>
      <c r="AC3" s="523" t="s">
        <v>52</v>
      </c>
      <c r="AD3" s="523" t="s">
        <v>52</v>
      </c>
      <c r="AE3" s="523" t="s">
        <v>52</v>
      </c>
      <c r="AF3" s="523" t="s">
        <v>52</v>
      </c>
      <c r="AG3" s="525"/>
      <c r="AH3" s="523" t="s">
        <v>52</v>
      </c>
    </row>
    <row r="4" spans="1:37" ht="20.100000000000001" customHeight="1">
      <c r="A4" s="533" t="s">
        <v>54</v>
      </c>
      <c r="B4" s="552">
        <v>536195</v>
      </c>
      <c r="C4" s="552">
        <v>536423</v>
      </c>
      <c r="D4" s="552">
        <v>536637</v>
      </c>
      <c r="E4" s="552">
        <v>536858</v>
      </c>
      <c r="F4" s="552">
        <v>537091</v>
      </c>
      <c r="G4" s="552">
        <v>537324</v>
      </c>
      <c r="H4" s="552">
        <v>537551</v>
      </c>
      <c r="I4" s="552">
        <v>537781</v>
      </c>
      <c r="J4" s="552">
        <v>538005</v>
      </c>
      <c r="K4" s="552">
        <v>538222</v>
      </c>
      <c r="L4" s="552">
        <v>538444</v>
      </c>
      <c r="M4" s="552">
        <v>538677</v>
      </c>
      <c r="N4" s="552">
        <v>538910</v>
      </c>
      <c r="O4" s="552">
        <v>539145</v>
      </c>
      <c r="P4" s="552">
        <v>539379</v>
      </c>
      <c r="Q4" s="552">
        <v>539603</v>
      </c>
      <c r="R4" s="552">
        <v>539819</v>
      </c>
      <c r="S4" s="552">
        <v>540043</v>
      </c>
      <c r="T4" s="552">
        <v>540273</v>
      </c>
      <c r="U4" s="552">
        <v>540498</v>
      </c>
      <c r="V4" s="552">
        <v>540733</v>
      </c>
      <c r="W4" s="552">
        <v>540948</v>
      </c>
      <c r="X4" s="552">
        <v>541165</v>
      </c>
      <c r="Y4" s="552">
        <v>541396</v>
      </c>
      <c r="Z4" s="552">
        <v>541608</v>
      </c>
      <c r="AA4" s="552">
        <v>541835</v>
      </c>
      <c r="AB4" s="552">
        <v>542060</v>
      </c>
      <c r="AC4" s="552">
        <v>542278</v>
      </c>
      <c r="AD4" s="552">
        <v>542504</v>
      </c>
      <c r="AE4" s="552">
        <v>542723</v>
      </c>
      <c r="AF4" s="552">
        <v>542933</v>
      </c>
      <c r="AG4" s="529"/>
      <c r="AH4" s="552">
        <v>535962</v>
      </c>
      <c r="AI4" s="528"/>
    </row>
    <row r="5" spans="1:37" ht="20.100000000000001" customHeight="1">
      <c r="A5" s="533" t="s">
        <v>55</v>
      </c>
      <c r="B5" s="552">
        <v>15042896</v>
      </c>
      <c r="C5" s="552">
        <v>15049262</v>
      </c>
      <c r="D5" s="552">
        <v>15054628</v>
      </c>
      <c r="E5" s="552">
        <v>15060313</v>
      </c>
      <c r="F5" s="552">
        <v>15067142</v>
      </c>
      <c r="G5" s="552">
        <v>15073861</v>
      </c>
      <c r="H5" s="552">
        <v>15080385</v>
      </c>
      <c r="I5" s="552">
        <v>15087390</v>
      </c>
      <c r="J5" s="552">
        <v>15094164</v>
      </c>
      <c r="K5" s="552">
        <v>15100070</v>
      </c>
      <c r="L5" s="552">
        <v>15106146</v>
      </c>
      <c r="M5" s="552">
        <v>15113026</v>
      </c>
      <c r="N5" s="552">
        <v>15120023</v>
      </c>
      <c r="O5" s="552">
        <v>15127007</v>
      </c>
      <c r="P5" s="552">
        <v>15134214</v>
      </c>
      <c r="Q5" s="552">
        <v>15140697</v>
      </c>
      <c r="R5" s="552">
        <v>15146105</v>
      </c>
      <c r="S5" s="552">
        <v>15151745</v>
      </c>
      <c r="T5" s="552">
        <v>15158392</v>
      </c>
      <c r="U5" s="552">
        <v>15165144</v>
      </c>
      <c r="V5" s="552">
        <v>15172129</v>
      </c>
      <c r="W5" s="552">
        <v>15178884</v>
      </c>
      <c r="X5" s="552">
        <v>15185194</v>
      </c>
      <c r="Y5" s="552">
        <v>15191008</v>
      </c>
      <c r="Z5" s="552">
        <v>15196753</v>
      </c>
      <c r="AA5" s="552">
        <v>15203606</v>
      </c>
      <c r="AB5" s="552">
        <v>15210550</v>
      </c>
      <c r="AC5" s="552">
        <v>15217284</v>
      </c>
      <c r="AD5" s="552">
        <v>15224036</v>
      </c>
      <c r="AE5" s="552">
        <v>15230632</v>
      </c>
      <c r="AF5" s="552">
        <v>15236155</v>
      </c>
      <c r="AG5" s="529"/>
      <c r="AH5" s="552">
        <v>15036326</v>
      </c>
      <c r="AI5" s="528"/>
    </row>
    <row r="6" spans="1:37" ht="20.100000000000001" customHeight="1">
      <c r="A6" s="533" t="s">
        <v>56</v>
      </c>
      <c r="B6" s="552">
        <v>6914340</v>
      </c>
      <c r="C6" s="552">
        <v>6916990</v>
      </c>
      <c r="D6" s="552">
        <v>6919303</v>
      </c>
      <c r="E6" s="552">
        <v>6921813</v>
      </c>
      <c r="F6" s="552">
        <v>6924719</v>
      </c>
      <c r="G6" s="552">
        <v>6927624</v>
      </c>
      <c r="H6" s="552">
        <v>6930517</v>
      </c>
      <c r="I6" s="552">
        <v>6933339</v>
      </c>
      <c r="J6" s="552">
        <v>6936067</v>
      </c>
      <c r="K6" s="552">
        <v>6938409</v>
      </c>
      <c r="L6" s="552">
        <v>6940986</v>
      </c>
      <c r="M6" s="552">
        <v>6944131</v>
      </c>
      <c r="N6" s="552">
        <v>6947212</v>
      </c>
      <c r="O6" s="552">
        <v>6950215</v>
      </c>
      <c r="P6" s="552">
        <v>6953396</v>
      </c>
      <c r="Q6" s="552">
        <v>6956392</v>
      </c>
      <c r="R6" s="552">
        <v>6959080</v>
      </c>
      <c r="S6" s="552">
        <v>6961989</v>
      </c>
      <c r="T6" s="552">
        <v>6965205</v>
      </c>
      <c r="U6" s="552">
        <v>6968208</v>
      </c>
      <c r="V6" s="552">
        <v>6971211</v>
      </c>
      <c r="W6" s="552">
        <v>6974390</v>
      </c>
      <c r="X6" s="552">
        <v>6977233</v>
      </c>
      <c r="Y6" s="552">
        <v>6979875</v>
      </c>
      <c r="Z6" s="552">
        <v>6982533</v>
      </c>
      <c r="AA6" s="552">
        <v>6985611</v>
      </c>
      <c r="AB6" s="552">
        <v>6988737</v>
      </c>
      <c r="AC6" s="552">
        <v>6991707</v>
      </c>
      <c r="AD6" s="552">
        <v>6994782</v>
      </c>
      <c r="AE6" s="552">
        <v>6997736</v>
      </c>
      <c r="AF6" s="552">
        <v>7000183</v>
      </c>
      <c r="AG6" s="529"/>
      <c r="AH6" s="552">
        <v>6911496</v>
      </c>
      <c r="AI6" s="528"/>
    </row>
    <row r="7" spans="1:37" ht="20.100000000000001" customHeight="1">
      <c r="A7" s="533" t="s">
        <v>57</v>
      </c>
      <c r="B7" s="552">
        <v>2036011</v>
      </c>
      <c r="C7" s="552">
        <v>2036094</v>
      </c>
      <c r="D7" s="552">
        <v>2036180</v>
      </c>
      <c r="E7" s="552">
        <v>2039953</v>
      </c>
      <c r="F7" s="552">
        <v>2044860</v>
      </c>
      <c r="G7" s="552">
        <v>2049232</v>
      </c>
      <c r="H7" s="552">
        <v>2053590</v>
      </c>
      <c r="I7" s="552">
        <v>2057822</v>
      </c>
      <c r="J7" s="552">
        <v>2063139</v>
      </c>
      <c r="K7" s="552">
        <v>2069622</v>
      </c>
      <c r="L7" s="552">
        <v>2075662</v>
      </c>
      <c r="M7" s="552">
        <v>2082173</v>
      </c>
      <c r="N7" s="552">
        <v>2088686</v>
      </c>
      <c r="O7" s="552">
        <v>2094888</v>
      </c>
      <c r="P7" s="552">
        <v>2101125</v>
      </c>
      <c r="Q7" s="552">
        <v>2107504</v>
      </c>
      <c r="R7" s="552">
        <v>2113424</v>
      </c>
      <c r="S7" s="552">
        <v>2113697</v>
      </c>
      <c r="T7" s="552">
        <v>2113780</v>
      </c>
      <c r="U7" s="552">
        <v>2113864</v>
      </c>
      <c r="V7" s="552">
        <v>2113947</v>
      </c>
      <c r="W7" s="552">
        <v>2114031</v>
      </c>
      <c r="X7" s="552">
        <v>2114112</v>
      </c>
      <c r="Y7" s="552">
        <v>2114203</v>
      </c>
      <c r="Z7" s="552">
        <v>2114285</v>
      </c>
      <c r="AA7" s="552">
        <v>2114369</v>
      </c>
      <c r="AB7" s="552">
        <v>2114453</v>
      </c>
      <c r="AC7" s="552">
        <v>2114536</v>
      </c>
      <c r="AD7" s="552">
        <v>2114619</v>
      </c>
      <c r="AE7" s="552">
        <v>2114700</v>
      </c>
      <c r="AF7" s="552">
        <v>2114787</v>
      </c>
      <c r="AG7" s="529"/>
      <c r="AH7" s="552">
        <v>2035927</v>
      </c>
      <c r="AI7" s="528"/>
    </row>
    <row r="8" spans="1:37" ht="20.100000000000001" customHeight="1">
      <c r="A8" s="533" t="s">
        <v>58</v>
      </c>
      <c r="B8" s="552">
        <v>1915343</v>
      </c>
      <c r="C8" s="552">
        <v>1918542</v>
      </c>
      <c r="D8" s="552">
        <v>1921656</v>
      </c>
      <c r="E8" s="552">
        <v>1921843</v>
      </c>
      <c r="F8" s="552">
        <v>1921930</v>
      </c>
      <c r="G8" s="552">
        <v>1922017</v>
      </c>
      <c r="H8" s="552">
        <v>1922104</v>
      </c>
      <c r="I8" s="552">
        <v>1922190</v>
      </c>
      <c r="J8" s="552">
        <v>1922273</v>
      </c>
      <c r="K8" s="552">
        <v>1922363</v>
      </c>
      <c r="L8" s="552">
        <v>1922449</v>
      </c>
      <c r="M8" s="552">
        <v>1922534</v>
      </c>
      <c r="N8" s="552">
        <v>1922620</v>
      </c>
      <c r="O8" s="552">
        <v>1922706</v>
      </c>
      <c r="P8" s="552">
        <v>1922791</v>
      </c>
      <c r="Q8" s="552">
        <v>1922872</v>
      </c>
      <c r="R8" s="552">
        <v>1922961</v>
      </c>
      <c r="S8" s="552">
        <v>1928078</v>
      </c>
      <c r="T8" s="552">
        <v>1934215</v>
      </c>
      <c r="U8" s="552">
        <v>1940499</v>
      </c>
      <c r="V8" s="552">
        <v>1940585</v>
      </c>
      <c r="W8" s="552">
        <v>1953050</v>
      </c>
      <c r="X8" s="552">
        <v>1958454</v>
      </c>
      <c r="Y8" s="552">
        <v>1964031</v>
      </c>
      <c r="Z8" s="552">
        <v>1970069</v>
      </c>
      <c r="AA8" s="552">
        <v>1976434</v>
      </c>
      <c r="AB8" s="552">
        <v>1982759</v>
      </c>
      <c r="AC8" s="552">
        <v>1988902</v>
      </c>
      <c r="AD8" s="552">
        <v>1995304</v>
      </c>
      <c r="AE8" s="552">
        <v>2001445</v>
      </c>
      <c r="AF8" s="552">
        <v>2007512</v>
      </c>
      <c r="AG8" s="529"/>
      <c r="AH8" s="552">
        <v>1911842</v>
      </c>
      <c r="AI8" s="528"/>
    </row>
    <row r="9" spans="1:37" ht="20.100000000000001" customHeight="1">
      <c r="A9" s="533" t="s">
        <v>59</v>
      </c>
      <c r="B9" s="552">
        <v>2670648</v>
      </c>
      <c r="C9" s="552">
        <v>2675677</v>
      </c>
      <c r="D9" s="552">
        <v>2680601</v>
      </c>
      <c r="E9" s="552">
        <v>2685522</v>
      </c>
      <c r="F9" s="552">
        <v>2690509</v>
      </c>
      <c r="G9" s="552">
        <v>2695490</v>
      </c>
      <c r="H9" s="552">
        <v>2700563</v>
      </c>
      <c r="I9" s="552">
        <v>2705884</v>
      </c>
      <c r="J9" s="552">
        <v>2711184</v>
      </c>
      <c r="K9" s="552">
        <v>2716506</v>
      </c>
      <c r="L9" s="552">
        <v>2721766</v>
      </c>
      <c r="M9" s="552">
        <v>2727142</v>
      </c>
      <c r="N9" s="552">
        <v>2732582</v>
      </c>
      <c r="O9" s="552">
        <v>2737939</v>
      </c>
      <c r="P9" s="552">
        <v>2743279</v>
      </c>
      <c r="Q9" s="552">
        <v>2748075</v>
      </c>
      <c r="R9" s="552">
        <v>2752865</v>
      </c>
      <c r="S9" s="552">
        <v>2757421</v>
      </c>
      <c r="T9" s="552">
        <v>2762586</v>
      </c>
      <c r="U9" s="552">
        <v>2767656</v>
      </c>
      <c r="V9" s="552">
        <v>2773013</v>
      </c>
      <c r="W9" s="552">
        <v>2777482</v>
      </c>
      <c r="X9" s="552">
        <v>2782045</v>
      </c>
      <c r="Y9" s="552">
        <v>2787005</v>
      </c>
      <c r="Z9" s="552">
        <v>2791581</v>
      </c>
      <c r="AA9" s="552">
        <v>2796356</v>
      </c>
      <c r="AB9" s="552">
        <v>2801108</v>
      </c>
      <c r="AC9" s="552">
        <v>2805765</v>
      </c>
      <c r="AD9" s="552">
        <v>2810761</v>
      </c>
      <c r="AE9" s="552">
        <v>2815987</v>
      </c>
      <c r="AF9" s="552">
        <v>2821200</v>
      </c>
      <c r="AG9" s="529"/>
      <c r="AH9" s="552">
        <v>2665654</v>
      </c>
      <c r="AI9" s="528"/>
    </row>
    <row r="10" spans="1:37" ht="20.100000000000001" customHeight="1">
      <c r="A10" s="533" t="s">
        <v>60</v>
      </c>
      <c r="B10" s="552">
        <v>9447307</v>
      </c>
      <c r="C10" s="552">
        <v>9450301</v>
      </c>
      <c r="D10" s="552">
        <v>9452077</v>
      </c>
      <c r="E10" s="552">
        <v>9454512</v>
      </c>
      <c r="F10" s="552">
        <v>9457656</v>
      </c>
      <c r="G10" s="552">
        <v>9460829</v>
      </c>
      <c r="H10" s="552">
        <v>9463927</v>
      </c>
      <c r="I10" s="552">
        <v>9467119</v>
      </c>
      <c r="J10" s="552">
        <v>9470129</v>
      </c>
      <c r="K10" s="552">
        <v>9471996</v>
      </c>
      <c r="L10" s="552">
        <v>9474495</v>
      </c>
      <c r="M10" s="552">
        <v>9477630</v>
      </c>
      <c r="N10" s="552">
        <v>9480984</v>
      </c>
      <c r="O10" s="552">
        <v>9484245</v>
      </c>
      <c r="P10" s="552">
        <v>9487790</v>
      </c>
      <c r="Q10" s="552">
        <v>9490943</v>
      </c>
      <c r="R10" s="552">
        <v>9492926</v>
      </c>
      <c r="S10" s="552">
        <v>9495858</v>
      </c>
      <c r="T10" s="552">
        <v>9499358</v>
      </c>
      <c r="U10" s="552">
        <v>9502919</v>
      </c>
      <c r="V10" s="552">
        <v>9506180</v>
      </c>
      <c r="W10" s="552">
        <v>9509778</v>
      </c>
      <c r="X10" s="552">
        <v>9512757</v>
      </c>
      <c r="Y10" s="552">
        <v>9514749</v>
      </c>
      <c r="Z10" s="552">
        <v>9516787</v>
      </c>
      <c r="AA10" s="552">
        <v>9520275</v>
      </c>
      <c r="AB10" s="552">
        <v>9523582</v>
      </c>
      <c r="AC10" s="552">
        <v>9526983</v>
      </c>
      <c r="AD10" s="552">
        <v>9530245</v>
      </c>
      <c r="AE10" s="552">
        <v>9533442</v>
      </c>
      <c r="AF10" s="552">
        <v>9535198</v>
      </c>
      <c r="AG10" s="529"/>
      <c r="AH10" s="552">
        <v>9444244</v>
      </c>
      <c r="AI10" s="528"/>
    </row>
    <row r="11" spans="1:37" ht="22.5" customHeight="1">
      <c r="A11" s="533" t="s">
        <v>61</v>
      </c>
      <c r="B11" s="552">
        <v>360535</v>
      </c>
      <c r="C11" s="552">
        <v>360655</v>
      </c>
      <c r="D11" s="552">
        <v>360746</v>
      </c>
      <c r="E11" s="552">
        <v>360846</v>
      </c>
      <c r="F11" s="552">
        <v>360974</v>
      </c>
      <c r="G11" s="552">
        <v>361100</v>
      </c>
      <c r="H11" s="552">
        <v>361221</v>
      </c>
      <c r="I11" s="552">
        <v>361344</v>
      </c>
      <c r="J11" s="552">
        <v>361463</v>
      </c>
      <c r="K11" s="552">
        <v>361553</v>
      </c>
      <c r="L11" s="552">
        <v>361653</v>
      </c>
      <c r="M11" s="552">
        <v>361778</v>
      </c>
      <c r="N11" s="552">
        <v>361905</v>
      </c>
      <c r="O11" s="552">
        <v>362030</v>
      </c>
      <c r="P11" s="552">
        <v>362157</v>
      </c>
      <c r="Q11" s="552">
        <v>362276</v>
      </c>
      <c r="R11" s="552">
        <v>362366</v>
      </c>
      <c r="S11" s="552">
        <v>362467</v>
      </c>
      <c r="T11" s="552">
        <v>362589</v>
      </c>
      <c r="U11" s="552">
        <v>362712</v>
      </c>
      <c r="V11" s="552">
        <v>362837</v>
      </c>
      <c r="W11" s="552">
        <v>362965</v>
      </c>
      <c r="X11" s="552">
        <v>363085</v>
      </c>
      <c r="Y11" s="552">
        <v>363189</v>
      </c>
      <c r="Z11" s="552">
        <v>363291</v>
      </c>
      <c r="AA11" s="552">
        <v>363416</v>
      </c>
      <c r="AB11" s="552">
        <v>363540</v>
      </c>
      <c r="AC11" s="552">
        <v>363660</v>
      </c>
      <c r="AD11" s="552">
        <v>363784</v>
      </c>
      <c r="AE11" s="552">
        <v>363905</v>
      </c>
      <c r="AF11" s="552">
        <v>363991</v>
      </c>
      <c r="AG11" s="529"/>
      <c r="AH11" s="552">
        <v>360415</v>
      </c>
      <c r="AI11" s="528"/>
    </row>
    <row r="12" spans="1:37" s="535" customFormat="1" ht="18" customHeight="1">
      <c r="A12" s="534" t="s">
        <v>62</v>
      </c>
      <c r="B12" s="552"/>
      <c r="C12" s="552"/>
      <c r="D12" s="552"/>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407"/>
      <c r="AH12" s="552"/>
    </row>
    <row r="13" spans="1:37">
      <c r="A13" s="532" t="s">
        <v>63</v>
      </c>
      <c r="B13" s="547" t="s">
        <v>64</v>
      </c>
      <c r="C13" s="547" t="s">
        <v>64</v>
      </c>
      <c r="D13" s="547" t="s">
        <v>64</v>
      </c>
      <c r="E13" s="547" t="s">
        <v>64</v>
      </c>
      <c r="F13" s="547" t="s">
        <v>64</v>
      </c>
      <c r="G13" s="547" t="s">
        <v>64</v>
      </c>
      <c r="H13" s="547" t="s">
        <v>64</v>
      </c>
      <c r="I13" s="547" t="s">
        <v>64</v>
      </c>
      <c r="J13" s="547" t="s">
        <v>64</v>
      </c>
      <c r="K13" s="547" t="s">
        <v>64</v>
      </c>
      <c r="L13" s="547" t="s">
        <v>64</v>
      </c>
      <c r="M13" s="547" t="s">
        <v>64</v>
      </c>
      <c r="N13" s="547" t="s">
        <v>64</v>
      </c>
      <c r="O13" s="547" t="s">
        <v>64</v>
      </c>
      <c r="P13" s="547" t="s">
        <v>64</v>
      </c>
      <c r="Q13" s="547" t="s">
        <v>64</v>
      </c>
      <c r="R13" s="547" t="s">
        <v>64</v>
      </c>
      <c r="S13" s="547" t="s">
        <v>64</v>
      </c>
      <c r="T13" s="547" t="s">
        <v>64</v>
      </c>
      <c r="U13" s="547" t="s">
        <v>64</v>
      </c>
      <c r="V13" s="547" t="s">
        <v>64</v>
      </c>
      <c r="W13" s="547" t="s">
        <v>64</v>
      </c>
      <c r="X13" s="547" t="s">
        <v>64</v>
      </c>
      <c r="Y13" s="547" t="s">
        <v>64</v>
      </c>
      <c r="Z13" s="547" t="s">
        <v>64</v>
      </c>
      <c r="AA13" s="547" t="s">
        <v>64</v>
      </c>
      <c r="AB13" s="547" t="s">
        <v>64</v>
      </c>
      <c r="AC13" s="547" t="s">
        <v>64</v>
      </c>
      <c r="AD13" s="547" t="s">
        <v>64</v>
      </c>
      <c r="AE13" s="547" t="s">
        <v>64</v>
      </c>
      <c r="AF13" s="547" t="s">
        <v>64</v>
      </c>
      <c r="AG13" s="296"/>
      <c r="AH13" s="547" t="s">
        <v>64</v>
      </c>
    </row>
    <row r="14" spans="1:37">
      <c r="A14" s="532" t="s">
        <v>995</v>
      </c>
      <c r="B14" s="545">
        <v>50839</v>
      </c>
      <c r="C14" s="545">
        <v>50943</v>
      </c>
      <c r="D14" s="545">
        <v>50969</v>
      </c>
      <c r="E14" s="545">
        <v>51079</v>
      </c>
      <c r="F14" s="545">
        <v>51195</v>
      </c>
      <c r="G14" s="545">
        <v>51314</v>
      </c>
      <c r="H14" s="545">
        <v>51424</v>
      </c>
      <c r="I14" s="545">
        <v>51530</v>
      </c>
      <c r="J14" s="545">
        <v>51641</v>
      </c>
      <c r="K14" s="545">
        <v>51662</v>
      </c>
      <c r="L14" s="545">
        <v>51750</v>
      </c>
      <c r="M14" s="545">
        <v>51858</v>
      </c>
      <c r="N14" s="545">
        <v>51958</v>
      </c>
      <c r="O14" s="545">
        <v>52057</v>
      </c>
      <c r="P14" s="545">
        <v>52152</v>
      </c>
      <c r="Q14" s="545">
        <v>52253</v>
      </c>
      <c r="R14" s="545">
        <v>52253</v>
      </c>
      <c r="S14" s="545">
        <v>52401</v>
      </c>
      <c r="T14" s="545">
        <v>52509</v>
      </c>
      <c r="U14" s="545">
        <v>52602</v>
      </c>
      <c r="V14" s="545">
        <v>52694</v>
      </c>
      <c r="W14" s="545">
        <v>52786</v>
      </c>
      <c r="X14" s="545">
        <v>52897</v>
      </c>
      <c r="Y14" s="545">
        <v>52925</v>
      </c>
      <c r="Z14" s="545">
        <v>53015</v>
      </c>
      <c r="AA14" s="545">
        <v>53119</v>
      </c>
      <c r="AB14" s="545">
        <v>53213</v>
      </c>
      <c r="AC14" s="545">
        <v>53317</v>
      </c>
      <c r="AD14" s="545">
        <v>53413</v>
      </c>
      <c r="AE14" s="545">
        <v>53517</v>
      </c>
      <c r="AF14" s="545">
        <v>53540</v>
      </c>
      <c r="AG14" s="301">
        <f>AF14-AH14</f>
        <v>2803</v>
      </c>
      <c r="AH14" s="545">
        <v>50737</v>
      </c>
      <c r="AI14" s="543">
        <v>2803</v>
      </c>
      <c r="AJ14" s="543"/>
      <c r="AK14" s="550"/>
    </row>
    <row r="15" spans="1:37" ht="25.5">
      <c r="A15" s="532" t="s">
        <v>67</v>
      </c>
      <c r="B15" s="545">
        <v>8944</v>
      </c>
      <c r="C15" s="545">
        <v>8944</v>
      </c>
      <c r="D15" s="545">
        <v>8944</v>
      </c>
      <c r="E15" s="545">
        <v>8944</v>
      </c>
      <c r="F15" s="545">
        <v>8944</v>
      </c>
      <c r="G15" s="545">
        <v>8944</v>
      </c>
      <c r="H15" s="545">
        <v>8971</v>
      </c>
      <c r="I15" s="545">
        <v>8979</v>
      </c>
      <c r="J15" s="545">
        <v>8992</v>
      </c>
      <c r="K15" s="545">
        <v>8979</v>
      </c>
      <c r="L15" s="545">
        <v>9010</v>
      </c>
      <c r="M15" s="545">
        <v>9010</v>
      </c>
      <c r="N15" s="545">
        <v>9035</v>
      </c>
      <c r="O15" s="545">
        <v>9043</v>
      </c>
      <c r="P15" s="545">
        <v>9043</v>
      </c>
      <c r="Q15" s="545">
        <v>9043</v>
      </c>
      <c r="R15" s="545">
        <v>9043</v>
      </c>
      <c r="S15" s="545">
        <v>9043</v>
      </c>
      <c r="T15" s="545">
        <v>9043</v>
      </c>
      <c r="U15" s="545">
        <v>9089</v>
      </c>
      <c r="V15" s="545">
        <v>9097</v>
      </c>
      <c r="W15" s="545">
        <v>9097</v>
      </c>
      <c r="X15" s="545">
        <v>9116</v>
      </c>
      <c r="Y15" s="545">
        <v>9124</v>
      </c>
      <c r="Z15" s="545">
        <v>9132</v>
      </c>
      <c r="AA15" s="545">
        <v>9141</v>
      </c>
      <c r="AB15" s="545">
        <v>9150</v>
      </c>
      <c r="AC15" s="545">
        <v>9159</v>
      </c>
      <c r="AD15" s="545">
        <v>9167</v>
      </c>
      <c r="AE15" s="545">
        <v>9167</v>
      </c>
      <c r="AF15" s="545">
        <v>9185</v>
      </c>
      <c r="AG15" s="301">
        <f t="shared" ref="AG15:AG34" si="0">AF15-AH15</f>
        <v>241</v>
      </c>
      <c r="AH15" s="545">
        <v>8944</v>
      </c>
      <c r="AI15" s="522">
        <v>0</v>
      </c>
      <c r="AJ15" s="543"/>
      <c r="AK15" s="556"/>
    </row>
    <row r="16" spans="1:37" ht="25.5">
      <c r="A16" s="532" t="s">
        <v>68</v>
      </c>
      <c r="B16" s="545">
        <v>12879</v>
      </c>
      <c r="C16" s="545">
        <v>12879</v>
      </c>
      <c r="D16" s="545">
        <v>12879</v>
      </c>
      <c r="E16" s="545">
        <v>12879</v>
      </c>
      <c r="F16" s="545">
        <v>12879</v>
      </c>
      <c r="G16" s="545">
        <v>12879</v>
      </c>
      <c r="H16" s="545">
        <v>12879</v>
      </c>
      <c r="I16" s="545">
        <v>12879</v>
      </c>
      <c r="J16" s="545">
        <v>12879</v>
      </c>
      <c r="K16" s="545">
        <v>12879</v>
      </c>
      <c r="L16" s="545">
        <v>12879</v>
      </c>
      <c r="M16" s="545">
        <v>12879</v>
      </c>
      <c r="N16" s="545">
        <v>12879</v>
      </c>
      <c r="O16" s="545">
        <v>12879</v>
      </c>
      <c r="P16" s="545">
        <v>12879</v>
      </c>
      <c r="Q16" s="545">
        <v>12879</v>
      </c>
      <c r="R16" s="545">
        <v>12879</v>
      </c>
      <c r="S16" s="545">
        <v>12879</v>
      </c>
      <c r="T16" s="545">
        <v>12879</v>
      </c>
      <c r="U16" s="545">
        <v>12879</v>
      </c>
      <c r="V16" s="545">
        <v>12879</v>
      </c>
      <c r="W16" s="545">
        <v>12879</v>
      </c>
      <c r="X16" s="545">
        <v>12879</v>
      </c>
      <c r="Y16" s="545">
        <v>12879</v>
      </c>
      <c r="Z16" s="545">
        <v>12879</v>
      </c>
      <c r="AA16" s="545">
        <v>12879</v>
      </c>
      <c r="AB16" s="545">
        <v>12879</v>
      </c>
      <c r="AC16" s="545">
        <v>12879</v>
      </c>
      <c r="AD16" s="545">
        <v>12879</v>
      </c>
      <c r="AE16" s="545">
        <v>12879</v>
      </c>
      <c r="AF16" s="545">
        <v>12879</v>
      </c>
      <c r="AG16" s="301">
        <f t="shared" si="0"/>
        <v>0</v>
      </c>
      <c r="AH16" s="545">
        <v>12879</v>
      </c>
      <c r="AI16" s="522">
        <v>0</v>
      </c>
      <c r="AJ16" s="543"/>
      <c r="AK16" s="556"/>
    </row>
    <row r="17" spans="1:37" ht="20.100000000000001" customHeight="1">
      <c r="A17" s="536"/>
      <c r="B17" s="553"/>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553"/>
      <c r="AF17" s="553"/>
      <c r="AG17" s="301">
        <f t="shared" si="0"/>
        <v>0</v>
      </c>
      <c r="AH17" s="553"/>
      <c r="AK17" s="556"/>
    </row>
    <row r="18" spans="1:37">
      <c r="A18" s="532" t="s">
        <v>69</v>
      </c>
      <c r="B18" s="554" t="s">
        <v>64</v>
      </c>
      <c r="C18" s="554" t="s">
        <v>64</v>
      </c>
      <c r="D18" s="554" t="s">
        <v>64</v>
      </c>
      <c r="E18" s="554" t="s">
        <v>64</v>
      </c>
      <c r="F18" s="554" t="s">
        <v>64</v>
      </c>
      <c r="G18" s="554" t="s">
        <v>64</v>
      </c>
      <c r="H18" s="554" t="s">
        <v>64</v>
      </c>
      <c r="I18" s="554" t="s">
        <v>64</v>
      </c>
      <c r="J18" s="554" t="s">
        <v>64</v>
      </c>
      <c r="K18" s="554" t="s">
        <v>64</v>
      </c>
      <c r="L18" s="554" t="s">
        <v>64</v>
      </c>
      <c r="M18" s="554" t="s">
        <v>64</v>
      </c>
      <c r="N18" s="554" t="s">
        <v>64</v>
      </c>
      <c r="O18" s="554" t="s">
        <v>64</v>
      </c>
      <c r="P18" s="554" t="s">
        <v>64</v>
      </c>
      <c r="Q18" s="554" t="s">
        <v>64</v>
      </c>
      <c r="R18" s="554" t="s">
        <v>64</v>
      </c>
      <c r="S18" s="554" t="s">
        <v>64</v>
      </c>
      <c r="T18" s="554" t="s">
        <v>64</v>
      </c>
      <c r="U18" s="554" t="s">
        <v>64</v>
      </c>
      <c r="V18" s="554" t="s">
        <v>64</v>
      </c>
      <c r="W18" s="554" t="s">
        <v>64</v>
      </c>
      <c r="X18" s="554" t="s">
        <v>64</v>
      </c>
      <c r="Y18" s="554" t="s">
        <v>64</v>
      </c>
      <c r="Z18" s="554" t="s">
        <v>64</v>
      </c>
      <c r="AA18" s="554" t="s">
        <v>64</v>
      </c>
      <c r="AB18" s="554" t="s">
        <v>64</v>
      </c>
      <c r="AC18" s="554" t="s">
        <v>64</v>
      </c>
      <c r="AD18" s="554" t="s">
        <v>64</v>
      </c>
      <c r="AE18" s="554" t="s">
        <v>64</v>
      </c>
      <c r="AF18" s="554" t="s">
        <v>64</v>
      </c>
      <c r="AG18" s="301" t="e">
        <f t="shared" si="0"/>
        <v>#VALUE!</v>
      </c>
      <c r="AH18" s="554" t="s">
        <v>64</v>
      </c>
      <c r="AK18" s="557"/>
    </row>
    <row r="19" spans="1:37" ht="25.5">
      <c r="A19" s="532" t="s">
        <v>70</v>
      </c>
      <c r="B19" s="546">
        <v>0</v>
      </c>
      <c r="C19" s="546">
        <v>0</v>
      </c>
      <c r="D19" s="546">
        <v>0</v>
      </c>
      <c r="E19" s="546">
        <v>0</v>
      </c>
      <c r="F19" s="546">
        <v>0</v>
      </c>
      <c r="G19" s="546">
        <v>0</v>
      </c>
      <c r="H19" s="546">
        <v>0</v>
      </c>
      <c r="I19" s="546">
        <v>0</v>
      </c>
      <c r="J19" s="546">
        <v>0</v>
      </c>
      <c r="K19" s="546">
        <v>0</v>
      </c>
      <c r="L19" s="546">
        <v>0</v>
      </c>
      <c r="M19" s="546">
        <v>0</v>
      </c>
      <c r="N19" s="546">
        <v>0</v>
      </c>
      <c r="O19" s="546">
        <v>0</v>
      </c>
      <c r="P19" s="546">
        <v>0</v>
      </c>
      <c r="Q19" s="546">
        <v>0</v>
      </c>
      <c r="R19" s="546">
        <v>0</v>
      </c>
      <c r="S19" s="546">
        <v>0</v>
      </c>
      <c r="T19" s="546">
        <v>0</v>
      </c>
      <c r="U19" s="546">
        <v>0</v>
      </c>
      <c r="V19" s="546">
        <v>0</v>
      </c>
      <c r="W19" s="546">
        <v>0</v>
      </c>
      <c r="X19" s="546">
        <v>0</v>
      </c>
      <c r="Y19" s="546">
        <v>0</v>
      </c>
      <c r="Z19" s="546">
        <v>0</v>
      </c>
      <c r="AA19" s="546">
        <v>0</v>
      </c>
      <c r="AB19" s="546">
        <v>0</v>
      </c>
      <c r="AC19" s="546">
        <v>0</v>
      </c>
      <c r="AD19" s="546">
        <v>0</v>
      </c>
      <c r="AE19" s="546">
        <v>0</v>
      </c>
      <c r="AF19" s="546">
        <v>0</v>
      </c>
      <c r="AG19" s="301">
        <f t="shared" si="0"/>
        <v>0</v>
      </c>
      <c r="AH19" s="546">
        <v>0</v>
      </c>
      <c r="AI19" s="540">
        <v>0</v>
      </c>
      <c r="AJ19" s="540"/>
      <c r="AK19" s="550"/>
    </row>
    <row r="20" spans="1:37" ht="25.5">
      <c r="A20" s="532" t="s">
        <v>2715</v>
      </c>
      <c r="B20" s="546">
        <v>1788602</v>
      </c>
      <c r="C20" s="546">
        <v>1788602</v>
      </c>
      <c r="D20" s="546">
        <v>1788602</v>
      </c>
      <c r="E20" s="546">
        <v>1788602</v>
      </c>
      <c r="F20" s="546">
        <v>1788602</v>
      </c>
      <c r="G20" s="546">
        <v>1788602</v>
      </c>
      <c r="H20" s="546">
        <v>1810681</v>
      </c>
      <c r="I20" s="546">
        <v>1810681</v>
      </c>
      <c r="J20" s="546">
        <v>1810681</v>
      </c>
      <c r="K20" s="546">
        <v>1817569</v>
      </c>
      <c r="L20" s="546">
        <v>1817569</v>
      </c>
      <c r="M20" s="546">
        <v>1817614</v>
      </c>
      <c r="N20" s="546">
        <v>1889407</v>
      </c>
      <c r="O20" s="546">
        <v>1889407</v>
      </c>
      <c r="P20" s="546">
        <v>1889407</v>
      </c>
      <c r="Q20" s="546">
        <v>1889407</v>
      </c>
      <c r="R20" s="546">
        <v>1889407</v>
      </c>
      <c r="S20" s="546">
        <v>1889407</v>
      </c>
      <c r="T20" s="546">
        <v>1889407</v>
      </c>
      <c r="U20" s="546">
        <v>1889407</v>
      </c>
      <c r="V20" s="546">
        <v>1889407</v>
      </c>
      <c r="W20" s="546">
        <v>1940686</v>
      </c>
      <c r="X20" s="546">
        <v>1940686</v>
      </c>
      <c r="Y20" s="546">
        <v>1940686</v>
      </c>
      <c r="Z20" s="546">
        <v>1940686</v>
      </c>
      <c r="AA20" s="546">
        <v>1940686</v>
      </c>
      <c r="AB20" s="546">
        <v>1940686</v>
      </c>
      <c r="AC20" s="546">
        <v>1981050</v>
      </c>
      <c r="AD20" s="546">
        <v>1981050</v>
      </c>
      <c r="AE20" s="546">
        <v>1981050</v>
      </c>
      <c r="AF20" s="546">
        <v>1981050</v>
      </c>
      <c r="AG20" s="301">
        <f t="shared" si="0"/>
        <v>192448</v>
      </c>
      <c r="AH20" s="546">
        <v>1788602</v>
      </c>
      <c r="AI20" s="522">
        <v>192448</v>
      </c>
      <c r="AJ20" s="540"/>
      <c r="AK20" s="548"/>
    </row>
    <row r="21" spans="1:37">
      <c r="A21" s="532" t="s">
        <v>72</v>
      </c>
      <c r="B21" s="545">
        <v>291655</v>
      </c>
      <c r="C21" s="545">
        <v>291826</v>
      </c>
      <c r="D21" s="545">
        <v>291826</v>
      </c>
      <c r="E21" s="545">
        <v>291928</v>
      </c>
      <c r="F21" s="545">
        <v>291992</v>
      </c>
      <c r="G21" s="545">
        <v>291992</v>
      </c>
      <c r="H21" s="545">
        <v>292077</v>
      </c>
      <c r="I21" s="545">
        <v>292148</v>
      </c>
      <c r="J21" s="545">
        <v>292264</v>
      </c>
      <c r="K21" s="545">
        <v>292264</v>
      </c>
      <c r="L21" s="545">
        <v>292353</v>
      </c>
      <c r="M21" s="545">
        <v>292447</v>
      </c>
      <c r="N21" s="545">
        <v>292536</v>
      </c>
      <c r="O21" s="545">
        <v>292536</v>
      </c>
      <c r="P21" s="545">
        <v>292677</v>
      </c>
      <c r="Q21" s="545">
        <v>292802</v>
      </c>
      <c r="R21" s="545">
        <v>292802</v>
      </c>
      <c r="S21" s="545">
        <v>292884</v>
      </c>
      <c r="T21" s="545">
        <v>292977</v>
      </c>
      <c r="U21" s="545">
        <v>293056</v>
      </c>
      <c r="V21" s="545">
        <v>293126</v>
      </c>
      <c r="W21" s="545">
        <v>293177</v>
      </c>
      <c r="X21" s="545">
        <v>293305</v>
      </c>
      <c r="Y21" s="545">
        <v>293306</v>
      </c>
      <c r="Z21" s="545">
        <v>293393</v>
      </c>
      <c r="AA21" s="545">
        <v>293487</v>
      </c>
      <c r="AB21" s="545">
        <v>293548</v>
      </c>
      <c r="AC21" s="545">
        <v>293611</v>
      </c>
      <c r="AD21" s="545">
        <v>293692</v>
      </c>
      <c r="AE21" s="545">
        <v>293797</v>
      </c>
      <c r="AF21" s="545">
        <v>293797</v>
      </c>
      <c r="AG21" s="301">
        <f t="shared" si="0"/>
        <v>2142</v>
      </c>
      <c r="AH21" s="545">
        <v>291655</v>
      </c>
      <c r="AI21" s="522">
        <v>2142</v>
      </c>
      <c r="AJ21" s="540"/>
      <c r="AK21" s="549"/>
    </row>
    <row r="22" spans="1:37">
      <c r="A22" s="532" t="s">
        <v>73</v>
      </c>
      <c r="B22" s="545">
        <v>266491</v>
      </c>
      <c r="C22" s="545">
        <v>266543</v>
      </c>
      <c r="D22" s="545">
        <v>266562</v>
      </c>
      <c r="E22" s="545">
        <v>266594</v>
      </c>
      <c r="F22" s="545">
        <v>266641</v>
      </c>
      <c r="G22" s="545">
        <v>266676</v>
      </c>
      <c r="H22" s="545">
        <v>266723</v>
      </c>
      <c r="I22" s="545">
        <v>266761</v>
      </c>
      <c r="J22" s="545">
        <v>266827</v>
      </c>
      <c r="K22" s="545">
        <v>266846</v>
      </c>
      <c r="L22" s="545">
        <v>266887</v>
      </c>
      <c r="M22" s="545">
        <v>266938</v>
      </c>
      <c r="N22" s="545">
        <v>266978</v>
      </c>
      <c r="O22" s="545">
        <v>267021</v>
      </c>
      <c r="P22" s="545">
        <v>267073</v>
      </c>
      <c r="Q22" s="545">
        <v>267130</v>
      </c>
      <c r="R22" s="545">
        <v>267149</v>
      </c>
      <c r="S22" s="545">
        <v>267189</v>
      </c>
      <c r="T22" s="545">
        <v>267237</v>
      </c>
      <c r="U22" s="545">
        <v>267283</v>
      </c>
      <c r="V22" s="545">
        <v>267324</v>
      </c>
      <c r="W22" s="545">
        <v>267372</v>
      </c>
      <c r="X22" s="545">
        <v>267420</v>
      </c>
      <c r="Y22" s="545">
        <v>267442</v>
      </c>
      <c r="Z22" s="545">
        <v>267481</v>
      </c>
      <c r="AA22" s="545">
        <v>267534</v>
      </c>
      <c r="AB22" s="545">
        <v>267573</v>
      </c>
      <c r="AC22" s="545">
        <v>267609</v>
      </c>
      <c r="AD22" s="545">
        <v>267649</v>
      </c>
      <c r="AE22" s="545">
        <v>267713</v>
      </c>
      <c r="AF22" s="545">
        <v>267749</v>
      </c>
      <c r="AG22" s="301">
        <f t="shared" si="0"/>
        <v>1301</v>
      </c>
      <c r="AH22" s="545">
        <v>266448</v>
      </c>
      <c r="AI22" s="522">
        <v>1301</v>
      </c>
      <c r="AJ22" s="540"/>
      <c r="AK22" s="549"/>
    </row>
    <row r="23" spans="1:37">
      <c r="A23" s="564" t="s">
        <v>136</v>
      </c>
      <c r="B23" s="545">
        <v>17464</v>
      </c>
      <c r="C23" s="545">
        <v>17474</v>
      </c>
      <c r="D23" s="545">
        <v>17474</v>
      </c>
      <c r="E23" s="545">
        <v>17480</v>
      </c>
      <c r="F23" s="545">
        <v>17497</v>
      </c>
      <c r="G23" s="545">
        <v>17514</v>
      </c>
      <c r="H23" s="545">
        <v>17524</v>
      </c>
      <c r="I23" s="545">
        <v>17536</v>
      </c>
      <c r="J23" s="545">
        <v>17547</v>
      </c>
      <c r="K23" s="545">
        <v>17547</v>
      </c>
      <c r="L23" s="545">
        <v>17547</v>
      </c>
      <c r="M23" s="545">
        <v>17559</v>
      </c>
      <c r="N23" s="545">
        <v>17571</v>
      </c>
      <c r="O23" s="545">
        <v>17582</v>
      </c>
      <c r="P23" s="545">
        <v>17593</v>
      </c>
      <c r="Q23" s="545">
        <v>17603</v>
      </c>
      <c r="R23" s="545">
        <v>17603</v>
      </c>
      <c r="S23" s="545">
        <v>17610</v>
      </c>
      <c r="T23" s="545">
        <v>17623</v>
      </c>
      <c r="U23" s="545">
        <v>17635</v>
      </c>
      <c r="V23" s="545">
        <v>17648</v>
      </c>
      <c r="W23" s="545">
        <v>17661</v>
      </c>
      <c r="X23" s="545">
        <v>17672</v>
      </c>
      <c r="Y23" s="545">
        <v>17675</v>
      </c>
      <c r="Z23" s="545">
        <v>17680</v>
      </c>
      <c r="AA23" s="545">
        <v>17694</v>
      </c>
      <c r="AB23" s="545">
        <v>17707</v>
      </c>
      <c r="AC23" s="545">
        <v>17720</v>
      </c>
      <c r="AD23" s="545">
        <v>17731</v>
      </c>
      <c r="AE23" s="545">
        <v>17743</v>
      </c>
      <c r="AF23" s="545">
        <v>17745</v>
      </c>
      <c r="AG23" s="301">
        <f t="shared" si="0"/>
        <v>291</v>
      </c>
      <c r="AH23" s="545">
        <v>17454</v>
      </c>
      <c r="AI23" s="522">
        <v>291</v>
      </c>
      <c r="AJ23" s="540"/>
      <c r="AK23" s="548"/>
    </row>
    <row r="24" spans="1:37">
      <c r="A24" s="564" t="s">
        <v>139</v>
      </c>
      <c r="B24" s="545">
        <v>12027</v>
      </c>
      <c r="C24" s="545">
        <v>12042</v>
      </c>
      <c r="D24" s="545">
        <v>12046</v>
      </c>
      <c r="E24" s="545">
        <v>12051</v>
      </c>
      <c r="F24" s="545">
        <v>12058</v>
      </c>
      <c r="G24" s="545">
        <v>12066</v>
      </c>
      <c r="H24" s="545">
        <v>12076</v>
      </c>
      <c r="I24" s="545">
        <v>12083</v>
      </c>
      <c r="J24" s="545">
        <v>12091</v>
      </c>
      <c r="K24" s="545">
        <v>12091</v>
      </c>
      <c r="L24" s="545">
        <v>12092</v>
      </c>
      <c r="M24" s="545">
        <v>12103</v>
      </c>
      <c r="N24" s="545">
        <v>12114</v>
      </c>
      <c r="O24" s="545">
        <v>12122</v>
      </c>
      <c r="P24" s="545">
        <v>12131</v>
      </c>
      <c r="Q24" s="545">
        <v>12141</v>
      </c>
      <c r="R24" s="545">
        <v>12141</v>
      </c>
      <c r="S24" s="545">
        <v>12146</v>
      </c>
      <c r="T24" s="545">
        <v>12155</v>
      </c>
      <c r="U24" s="545">
        <v>12165</v>
      </c>
      <c r="V24" s="545">
        <v>12174</v>
      </c>
      <c r="W24" s="545">
        <v>12183</v>
      </c>
      <c r="X24" s="545">
        <v>12192</v>
      </c>
      <c r="Y24" s="545">
        <v>12192</v>
      </c>
      <c r="Z24" s="545">
        <v>12194</v>
      </c>
      <c r="AA24" s="545">
        <v>12203</v>
      </c>
      <c r="AB24" s="545">
        <v>12214</v>
      </c>
      <c r="AC24" s="545">
        <v>12224</v>
      </c>
      <c r="AD24" s="545">
        <v>12234</v>
      </c>
      <c r="AE24" s="545">
        <v>12243</v>
      </c>
      <c r="AF24" s="545">
        <v>12243</v>
      </c>
      <c r="AG24" s="301">
        <f t="shared" si="0"/>
        <v>229</v>
      </c>
      <c r="AH24" s="545">
        <v>12014</v>
      </c>
      <c r="AI24" s="522">
        <v>229</v>
      </c>
      <c r="AJ24" s="540"/>
      <c r="AK24" s="548"/>
    </row>
    <row r="25" spans="1:37">
      <c r="A25" s="564" t="s">
        <v>142</v>
      </c>
      <c r="B25" s="545">
        <v>4907</v>
      </c>
      <c r="C25" s="545">
        <v>4909</v>
      </c>
      <c r="D25" s="545">
        <v>4909</v>
      </c>
      <c r="E25" s="545">
        <v>4909</v>
      </c>
      <c r="F25" s="545">
        <v>4913</v>
      </c>
      <c r="G25" s="545">
        <v>4916</v>
      </c>
      <c r="H25" s="545">
        <v>4920</v>
      </c>
      <c r="I25" s="545">
        <v>4923</v>
      </c>
      <c r="J25" s="545">
        <v>4927</v>
      </c>
      <c r="K25" s="545">
        <v>4927</v>
      </c>
      <c r="L25" s="545">
        <v>4927</v>
      </c>
      <c r="M25" s="545">
        <v>4932</v>
      </c>
      <c r="N25" s="545">
        <v>4936</v>
      </c>
      <c r="O25" s="545">
        <v>4940</v>
      </c>
      <c r="P25" s="545">
        <v>4944</v>
      </c>
      <c r="Q25" s="545">
        <v>4948</v>
      </c>
      <c r="R25" s="545">
        <v>4949</v>
      </c>
      <c r="S25" s="545">
        <v>4950</v>
      </c>
      <c r="T25" s="545">
        <v>4955</v>
      </c>
      <c r="U25" s="545">
        <v>4959</v>
      </c>
      <c r="V25" s="545">
        <v>4964</v>
      </c>
      <c r="W25" s="545">
        <v>4969</v>
      </c>
      <c r="X25" s="545">
        <v>4972</v>
      </c>
      <c r="Y25" s="545">
        <v>4973</v>
      </c>
      <c r="Z25" s="545">
        <v>4973</v>
      </c>
      <c r="AA25" s="545">
        <v>4978</v>
      </c>
      <c r="AB25" s="545">
        <v>4983</v>
      </c>
      <c r="AC25" s="545">
        <v>4991</v>
      </c>
      <c r="AD25" s="545">
        <v>4996</v>
      </c>
      <c r="AE25" s="545">
        <v>5000</v>
      </c>
      <c r="AF25" s="545">
        <v>5000</v>
      </c>
      <c r="AG25" s="301">
        <f t="shared" si="0"/>
        <v>95</v>
      </c>
      <c r="AH25" s="545">
        <v>4905</v>
      </c>
      <c r="AI25" s="522">
        <v>95</v>
      </c>
      <c r="AJ25" s="540"/>
      <c r="AK25" s="548"/>
    </row>
    <row r="26" spans="1:37">
      <c r="A26" s="564" t="s">
        <v>145</v>
      </c>
      <c r="B26" s="545">
        <v>3052</v>
      </c>
      <c r="C26" s="545">
        <v>3057</v>
      </c>
      <c r="D26" s="545">
        <v>3058</v>
      </c>
      <c r="E26" s="545">
        <v>3062</v>
      </c>
      <c r="F26" s="545">
        <v>3067</v>
      </c>
      <c r="G26" s="545">
        <v>3072</v>
      </c>
      <c r="H26" s="545">
        <v>3078</v>
      </c>
      <c r="I26" s="545">
        <v>3085</v>
      </c>
      <c r="J26" s="545">
        <v>3089</v>
      </c>
      <c r="K26" s="545">
        <v>3089</v>
      </c>
      <c r="L26" s="545">
        <v>3090</v>
      </c>
      <c r="M26" s="545">
        <v>3093</v>
      </c>
      <c r="N26" s="545">
        <v>3096</v>
      </c>
      <c r="O26" s="545">
        <v>3098</v>
      </c>
      <c r="P26" s="545">
        <v>3101</v>
      </c>
      <c r="Q26" s="545">
        <v>3103</v>
      </c>
      <c r="R26" s="545">
        <v>3103</v>
      </c>
      <c r="S26" s="545">
        <v>3105</v>
      </c>
      <c r="T26" s="545">
        <v>3107</v>
      </c>
      <c r="U26" s="545">
        <v>3110</v>
      </c>
      <c r="V26" s="545">
        <v>3112</v>
      </c>
      <c r="W26" s="545">
        <v>3114</v>
      </c>
      <c r="X26" s="545">
        <v>3115</v>
      </c>
      <c r="Y26" s="545">
        <v>3115</v>
      </c>
      <c r="Z26" s="545">
        <v>3117</v>
      </c>
      <c r="AA26" s="545">
        <v>3120</v>
      </c>
      <c r="AB26" s="545">
        <v>3122</v>
      </c>
      <c r="AC26" s="545">
        <v>3124</v>
      </c>
      <c r="AD26" s="545">
        <v>3127</v>
      </c>
      <c r="AE26" s="545">
        <v>3129</v>
      </c>
      <c r="AF26" s="545">
        <v>3129</v>
      </c>
      <c r="AG26" s="301">
        <f t="shared" si="0"/>
        <v>82</v>
      </c>
      <c r="AH26" s="545">
        <v>3047</v>
      </c>
      <c r="AI26" s="522">
        <v>82</v>
      </c>
      <c r="AJ26" s="540"/>
      <c r="AK26" s="548"/>
    </row>
    <row r="27" spans="1:37">
      <c r="A27" s="564" t="s">
        <v>148</v>
      </c>
      <c r="B27" s="545">
        <v>18200</v>
      </c>
      <c r="C27" s="545">
        <v>18206</v>
      </c>
      <c r="D27" s="545">
        <v>18207</v>
      </c>
      <c r="E27" s="545">
        <v>18210</v>
      </c>
      <c r="F27" s="545">
        <v>18221</v>
      </c>
      <c r="G27" s="545">
        <v>18234</v>
      </c>
      <c r="H27" s="545">
        <v>18246</v>
      </c>
      <c r="I27" s="545">
        <v>18258</v>
      </c>
      <c r="J27" s="545">
        <v>18270</v>
      </c>
      <c r="K27" s="545">
        <v>18271</v>
      </c>
      <c r="L27" s="545">
        <v>18274</v>
      </c>
      <c r="M27" s="545">
        <v>18286</v>
      </c>
      <c r="N27" s="545">
        <v>18299</v>
      </c>
      <c r="O27" s="545">
        <v>18313</v>
      </c>
      <c r="P27" s="545">
        <v>18325</v>
      </c>
      <c r="Q27" s="545">
        <v>18336</v>
      </c>
      <c r="R27" s="545">
        <v>18337</v>
      </c>
      <c r="S27" s="545">
        <v>18350</v>
      </c>
      <c r="T27" s="545">
        <v>18362</v>
      </c>
      <c r="U27" s="545">
        <v>18372</v>
      </c>
      <c r="V27" s="545">
        <v>18383</v>
      </c>
      <c r="W27" s="545">
        <v>18395</v>
      </c>
      <c r="X27" s="545">
        <v>18406</v>
      </c>
      <c r="Y27" s="545">
        <v>18407</v>
      </c>
      <c r="Z27" s="545">
        <v>18410</v>
      </c>
      <c r="AA27" s="545">
        <v>18425</v>
      </c>
      <c r="AB27" s="545">
        <v>18437</v>
      </c>
      <c r="AC27" s="545">
        <v>18447</v>
      </c>
      <c r="AD27" s="545">
        <v>18459</v>
      </c>
      <c r="AE27" s="545">
        <v>18471</v>
      </c>
      <c r="AF27" s="545">
        <v>18471</v>
      </c>
      <c r="AG27" s="301">
        <f t="shared" si="0"/>
        <v>278</v>
      </c>
      <c r="AH27" s="545">
        <v>18193</v>
      </c>
      <c r="AI27" s="522">
        <v>278</v>
      </c>
      <c r="AJ27" s="540"/>
      <c r="AK27" s="548"/>
    </row>
    <row r="28" spans="1:37">
      <c r="A28" s="564" t="s">
        <v>151</v>
      </c>
      <c r="B28" s="555">
        <v>1330</v>
      </c>
      <c r="C28" s="555">
        <v>1330</v>
      </c>
      <c r="D28" s="555">
        <v>1330</v>
      </c>
      <c r="E28" s="555">
        <v>1330</v>
      </c>
      <c r="F28" s="555">
        <v>1330</v>
      </c>
      <c r="G28" s="555">
        <v>1330</v>
      </c>
      <c r="H28" s="555">
        <v>1330</v>
      </c>
      <c r="I28" s="555">
        <v>1330</v>
      </c>
      <c r="J28" s="555">
        <v>1330</v>
      </c>
      <c r="K28" s="555">
        <v>1330</v>
      </c>
      <c r="L28" s="555">
        <v>1330</v>
      </c>
      <c r="M28" s="555">
        <v>1330</v>
      </c>
      <c r="N28" s="555">
        <v>1330</v>
      </c>
      <c r="O28" s="555">
        <v>1330</v>
      </c>
      <c r="P28" s="555">
        <v>1330</v>
      </c>
      <c r="Q28" s="555">
        <v>1330</v>
      </c>
      <c r="R28" s="555">
        <v>1330</v>
      </c>
      <c r="S28" s="555">
        <v>1330</v>
      </c>
      <c r="T28" s="555">
        <v>1330</v>
      </c>
      <c r="U28" s="555">
        <v>1330</v>
      </c>
      <c r="V28" s="555">
        <v>1330</v>
      </c>
      <c r="W28" s="555">
        <v>1330</v>
      </c>
      <c r="X28" s="555">
        <v>1330</v>
      </c>
      <c r="Y28" s="555">
        <v>1330</v>
      </c>
      <c r="Z28" s="555">
        <v>1330</v>
      </c>
      <c r="AA28" s="555">
        <v>1330</v>
      </c>
      <c r="AB28" s="555">
        <v>1330</v>
      </c>
      <c r="AC28" s="555">
        <v>1330</v>
      </c>
      <c r="AD28" s="555">
        <v>1330</v>
      </c>
      <c r="AE28" s="555">
        <v>1330</v>
      </c>
      <c r="AF28" s="555">
        <v>1330</v>
      </c>
      <c r="AG28" s="301">
        <f t="shared" si="0"/>
        <v>0</v>
      </c>
      <c r="AH28" s="555">
        <v>1330</v>
      </c>
      <c r="AI28" s="522">
        <v>0</v>
      </c>
      <c r="AJ28" s="540"/>
      <c r="AK28" s="548"/>
    </row>
    <row r="29" spans="1:37">
      <c r="A29" s="564" t="s">
        <v>154</v>
      </c>
      <c r="B29" s="555">
        <v>1449</v>
      </c>
      <c r="C29" s="555">
        <v>1449</v>
      </c>
      <c r="D29" s="555">
        <v>1451</v>
      </c>
      <c r="E29" s="555">
        <v>1452</v>
      </c>
      <c r="F29" s="555">
        <v>1452</v>
      </c>
      <c r="G29" s="555">
        <v>1453</v>
      </c>
      <c r="H29" s="555">
        <v>1454</v>
      </c>
      <c r="I29" s="555">
        <v>1455</v>
      </c>
      <c r="J29" s="555">
        <v>1456</v>
      </c>
      <c r="K29" s="555">
        <v>1456</v>
      </c>
      <c r="L29" s="555">
        <v>1457</v>
      </c>
      <c r="M29" s="555">
        <v>1458</v>
      </c>
      <c r="N29" s="555">
        <v>1458</v>
      </c>
      <c r="O29" s="555">
        <v>1459</v>
      </c>
      <c r="P29" s="555">
        <v>1460</v>
      </c>
      <c r="Q29" s="555">
        <v>1461</v>
      </c>
      <c r="R29" s="555">
        <v>1462</v>
      </c>
      <c r="S29" s="555">
        <v>1462</v>
      </c>
      <c r="T29" s="555">
        <v>1463</v>
      </c>
      <c r="U29" s="555">
        <v>1464</v>
      </c>
      <c r="V29" s="555">
        <v>1465</v>
      </c>
      <c r="W29" s="555">
        <v>1466</v>
      </c>
      <c r="X29" s="555">
        <v>1467</v>
      </c>
      <c r="Y29" s="555">
        <v>1467</v>
      </c>
      <c r="Z29" s="555">
        <v>1468</v>
      </c>
      <c r="AA29" s="555">
        <v>1469</v>
      </c>
      <c r="AB29" s="555">
        <v>1470</v>
      </c>
      <c r="AC29" s="555">
        <v>1470</v>
      </c>
      <c r="AD29" s="555">
        <v>1471</v>
      </c>
      <c r="AE29" s="555">
        <v>1472</v>
      </c>
      <c r="AF29" s="555">
        <v>1473</v>
      </c>
      <c r="AG29" s="301">
        <f t="shared" si="0"/>
        <v>24</v>
      </c>
      <c r="AH29" s="555">
        <v>1449</v>
      </c>
      <c r="AI29" s="522">
        <v>24</v>
      </c>
      <c r="AJ29" s="540"/>
      <c r="AK29" s="548"/>
    </row>
    <row r="30" spans="1:37">
      <c r="A30" s="536"/>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c r="AA30" s="544"/>
      <c r="AB30" s="544"/>
      <c r="AC30" s="544"/>
      <c r="AD30" s="544"/>
      <c r="AE30" s="544"/>
      <c r="AF30" s="544"/>
      <c r="AG30" s="301">
        <f t="shared" si="0"/>
        <v>0</v>
      </c>
      <c r="AH30" s="544"/>
      <c r="AK30" s="548"/>
    </row>
    <row r="31" spans="1:37">
      <c r="A31" s="532" t="s">
        <v>74</v>
      </c>
      <c r="B31" s="547" t="s">
        <v>75</v>
      </c>
      <c r="C31" s="547" t="s">
        <v>75</v>
      </c>
      <c r="D31" s="547" t="s">
        <v>75</v>
      </c>
      <c r="E31" s="547" t="s">
        <v>75</v>
      </c>
      <c r="F31" s="547" t="s">
        <v>75</v>
      </c>
      <c r="G31" s="547" t="s">
        <v>75</v>
      </c>
      <c r="H31" s="547" t="s">
        <v>75</v>
      </c>
      <c r="I31" s="547" t="s">
        <v>75</v>
      </c>
      <c r="J31" s="547" t="s">
        <v>75</v>
      </c>
      <c r="K31" s="547" t="s">
        <v>75</v>
      </c>
      <c r="L31" s="547" t="s">
        <v>75</v>
      </c>
      <c r="M31" s="547" t="s">
        <v>75</v>
      </c>
      <c r="N31" s="547" t="s">
        <v>75</v>
      </c>
      <c r="O31" s="547" t="s">
        <v>75</v>
      </c>
      <c r="P31" s="547" t="s">
        <v>75</v>
      </c>
      <c r="Q31" s="547" t="s">
        <v>75</v>
      </c>
      <c r="R31" s="547" t="s">
        <v>75</v>
      </c>
      <c r="S31" s="547" t="s">
        <v>75</v>
      </c>
      <c r="T31" s="547" t="s">
        <v>75</v>
      </c>
      <c r="U31" s="547" t="s">
        <v>75</v>
      </c>
      <c r="V31" s="547" t="s">
        <v>75</v>
      </c>
      <c r="W31" s="547" t="s">
        <v>75</v>
      </c>
      <c r="X31" s="547" t="s">
        <v>75</v>
      </c>
      <c r="Y31" s="547" t="s">
        <v>75</v>
      </c>
      <c r="Z31" s="547" t="s">
        <v>75</v>
      </c>
      <c r="AA31" s="547" t="s">
        <v>75</v>
      </c>
      <c r="AB31" s="547" t="s">
        <v>75</v>
      </c>
      <c r="AC31" s="547" t="s">
        <v>75</v>
      </c>
      <c r="AD31" s="547" t="s">
        <v>75</v>
      </c>
      <c r="AE31" s="547" t="s">
        <v>75</v>
      </c>
      <c r="AF31" s="547" t="s">
        <v>75</v>
      </c>
      <c r="AG31" s="301" t="e">
        <f t="shared" si="0"/>
        <v>#VALUE!</v>
      </c>
      <c r="AH31" s="547" t="s">
        <v>75</v>
      </c>
    </row>
    <row r="32" spans="1:37">
      <c r="A32" s="532" t="s">
        <v>77</v>
      </c>
      <c r="B32" s="555">
        <v>45350</v>
      </c>
      <c r="C32" s="555">
        <v>45350</v>
      </c>
      <c r="D32" s="555">
        <v>45350</v>
      </c>
      <c r="E32" s="555">
        <v>45350</v>
      </c>
      <c r="F32" s="555">
        <v>45350</v>
      </c>
      <c r="G32" s="555">
        <v>45350</v>
      </c>
      <c r="H32" s="555">
        <v>45350</v>
      </c>
      <c r="I32" s="555">
        <v>45350</v>
      </c>
      <c r="J32" s="555">
        <v>45350</v>
      </c>
      <c r="K32" s="555">
        <v>45350</v>
      </c>
      <c r="L32" s="555">
        <v>45350</v>
      </c>
      <c r="M32" s="555">
        <v>45350</v>
      </c>
      <c r="N32" s="555">
        <v>45350</v>
      </c>
      <c r="O32" s="555">
        <v>45350</v>
      </c>
      <c r="P32" s="555">
        <v>45350</v>
      </c>
      <c r="Q32" s="555">
        <v>45350</v>
      </c>
      <c r="R32" s="555">
        <v>45350</v>
      </c>
      <c r="S32" s="555">
        <v>45350</v>
      </c>
      <c r="T32" s="555">
        <v>45350</v>
      </c>
      <c r="U32" s="555">
        <v>45350</v>
      </c>
      <c r="V32" s="555">
        <v>45350</v>
      </c>
      <c r="W32" s="555">
        <v>45350</v>
      </c>
      <c r="X32" s="555">
        <v>45350</v>
      </c>
      <c r="Y32" s="555">
        <v>45350</v>
      </c>
      <c r="Z32" s="555">
        <v>45350</v>
      </c>
      <c r="AA32" s="555">
        <v>45350</v>
      </c>
      <c r="AB32" s="555">
        <v>45350</v>
      </c>
      <c r="AC32" s="555">
        <v>45350</v>
      </c>
      <c r="AD32" s="555">
        <v>45350</v>
      </c>
      <c r="AE32" s="555">
        <v>45350</v>
      </c>
      <c r="AF32" s="555">
        <v>45350</v>
      </c>
      <c r="AG32" s="301">
        <f t="shared" si="0"/>
        <v>0</v>
      </c>
      <c r="AH32" s="555">
        <v>45350</v>
      </c>
    </row>
    <row r="33" spans="1:35" ht="25.5">
      <c r="A33" s="532" t="s">
        <v>80</v>
      </c>
      <c r="B33" s="555">
        <v>45350</v>
      </c>
      <c r="C33" s="555">
        <v>45350</v>
      </c>
      <c r="D33" s="555">
        <v>45350</v>
      </c>
      <c r="E33" s="555">
        <v>45350</v>
      </c>
      <c r="F33" s="555">
        <v>45350</v>
      </c>
      <c r="G33" s="555">
        <v>45350</v>
      </c>
      <c r="H33" s="555">
        <v>45350</v>
      </c>
      <c r="I33" s="555">
        <v>45350</v>
      </c>
      <c r="J33" s="555">
        <v>45350</v>
      </c>
      <c r="K33" s="555">
        <v>45350</v>
      </c>
      <c r="L33" s="555">
        <v>45350</v>
      </c>
      <c r="M33" s="555">
        <v>45350</v>
      </c>
      <c r="N33" s="555">
        <v>45350</v>
      </c>
      <c r="O33" s="555">
        <v>45350</v>
      </c>
      <c r="P33" s="555">
        <v>45350</v>
      </c>
      <c r="Q33" s="555">
        <v>45350</v>
      </c>
      <c r="R33" s="555">
        <v>45350</v>
      </c>
      <c r="S33" s="555">
        <v>45350</v>
      </c>
      <c r="T33" s="555">
        <v>45350</v>
      </c>
      <c r="U33" s="555">
        <v>45350</v>
      </c>
      <c r="V33" s="555">
        <v>45350</v>
      </c>
      <c r="W33" s="555">
        <v>45350</v>
      </c>
      <c r="X33" s="555">
        <v>45350</v>
      </c>
      <c r="Y33" s="555">
        <v>45350</v>
      </c>
      <c r="Z33" s="555">
        <v>45350</v>
      </c>
      <c r="AA33" s="555">
        <v>45350</v>
      </c>
      <c r="AB33" s="555">
        <v>45350</v>
      </c>
      <c r="AC33" s="555">
        <v>45350</v>
      </c>
      <c r="AD33" s="555">
        <v>45350</v>
      </c>
      <c r="AE33" s="555">
        <v>45350</v>
      </c>
      <c r="AF33" s="555">
        <v>45350</v>
      </c>
      <c r="AG33" s="301">
        <f t="shared" si="0"/>
        <v>0</v>
      </c>
      <c r="AH33" s="555">
        <v>45350</v>
      </c>
    </row>
    <row r="34" spans="1:35" ht="15.75" thickBot="1">
      <c r="A34" s="537" t="s">
        <v>81</v>
      </c>
      <c r="B34" s="558">
        <v>1500</v>
      </c>
      <c r="C34" s="558">
        <v>1500</v>
      </c>
      <c r="D34" s="558">
        <v>1500</v>
      </c>
      <c r="E34" s="558">
        <v>1500</v>
      </c>
      <c r="F34" s="558">
        <v>1500</v>
      </c>
      <c r="G34" s="558">
        <v>1500</v>
      </c>
      <c r="H34" s="558">
        <v>1500</v>
      </c>
      <c r="I34" s="558">
        <v>1500</v>
      </c>
      <c r="J34" s="558">
        <v>1500</v>
      </c>
      <c r="K34" s="558">
        <v>1500</v>
      </c>
      <c r="L34" s="558">
        <v>1500</v>
      </c>
      <c r="M34" s="558">
        <v>1500</v>
      </c>
      <c r="N34" s="558">
        <v>1500</v>
      </c>
      <c r="O34" s="558">
        <v>1500</v>
      </c>
      <c r="P34" s="558">
        <v>1500</v>
      </c>
      <c r="Q34" s="558">
        <v>1500</v>
      </c>
      <c r="R34" s="558">
        <v>1500</v>
      </c>
      <c r="S34" s="558">
        <v>1500</v>
      </c>
      <c r="T34" s="558">
        <v>1500</v>
      </c>
      <c r="U34" s="558">
        <v>1500</v>
      </c>
      <c r="V34" s="558">
        <v>1500</v>
      </c>
      <c r="W34" s="558">
        <v>1500</v>
      </c>
      <c r="X34" s="558">
        <v>1500</v>
      </c>
      <c r="Y34" s="558">
        <v>1500</v>
      </c>
      <c r="Z34" s="558">
        <v>1500</v>
      </c>
      <c r="AA34" s="558">
        <v>1500</v>
      </c>
      <c r="AB34" s="558">
        <v>1500</v>
      </c>
      <c r="AC34" s="558">
        <v>1500</v>
      </c>
      <c r="AD34" s="558">
        <v>1500</v>
      </c>
      <c r="AE34" s="558">
        <v>1500</v>
      </c>
      <c r="AF34" s="558">
        <v>1500</v>
      </c>
      <c r="AG34" s="447">
        <f t="shared" si="0"/>
        <v>0</v>
      </c>
      <c r="AH34" s="558">
        <v>1500</v>
      </c>
    </row>
    <row r="35" spans="1:35">
      <c r="A35" s="562"/>
      <c r="B35" s="559"/>
      <c r="C35" s="559"/>
      <c r="D35" s="559"/>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559"/>
      <c r="AE35" s="559"/>
      <c r="AF35" s="559"/>
      <c r="AG35" s="541"/>
      <c r="AH35" s="559"/>
    </row>
    <row r="36" spans="1:35">
      <c r="A36" s="563" t="s">
        <v>2817</v>
      </c>
      <c r="B36" s="547" t="s">
        <v>64</v>
      </c>
      <c r="C36" s="547" t="s">
        <v>64</v>
      </c>
      <c r="D36" s="547" t="s">
        <v>64</v>
      </c>
      <c r="E36" s="547" t="s">
        <v>64</v>
      </c>
      <c r="F36" s="547" t="s">
        <v>64</v>
      </c>
      <c r="G36" s="547" t="s">
        <v>64</v>
      </c>
      <c r="H36" s="547" t="s">
        <v>64</v>
      </c>
      <c r="I36" s="547" t="s">
        <v>64</v>
      </c>
      <c r="J36" s="547" t="s">
        <v>64</v>
      </c>
      <c r="K36" s="547" t="s">
        <v>64</v>
      </c>
      <c r="L36" s="547" t="s">
        <v>64</v>
      </c>
      <c r="M36" s="547" t="s">
        <v>64</v>
      </c>
      <c r="N36" s="547" t="s">
        <v>64</v>
      </c>
      <c r="O36" s="547" t="s">
        <v>64</v>
      </c>
      <c r="P36" s="547" t="s">
        <v>64</v>
      </c>
      <c r="Q36" s="547" t="s">
        <v>64</v>
      </c>
      <c r="R36" s="547" t="s">
        <v>64</v>
      </c>
      <c r="S36" s="547" t="s">
        <v>64</v>
      </c>
      <c r="T36" s="547" t="s">
        <v>64</v>
      </c>
      <c r="U36" s="547" t="s">
        <v>64</v>
      </c>
      <c r="V36" s="547" t="s">
        <v>64</v>
      </c>
      <c r="W36" s="547" t="s">
        <v>64</v>
      </c>
      <c r="X36" s="547" t="s">
        <v>64</v>
      </c>
      <c r="Y36" s="547" t="s">
        <v>64</v>
      </c>
      <c r="Z36" s="547" t="s">
        <v>64</v>
      </c>
      <c r="AA36" s="547" t="s">
        <v>64</v>
      </c>
      <c r="AB36" s="547" t="s">
        <v>64</v>
      </c>
      <c r="AC36" s="547" t="s">
        <v>64</v>
      </c>
      <c r="AD36" s="547" t="s">
        <v>64</v>
      </c>
      <c r="AE36" s="547" t="s">
        <v>64</v>
      </c>
      <c r="AF36" s="547" t="s">
        <v>64</v>
      </c>
      <c r="AG36" s="541"/>
      <c r="AH36" s="547" t="s">
        <v>64</v>
      </c>
    </row>
    <row r="37" spans="1:35">
      <c r="A37" s="565" t="s">
        <v>2818</v>
      </c>
      <c r="B37" s="560">
        <v>86141</v>
      </c>
      <c r="C37" s="560">
        <v>87223</v>
      </c>
      <c r="D37" s="560">
        <v>88219</v>
      </c>
      <c r="E37" s="560">
        <v>89263</v>
      </c>
      <c r="F37" s="560">
        <v>90391</v>
      </c>
      <c r="G37" s="560">
        <v>91540</v>
      </c>
      <c r="H37" s="560">
        <v>92674</v>
      </c>
      <c r="I37" s="560">
        <v>93827</v>
      </c>
      <c r="J37" s="560">
        <v>94958</v>
      </c>
      <c r="K37" s="560">
        <v>96062</v>
      </c>
      <c r="L37" s="560">
        <v>97121</v>
      </c>
      <c r="M37" s="560">
        <v>98396</v>
      </c>
      <c r="N37" s="560">
        <v>99561</v>
      </c>
      <c r="O37" s="560">
        <v>100738</v>
      </c>
      <c r="P37" s="560">
        <v>101994</v>
      </c>
      <c r="Q37" s="560">
        <v>103502</v>
      </c>
      <c r="R37" s="560">
        <v>104575</v>
      </c>
      <c r="S37" s="560">
        <v>105586</v>
      </c>
      <c r="T37" s="560">
        <v>106694</v>
      </c>
      <c r="U37" s="560">
        <v>107865</v>
      </c>
      <c r="V37" s="560">
        <v>100993</v>
      </c>
      <c r="W37" s="560">
        <v>110122</v>
      </c>
      <c r="X37" s="560">
        <v>110122</v>
      </c>
      <c r="Y37" s="560">
        <v>112171</v>
      </c>
      <c r="Z37" s="560">
        <v>113242</v>
      </c>
      <c r="AA37" s="560">
        <v>114356</v>
      </c>
      <c r="AB37" s="560">
        <v>115400</v>
      </c>
      <c r="AC37" s="560">
        <v>116591</v>
      </c>
      <c r="AD37" s="560">
        <v>116591</v>
      </c>
      <c r="AE37" s="560">
        <v>116713</v>
      </c>
      <c r="AF37" s="560">
        <v>119992</v>
      </c>
      <c r="AG37" s="542">
        <f>AF37-AH37</f>
        <v>35064</v>
      </c>
      <c r="AH37" s="560">
        <v>84928</v>
      </c>
      <c r="AI37" s="522">
        <v>35064</v>
      </c>
    </row>
    <row r="38" spans="1:35">
      <c r="A38" s="565" t="s">
        <v>2819</v>
      </c>
      <c r="B38" s="559">
        <v>220946</v>
      </c>
      <c r="C38" s="559">
        <v>225268</v>
      </c>
      <c r="D38" s="559">
        <v>229515</v>
      </c>
      <c r="E38" s="559">
        <v>234038</v>
      </c>
      <c r="F38" s="559">
        <v>238473</v>
      </c>
      <c r="G38" s="559">
        <v>243113</v>
      </c>
      <c r="H38" s="559">
        <v>247661</v>
      </c>
      <c r="I38" s="559">
        <v>251935</v>
      </c>
      <c r="J38" s="559">
        <v>255794</v>
      </c>
      <c r="K38" s="559">
        <v>259760</v>
      </c>
      <c r="L38" s="559">
        <v>259760</v>
      </c>
      <c r="M38" s="559">
        <v>267599</v>
      </c>
      <c r="N38" s="559">
        <v>271485</v>
      </c>
      <c r="O38" s="559">
        <v>275403</v>
      </c>
      <c r="P38" s="559">
        <v>279267</v>
      </c>
      <c r="Q38" s="559">
        <v>283172</v>
      </c>
      <c r="R38" s="559">
        <v>287018</v>
      </c>
      <c r="S38" s="559">
        <v>290493</v>
      </c>
      <c r="T38" s="559">
        <v>294484</v>
      </c>
      <c r="U38" s="559">
        <v>298609</v>
      </c>
      <c r="V38" s="559">
        <v>302705</v>
      </c>
      <c r="W38" s="559">
        <v>306625</v>
      </c>
      <c r="X38" s="559">
        <v>306625</v>
      </c>
      <c r="Y38" s="559">
        <v>314000</v>
      </c>
      <c r="Z38" s="559">
        <v>317825</v>
      </c>
      <c r="AA38" s="559">
        <v>321600</v>
      </c>
      <c r="AB38" s="559">
        <v>325440</v>
      </c>
      <c r="AC38" s="559">
        <v>329280</v>
      </c>
      <c r="AD38" s="559">
        <v>329280</v>
      </c>
      <c r="AE38" s="559">
        <v>337137</v>
      </c>
      <c r="AF38" s="559">
        <v>341013</v>
      </c>
      <c r="AG38" s="542">
        <f t="shared" ref="AG38:AG43" si="1">AF38-AH38</f>
        <v>124579</v>
      </c>
      <c r="AH38" s="559">
        <v>216434</v>
      </c>
      <c r="AI38" s="522">
        <v>124579</v>
      </c>
    </row>
    <row r="39" spans="1:35">
      <c r="A39" s="565" t="s">
        <v>2820</v>
      </c>
      <c r="B39" s="559">
        <v>102482</v>
      </c>
      <c r="C39" s="559">
        <v>104014</v>
      </c>
      <c r="D39" s="559">
        <v>105493</v>
      </c>
      <c r="E39" s="559">
        <v>107063</v>
      </c>
      <c r="F39" s="559">
        <v>108701</v>
      </c>
      <c r="G39" s="559">
        <v>110348</v>
      </c>
      <c r="H39" s="559">
        <v>111975</v>
      </c>
      <c r="I39" s="559">
        <v>113605</v>
      </c>
      <c r="J39" s="559">
        <v>115215</v>
      </c>
      <c r="K39" s="559">
        <v>116830</v>
      </c>
      <c r="L39" s="559">
        <v>118413</v>
      </c>
      <c r="M39" s="559">
        <v>120060</v>
      </c>
      <c r="N39" s="559">
        <v>121715</v>
      </c>
      <c r="O39" s="559">
        <v>123378</v>
      </c>
      <c r="P39" s="559">
        <v>124937</v>
      </c>
      <c r="Q39" s="559">
        <v>126489</v>
      </c>
      <c r="R39" s="559">
        <v>127947</v>
      </c>
      <c r="S39" s="559">
        <v>129805</v>
      </c>
      <c r="T39" s="559">
        <v>132553</v>
      </c>
      <c r="U39" s="559">
        <v>135131</v>
      </c>
      <c r="V39" s="559">
        <v>137593</v>
      </c>
      <c r="W39" s="559">
        <v>139341</v>
      </c>
      <c r="X39" s="559">
        <v>139341</v>
      </c>
      <c r="Y39" s="559">
        <v>143136</v>
      </c>
      <c r="Z39" s="559">
        <v>145469</v>
      </c>
      <c r="AA39" s="559">
        <v>147143</v>
      </c>
      <c r="AB39" s="559">
        <v>148785</v>
      </c>
      <c r="AC39" s="559">
        <v>150299</v>
      </c>
      <c r="AD39" s="559">
        <v>150299</v>
      </c>
      <c r="AE39" s="559">
        <v>154397</v>
      </c>
      <c r="AF39" s="559">
        <v>156794</v>
      </c>
      <c r="AG39" s="542">
        <f t="shared" si="1"/>
        <v>55997</v>
      </c>
      <c r="AH39" s="559">
        <v>100797</v>
      </c>
      <c r="AI39" s="522">
        <v>55997</v>
      </c>
    </row>
    <row r="40" spans="1:35">
      <c r="A40" s="565" t="s">
        <v>2821</v>
      </c>
      <c r="B40" s="559">
        <v>0</v>
      </c>
      <c r="C40" s="559">
        <v>0</v>
      </c>
      <c r="D40" s="559">
        <v>0</v>
      </c>
      <c r="E40" s="559">
        <v>0</v>
      </c>
      <c r="F40" s="559">
        <v>0</v>
      </c>
      <c r="G40" s="559">
        <v>0</v>
      </c>
      <c r="H40" s="559">
        <v>0</v>
      </c>
      <c r="I40" s="559">
        <v>0</v>
      </c>
      <c r="J40" s="559">
        <v>0</v>
      </c>
      <c r="K40" s="559">
        <v>0</v>
      </c>
      <c r="L40" s="559">
        <v>0</v>
      </c>
      <c r="M40" s="559">
        <v>0</v>
      </c>
      <c r="N40" s="559">
        <v>0</v>
      </c>
      <c r="O40" s="559">
        <v>0</v>
      </c>
      <c r="P40" s="559">
        <v>0</v>
      </c>
      <c r="Q40" s="559">
        <v>0</v>
      </c>
      <c r="R40" s="559">
        <v>0</v>
      </c>
      <c r="S40" s="559">
        <v>0</v>
      </c>
      <c r="T40" s="559">
        <v>0</v>
      </c>
      <c r="U40" s="559">
        <v>0</v>
      </c>
      <c r="V40" s="559">
        <v>0</v>
      </c>
      <c r="W40" s="559">
        <v>0</v>
      </c>
      <c r="X40" s="559">
        <v>0</v>
      </c>
      <c r="Y40" s="559">
        <v>0</v>
      </c>
      <c r="Z40" s="559">
        <v>0</v>
      </c>
      <c r="AA40" s="559">
        <v>0</v>
      </c>
      <c r="AB40" s="559">
        <v>0</v>
      </c>
      <c r="AC40" s="559">
        <v>0</v>
      </c>
      <c r="AD40" s="559">
        <v>0</v>
      </c>
      <c r="AE40" s="559">
        <v>0</v>
      </c>
      <c r="AF40" s="559">
        <v>0</v>
      </c>
      <c r="AG40" s="542">
        <f t="shared" si="1"/>
        <v>0</v>
      </c>
      <c r="AH40" s="559">
        <v>0</v>
      </c>
      <c r="AI40" s="522">
        <v>0</v>
      </c>
    </row>
    <row r="41" spans="1:35">
      <c r="A41" s="565" t="s">
        <v>2822</v>
      </c>
      <c r="B41" s="559">
        <v>5399</v>
      </c>
      <c r="C41" s="559">
        <v>5523</v>
      </c>
      <c r="D41" s="559">
        <v>5523</v>
      </c>
      <c r="E41" s="559">
        <v>5749</v>
      </c>
      <c r="F41" s="559">
        <v>5825</v>
      </c>
      <c r="G41" s="559">
        <v>5933</v>
      </c>
      <c r="H41" s="559">
        <v>6039</v>
      </c>
      <c r="I41" s="559">
        <v>6236</v>
      </c>
      <c r="J41" s="559">
        <v>6467</v>
      </c>
      <c r="K41" s="559">
        <v>6597</v>
      </c>
      <c r="L41" s="559">
        <v>6597</v>
      </c>
      <c r="M41" s="559">
        <v>6597</v>
      </c>
      <c r="N41" s="559">
        <v>7018</v>
      </c>
      <c r="O41" s="559">
        <v>7126</v>
      </c>
      <c r="P41" s="559">
        <v>7332</v>
      </c>
      <c r="Q41" s="559">
        <v>7536</v>
      </c>
      <c r="R41" s="559">
        <v>7536</v>
      </c>
      <c r="S41" s="559">
        <v>7745</v>
      </c>
      <c r="T41" s="559">
        <v>7858</v>
      </c>
      <c r="U41" s="559">
        <v>8087</v>
      </c>
      <c r="V41" s="559">
        <v>8250</v>
      </c>
      <c r="W41" s="559">
        <v>8417</v>
      </c>
      <c r="X41" s="559">
        <v>8417</v>
      </c>
      <c r="Y41" s="559">
        <v>8417</v>
      </c>
      <c r="Z41" s="559">
        <v>8740</v>
      </c>
      <c r="AA41" s="559">
        <v>8896</v>
      </c>
      <c r="AB41" s="559">
        <v>9041</v>
      </c>
      <c r="AC41" s="559">
        <v>9210</v>
      </c>
      <c r="AD41" s="559">
        <v>9347</v>
      </c>
      <c r="AE41" s="559">
        <v>3582</v>
      </c>
      <c r="AF41" s="559">
        <v>3582</v>
      </c>
      <c r="AG41" s="542">
        <f t="shared" si="1"/>
        <v>-1193</v>
      </c>
      <c r="AH41" s="559">
        <v>4775</v>
      </c>
      <c r="AI41" s="522">
        <v>-1193</v>
      </c>
    </row>
    <row r="42" spans="1:35">
      <c r="A42" s="565" t="s">
        <v>2823</v>
      </c>
      <c r="B42" s="559">
        <v>4041</v>
      </c>
      <c r="C42" s="559">
        <v>4041</v>
      </c>
      <c r="D42" s="559">
        <v>4041</v>
      </c>
      <c r="E42" s="559">
        <v>4081</v>
      </c>
      <c r="F42" s="559">
        <v>4099</v>
      </c>
      <c r="G42" s="559">
        <v>4153</v>
      </c>
      <c r="H42" s="559">
        <v>4183</v>
      </c>
      <c r="I42" s="559">
        <v>4231</v>
      </c>
      <c r="J42" s="559">
        <v>4285</v>
      </c>
      <c r="K42" s="559">
        <v>4285</v>
      </c>
      <c r="L42" s="559">
        <v>4414</v>
      </c>
      <c r="M42" s="559">
        <v>4430</v>
      </c>
      <c r="N42" s="559">
        <v>4503</v>
      </c>
      <c r="O42" s="559">
        <v>4558</v>
      </c>
      <c r="P42" s="559">
        <v>4656</v>
      </c>
      <c r="Q42" s="559">
        <v>4709</v>
      </c>
      <c r="R42" s="559">
        <v>4709</v>
      </c>
      <c r="S42" s="559">
        <v>4770</v>
      </c>
      <c r="T42" s="559">
        <v>4821</v>
      </c>
      <c r="U42" s="559">
        <v>4871</v>
      </c>
      <c r="V42" s="559">
        <v>4906</v>
      </c>
      <c r="W42" s="559">
        <v>4926</v>
      </c>
      <c r="X42" s="559">
        <v>4926</v>
      </c>
      <c r="Y42" s="559">
        <v>4926</v>
      </c>
      <c r="Z42" s="559">
        <v>4960</v>
      </c>
      <c r="AA42" s="559">
        <v>4960</v>
      </c>
      <c r="AB42" s="559">
        <v>4998</v>
      </c>
      <c r="AC42" s="559">
        <v>4998</v>
      </c>
      <c r="AD42" s="559">
        <v>4998</v>
      </c>
      <c r="AE42" s="559">
        <v>5066</v>
      </c>
      <c r="AF42" s="559">
        <v>5066</v>
      </c>
      <c r="AG42" s="542">
        <f t="shared" si="1"/>
        <v>1025</v>
      </c>
      <c r="AH42" s="559">
        <v>4041</v>
      </c>
      <c r="AI42" s="522">
        <v>1025</v>
      </c>
    </row>
    <row r="43" spans="1:35" ht="15.75" thickBot="1">
      <c r="A43" s="566" t="s">
        <v>2824</v>
      </c>
      <c r="B43" s="561">
        <v>111</v>
      </c>
      <c r="C43" s="561">
        <v>115</v>
      </c>
      <c r="D43" s="561">
        <v>115</v>
      </c>
      <c r="E43" s="561">
        <v>115</v>
      </c>
      <c r="F43" s="561">
        <v>119</v>
      </c>
      <c r="G43" s="561">
        <v>119</v>
      </c>
      <c r="H43" s="561">
        <v>124</v>
      </c>
      <c r="I43" s="561">
        <v>124</v>
      </c>
      <c r="J43" s="561">
        <v>133</v>
      </c>
      <c r="K43" s="561">
        <v>136</v>
      </c>
      <c r="L43" s="561">
        <v>323</v>
      </c>
      <c r="M43" s="561">
        <v>323</v>
      </c>
      <c r="N43" s="561">
        <v>1376</v>
      </c>
      <c r="O43" s="561">
        <v>1923</v>
      </c>
      <c r="P43" s="561">
        <v>2062</v>
      </c>
      <c r="Q43" s="561">
        <v>2063</v>
      </c>
      <c r="R43" s="561">
        <v>2063</v>
      </c>
      <c r="S43" s="561">
        <v>2069</v>
      </c>
      <c r="T43" s="561">
        <v>2069</v>
      </c>
      <c r="U43" s="561">
        <v>2074</v>
      </c>
      <c r="V43" s="561">
        <v>2074</v>
      </c>
      <c r="W43" s="561">
        <v>2074</v>
      </c>
      <c r="X43" s="561">
        <v>2074</v>
      </c>
      <c r="Y43" s="561">
        <v>2074</v>
      </c>
      <c r="Z43" s="561">
        <v>2078</v>
      </c>
      <c r="AA43" s="561">
        <v>2078</v>
      </c>
      <c r="AB43" s="561">
        <v>2086</v>
      </c>
      <c r="AC43" s="561">
        <v>2086</v>
      </c>
      <c r="AD43" s="561">
        <v>2086</v>
      </c>
      <c r="AE43" s="561">
        <v>2092</v>
      </c>
      <c r="AF43" s="561">
        <v>2092</v>
      </c>
      <c r="AG43" s="542">
        <f t="shared" si="1"/>
        <v>1999</v>
      </c>
      <c r="AH43" s="561">
        <v>93</v>
      </c>
      <c r="AI43" s="522">
        <v>1999</v>
      </c>
    </row>
  </sheetData>
  <mergeCells count="1">
    <mergeCell ref="A1:AH1"/>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E103-8F6D-4FE0-8F0E-CD15FA4A7643}">
  <dimension ref="A1:AH43"/>
  <sheetViews>
    <sheetView workbookViewId="0">
      <selection activeCell="I16" sqref="I16"/>
    </sheetView>
  </sheetViews>
  <sheetFormatPr defaultColWidth="9.140625" defaultRowHeight="15"/>
  <cols>
    <col min="1" max="1" width="39.7109375" style="522" customWidth="1"/>
    <col min="2" max="2" width="13" style="522" customWidth="1"/>
    <col min="3" max="16" width="12.85546875" style="522" customWidth="1"/>
    <col min="17" max="17" width="16" style="522" customWidth="1"/>
    <col min="18" max="21" width="12.85546875" style="522" customWidth="1"/>
    <col min="22" max="22" width="12.85546875" style="538" customWidth="1"/>
    <col min="23" max="29" width="12.85546875" style="522" customWidth="1"/>
    <col min="30" max="30" width="15.7109375" style="522" customWidth="1"/>
    <col min="31" max="31" width="12.85546875" style="522" customWidth="1"/>
    <col min="32" max="32" width="9.140625" style="522"/>
    <col min="33" max="33" width="10" style="522" bestFit="1" customWidth="1"/>
    <col min="34" max="34" width="13.85546875" style="522" customWidth="1"/>
    <col min="35" max="35" width="14.85546875" style="522" customWidth="1"/>
    <col min="36" max="16384" width="9.140625" style="522"/>
  </cols>
  <sheetData>
    <row r="1" spans="1:34"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row>
    <row r="2" spans="1:34" ht="15.75">
      <c r="A2" s="531"/>
      <c r="B2" s="530">
        <v>46054</v>
      </c>
      <c r="C2" s="530">
        <v>46055</v>
      </c>
      <c r="D2" s="530">
        <v>46056</v>
      </c>
      <c r="E2" s="530">
        <v>46057</v>
      </c>
      <c r="F2" s="530">
        <v>46058</v>
      </c>
      <c r="G2" s="530">
        <v>46059</v>
      </c>
      <c r="H2" s="530">
        <v>46060</v>
      </c>
      <c r="I2" s="530">
        <v>46061</v>
      </c>
      <c r="J2" s="530">
        <v>46062</v>
      </c>
      <c r="K2" s="530">
        <v>46063</v>
      </c>
      <c r="L2" s="530">
        <v>46064</v>
      </c>
      <c r="M2" s="530">
        <v>46065</v>
      </c>
      <c r="N2" s="530">
        <v>46066</v>
      </c>
      <c r="O2" s="530">
        <v>46067</v>
      </c>
      <c r="P2" s="530">
        <v>46068</v>
      </c>
      <c r="Q2" s="530">
        <v>46069</v>
      </c>
      <c r="R2" s="530">
        <v>46070</v>
      </c>
      <c r="S2" s="530">
        <v>46071</v>
      </c>
      <c r="T2" s="530">
        <v>46072</v>
      </c>
      <c r="U2" s="530">
        <v>46073</v>
      </c>
      <c r="V2" s="530">
        <v>46074</v>
      </c>
      <c r="W2" s="530">
        <v>46075</v>
      </c>
      <c r="X2" s="530">
        <v>46076</v>
      </c>
      <c r="Y2" s="530">
        <v>46077</v>
      </c>
      <c r="Z2" s="530">
        <v>46078</v>
      </c>
      <c r="AA2" s="530">
        <v>46079</v>
      </c>
      <c r="AB2" s="530">
        <v>46080</v>
      </c>
      <c r="AC2" s="530">
        <v>46081</v>
      </c>
      <c r="AD2" s="530"/>
      <c r="AE2" s="530">
        <v>46053</v>
      </c>
    </row>
    <row r="3" spans="1:34" ht="16.5">
      <c r="A3" s="532" t="s">
        <v>51</v>
      </c>
      <c r="B3" s="523" t="s">
        <v>53</v>
      </c>
      <c r="C3" s="523" t="s">
        <v>53</v>
      </c>
      <c r="D3" s="523" t="s">
        <v>53</v>
      </c>
      <c r="E3" s="523" t="s">
        <v>53</v>
      </c>
      <c r="F3" s="523" t="s">
        <v>53</v>
      </c>
      <c r="G3" s="523" t="s">
        <v>53</v>
      </c>
      <c r="H3" s="523" t="s">
        <v>53</v>
      </c>
      <c r="I3" s="523" t="s">
        <v>53</v>
      </c>
      <c r="J3" s="523" t="s">
        <v>53</v>
      </c>
      <c r="K3" s="523" t="s">
        <v>53</v>
      </c>
      <c r="L3" s="523" t="s">
        <v>53</v>
      </c>
      <c r="M3" s="527" t="s">
        <v>53</v>
      </c>
      <c r="N3" s="523" t="s">
        <v>53</v>
      </c>
      <c r="O3" s="523" t="s">
        <v>53</v>
      </c>
      <c r="P3" s="523" t="s">
        <v>53</v>
      </c>
      <c r="Q3" s="523" t="s">
        <v>53</v>
      </c>
      <c r="R3" s="523" t="s">
        <v>53</v>
      </c>
      <c r="S3" s="523" t="s">
        <v>53</v>
      </c>
      <c r="T3" s="523" t="s">
        <v>53</v>
      </c>
      <c r="U3" s="523" t="s">
        <v>53</v>
      </c>
      <c r="V3" s="523" t="s">
        <v>53</v>
      </c>
      <c r="W3" s="523" t="s">
        <v>53</v>
      </c>
      <c r="X3" s="523" t="s">
        <v>53</v>
      </c>
      <c r="Y3" s="523" t="s">
        <v>53</v>
      </c>
      <c r="Z3" s="523" t="s">
        <v>53</v>
      </c>
      <c r="AA3" s="523" t="s">
        <v>52</v>
      </c>
      <c r="AB3" s="523" t="s">
        <v>52</v>
      </c>
      <c r="AC3" s="523" t="s">
        <v>52</v>
      </c>
      <c r="AD3" s="525"/>
      <c r="AE3" s="523" t="s">
        <v>52</v>
      </c>
    </row>
    <row r="4" spans="1:34" ht="20.100000000000001" customHeight="1">
      <c r="A4" s="533" t="s">
        <v>54</v>
      </c>
      <c r="B4" s="552">
        <v>543153</v>
      </c>
      <c r="C4" s="552">
        <v>543379</v>
      </c>
      <c r="D4" s="552">
        <v>543603</v>
      </c>
      <c r="E4" s="552">
        <v>543827</v>
      </c>
      <c r="F4" s="552">
        <v>544050</v>
      </c>
      <c r="G4" s="552">
        <v>544271</v>
      </c>
      <c r="H4" s="552">
        <v>544487</v>
      </c>
      <c r="I4" s="552">
        <v>544700</v>
      </c>
      <c r="J4" s="552">
        <v>544930</v>
      </c>
      <c r="K4" s="552">
        <v>545153</v>
      </c>
      <c r="L4" s="552">
        <v>545377</v>
      </c>
      <c r="M4" s="552">
        <v>545605</v>
      </c>
      <c r="N4" s="552">
        <v>545829</v>
      </c>
      <c r="O4" s="552">
        <v>546045</v>
      </c>
      <c r="P4" s="552">
        <v>546268</v>
      </c>
      <c r="Q4" s="552">
        <v>546497</v>
      </c>
      <c r="R4" s="552">
        <v>546724</v>
      </c>
      <c r="S4" s="552">
        <v>546955</v>
      </c>
      <c r="T4" s="552">
        <v>547180</v>
      </c>
      <c r="U4" s="552">
        <v>547398</v>
      </c>
      <c r="V4" s="552">
        <v>547610</v>
      </c>
      <c r="W4" s="552">
        <v>547825</v>
      </c>
      <c r="X4" s="552">
        <v>548053</v>
      </c>
      <c r="Y4" s="552">
        <v>548281</v>
      </c>
      <c r="Z4" s="552">
        <v>548509</v>
      </c>
      <c r="AA4" s="552">
        <v>548738</v>
      </c>
      <c r="AB4" s="552">
        <v>548954</v>
      </c>
      <c r="AC4" s="552">
        <v>549172</v>
      </c>
      <c r="AD4" s="529"/>
      <c r="AE4" s="552">
        <v>542933</v>
      </c>
      <c r="AF4" s="528"/>
    </row>
    <row r="5" spans="1:34" ht="20.100000000000001" customHeight="1">
      <c r="A5" s="533" t="s">
        <v>55</v>
      </c>
      <c r="B5" s="552">
        <v>15241999</v>
      </c>
      <c r="C5" s="552">
        <v>15248942</v>
      </c>
      <c r="D5" s="552">
        <v>15255813</v>
      </c>
      <c r="E5" s="552">
        <v>15262761</v>
      </c>
      <c r="F5" s="552">
        <v>15269605</v>
      </c>
      <c r="G5" s="552">
        <v>15276228</v>
      </c>
      <c r="H5" s="552">
        <v>15281925</v>
      </c>
      <c r="I5" s="552">
        <v>15287597</v>
      </c>
      <c r="J5" s="552">
        <v>15294653</v>
      </c>
      <c r="K5" s="552">
        <v>15301369</v>
      </c>
      <c r="L5" s="552">
        <v>15308085</v>
      </c>
      <c r="M5" s="552">
        <v>15314858</v>
      </c>
      <c r="N5" s="552">
        <v>15321438</v>
      </c>
      <c r="O5" s="552">
        <v>15327026</v>
      </c>
      <c r="P5" s="552">
        <v>15333166</v>
      </c>
      <c r="Q5" s="552">
        <v>15340174</v>
      </c>
      <c r="R5" s="552">
        <v>15347046</v>
      </c>
      <c r="S5" s="552">
        <v>15354211</v>
      </c>
      <c r="T5" s="552">
        <v>15360921</v>
      </c>
      <c r="U5" s="552">
        <v>15367311</v>
      </c>
      <c r="V5" s="552">
        <v>15372852</v>
      </c>
      <c r="W5" s="552">
        <v>15378508</v>
      </c>
      <c r="X5" s="552">
        <v>15385196</v>
      </c>
      <c r="Y5" s="552">
        <v>15391842</v>
      </c>
      <c r="Z5" s="552">
        <v>15398405</v>
      </c>
      <c r="AA5" s="552">
        <v>15404881</v>
      </c>
      <c r="AB5" s="552">
        <v>15410984</v>
      </c>
      <c r="AC5" s="552">
        <v>15416414</v>
      </c>
      <c r="AD5" s="529"/>
      <c r="AE5" s="552">
        <v>15236155</v>
      </c>
      <c r="AF5" s="528"/>
    </row>
    <row r="6" spans="1:34" ht="20.100000000000001" customHeight="1">
      <c r="A6" s="533" t="s">
        <v>56</v>
      </c>
      <c r="B6" s="552">
        <v>7002818</v>
      </c>
      <c r="C6" s="552">
        <v>7005879</v>
      </c>
      <c r="D6" s="552">
        <v>7008905</v>
      </c>
      <c r="E6" s="552">
        <v>7012009</v>
      </c>
      <c r="F6" s="552">
        <v>7015020</v>
      </c>
      <c r="G6" s="552">
        <v>7017935</v>
      </c>
      <c r="H6" s="552">
        <v>7020457</v>
      </c>
      <c r="I6" s="552">
        <v>7023039</v>
      </c>
      <c r="J6" s="552">
        <v>7026191</v>
      </c>
      <c r="K6" s="552">
        <v>7029089</v>
      </c>
      <c r="L6" s="552">
        <v>7031987</v>
      </c>
      <c r="M6" s="552">
        <v>7035082</v>
      </c>
      <c r="N6" s="552">
        <v>7038069</v>
      </c>
      <c r="O6" s="552">
        <v>7040618</v>
      </c>
      <c r="P6" s="552">
        <v>7043334</v>
      </c>
      <c r="Q6" s="552">
        <v>7046530</v>
      </c>
      <c r="R6" s="552">
        <v>7049689</v>
      </c>
      <c r="S6" s="552">
        <v>7052841</v>
      </c>
      <c r="T6" s="552">
        <v>7055864</v>
      </c>
      <c r="U6" s="552">
        <v>7058762</v>
      </c>
      <c r="V6" s="552">
        <v>7061456</v>
      </c>
      <c r="W6" s="552">
        <v>7064253</v>
      </c>
      <c r="X6" s="552">
        <v>7067279</v>
      </c>
      <c r="Y6" s="552">
        <v>7070232</v>
      </c>
      <c r="Z6" s="552">
        <v>7073211</v>
      </c>
      <c r="AA6" s="552">
        <v>7076194</v>
      </c>
      <c r="AB6" s="552">
        <v>7078949</v>
      </c>
      <c r="AC6" s="552">
        <v>7081500</v>
      </c>
      <c r="AD6" s="529"/>
      <c r="AE6" s="552">
        <v>7000183</v>
      </c>
      <c r="AF6" s="528"/>
    </row>
    <row r="7" spans="1:34" ht="20.100000000000001" customHeight="1">
      <c r="A7" s="533" t="s">
        <v>57</v>
      </c>
      <c r="B7" s="552">
        <v>2121063</v>
      </c>
      <c r="C7" s="552">
        <v>2127815</v>
      </c>
      <c r="D7" s="552">
        <v>2134598</v>
      </c>
      <c r="E7" s="552">
        <v>2141527</v>
      </c>
      <c r="F7" s="552">
        <v>2148569</v>
      </c>
      <c r="G7" s="552">
        <v>2155704</v>
      </c>
      <c r="H7" s="552">
        <v>2163012</v>
      </c>
      <c r="I7" s="552">
        <v>2169496</v>
      </c>
      <c r="J7" s="552">
        <v>2177030</v>
      </c>
      <c r="K7" s="552">
        <v>2184292</v>
      </c>
      <c r="L7" s="552">
        <v>2191555</v>
      </c>
      <c r="M7" s="552">
        <v>2199358</v>
      </c>
      <c r="N7" s="552">
        <v>2207076</v>
      </c>
      <c r="O7" s="552">
        <v>2214715</v>
      </c>
      <c r="P7" s="552">
        <v>2221810</v>
      </c>
      <c r="Q7" s="552">
        <v>2229572</v>
      </c>
      <c r="R7" s="552">
        <v>2237099</v>
      </c>
      <c r="S7" s="552">
        <v>2244837</v>
      </c>
      <c r="T7" s="552">
        <v>2252109</v>
      </c>
      <c r="U7" s="552">
        <v>2258991</v>
      </c>
      <c r="V7" s="552">
        <v>2265825</v>
      </c>
      <c r="W7" s="552">
        <v>2266130</v>
      </c>
      <c r="X7" s="552">
        <v>2266210</v>
      </c>
      <c r="Y7" s="552">
        <v>2266293</v>
      </c>
      <c r="Z7" s="552">
        <v>2266375</v>
      </c>
      <c r="AA7" s="552">
        <v>2266456</v>
      </c>
      <c r="AB7" s="552">
        <v>2266534</v>
      </c>
      <c r="AC7" s="552">
        <v>2266620</v>
      </c>
      <c r="AD7" s="529"/>
      <c r="AE7" s="552">
        <v>2114787</v>
      </c>
      <c r="AF7" s="528"/>
    </row>
    <row r="8" spans="1:34" ht="20.100000000000001" customHeight="1">
      <c r="A8" s="533" t="s">
        <v>58</v>
      </c>
      <c r="B8" s="552">
        <v>2007800</v>
      </c>
      <c r="C8" s="552">
        <v>2007885</v>
      </c>
      <c r="D8" s="552">
        <v>2007970</v>
      </c>
      <c r="E8" s="552">
        <v>2008054</v>
      </c>
      <c r="F8" s="552">
        <v>2008138</v>
      </c>
      <c r="G8" s="552">
        <v>2008221</v>
      </c>
      <c r="H8" s="552">
        <v>2008310</v>
      </c>
      <c r="I8" s="552">
        <v>2008391</v>
      </c>
      <c r="J8" s="552">
        <v>2008474</v>
      </c>
      <c r="K8" s="552">
        <v>2008674</v>
      </c>
      <c r="L8" s="552">
        <v>2008875</v>
      </c>
      <c r="M8" s="552">
        <v>2008955</v>
      </c>
      <c r="N8" s="552">
        <v>2009032</v>
      </c>
      <c r="O8" s="552">
        <v>2009115</v>
      </c>
      <c r="P8" s="552">
        <v>2009194</v>
      </c>
      <c r="Q8" s="552">
        <v>2009275</v>
      </c>
      <c r="R8" s="552">
        <v>2009354</v>
      </c>
      <c r="S8" s="552">
        <v>2009435</v>
      </c>
      <c r="T8" s="552">
        <v>2009516</v>
      </c>
      <c r="U8" s="552">
        <v>2009593</v>
      </c>
      <c r="V8" s="552">
        <v>2009677</v>
      </c>
      <c r="W8" s="552">
        <v>2015840</v>
      </c>
      <c r="X8" s="552">
        <v>2022500</v>
      </c>
      <c r="Y8" s="552">
        <v>2029138</v>
      </c>
      <c r="Z8" s="552">
        <v>2035848</v>
      </c>
      <c r="AA8" s="552">
        <v>2042632</v>
      </c>
      <c r="AB8" s="552">
        <v>2049108</v>
      </c>
      <c r="AC8" s="552">
        <v>2055886</v>
      </c>
      <c r="AD8" s="529"/>
      <c r="AE8" s="552">
        <v>2007512</v>
      </c>
      <c r="AF8" s="528"/>
    </row>
    <row r="9" spans="1:34" ht="20.100000000000001" customHeight="1">
      <c r="A9" s="533" t="s">
        <v>59</v>
      </c>
      <c r="B9" s="552">
        <v>2826400</v>
      </c>
      <c r="C9" s="552">
        <v>2831814</v>
      </c>
      <c r="D9" s="552">
        <v>2837216</v>
      </c>
      <c r="E9" s="552">
        <v>2842238</v>
      </c>
      <c r="F9" s="552">
        <v>2847373</v>
      </c>
      <c r="G9" s="552">
        <v>2852287</v>
      </c>
      <c r="H9" s="552">
        <v>2857301</v>
      </c>
      <c r="I9" s="552">
        <v>2862014</v>
      </c>
      <c r="J9" s="552">
        <v>2867111</v>
      </c>
      <c r="K9" s="552">
        <v>2872128</v>
      </c>
      <c r="L9" s="552">
        <v>2877145</v>
      </c>
      <c r="M9" s="552">
        <v>2882220</v>
      </c>
      <c r="N9" s="552">
        <v>2887164</v>
      </c>
      <c r="O9" s="552">
        <v>2892072</v>
      </c>
      <c r="P9" s="552">
        <v>2897028</v>
      </c>
      <c r="Q9" s="552">
        <v>2902024</v>
      </c>
      <c r="R9" s="552">
        <v>2906944</v>
      </c>
      <c r="S9" s="552">
        <v>2912083</v>
      </c>
      <c r="T9" s="552">
        <v>2917377</v>
      </c>
      <c r="U9" s="552">
        <v>2922596</v>
      </c>
      <c r="V9" s="552">
        <v>2927799</v>
      </c>
      <c r="W9" s="552">
        <v>2932953</v>
      </c>
      <c r="X9" s="552">
        <v>2938311</v>
      </c>
      <c r="Y9" s="552">
        <v>2943641</v>
      </c>
      <c r="Z9" s="552">
        <v>2949049</v>
      </c>
      <c r="AA9" s="552">
        <v>2954139</v>
      </c>
      <c r="AB9" s="552">
        <v>2958704</v>
      </c>
      <c r="AC9" s="552">
        <v>2963522</v>
      </c>
      <c r="AD9" s="529"/>
      <c r="AE9" s="552">
        <v>2821200</v>
      </c>
      <c r="AF9" s="528"/>
    </row>
    <row r="10" spans="1:34" ht="20.100000000000001" customHeight="1">
      <c r="A10" s="533" t="s">
        <v>60</v>
      </c>
      <c r="B10" s="552">
        <v>9537249</v>
      </c>
      <c r="C10" s="552">
        <v>9540597</v>
      </c>
      <c r="D10" s="552">
        <v>9543898</v>
      </c>
      <c r="E10" s="552">
        <v>9547269</v>
      </c>
      <c r="F10" s="552">
        <v>9550637</v>
      </c>
      <c r="G10" s="552">
        <v>9553840</v>
      </c>
      <c r="H10" s="552">
        <v>9555773</v>
      </c>
      <c r="I10" s="552">
        <v>9557987</v>
      </c>
      <c r="J10" s="552">
        <v>9561271</v>
      </c>
      <c r="K10" s="552">
        <v>9564213</v>
      </c>
      <c r="L10" s="552">
        <v>9567155</v>
      </c>
      <c r="M10" s="552">
        <v>9570479</v>
      </c>
      <c r="N10" s="552">
        <v>9573636</v>
      </c>
      <c r="O10" s="552">
        <v>9575861</v>
      </c>
      <c r="P10" s="552">
        <v>9578192</v>
      </c>
      <c r="Q10" s="552">
        <v>9581572</v>
      </c>
      <c r="R10" s="552">
        <v>9584816</v>
      </c>
      <c r="S10" s="552">
        <v>9588167</v>
      </c>
      <c r="T10" s="552">
        <v>9591367</v>
      </c>
      <c r="U10" s="552">
        <v>9594371</v>
      </c>
      <c r="V10" s="552">
        <v>9596387</v>
      </c>
      <c r="W10" s="552">
        <v>9598686</v>
      </c>
      <c r="X10" s="552">
        <v>9601921</v>
      </c>
      <c r="Y10" s="552">
        <v>9605123</v>
      </c>
      <c r="Z10" s="552">
        <v>9608381</v>
      </c>
      <c r="AA10" s="552">
        <v>9611628</v>
      </c>
      <c r="AB10" s="552">
        <v>9614562</v>
      </c>
      <c r="AC10" s="552">
        <v>9616613</v>
      </c>
      <c r="AD10" s="529"/>
      <c r="AE10" s="552">
        <v>9535198</v>
      </c>
      <c r="AF10" s="528"/>
    </row>
    <row r="11" spans="1:34" ht="22.5" customHeight="1">
      <c r="A11" s="533" t="s">
        <v>61</v>
      </c>
      <c r="B11" s="552">
        <v>364097</v>
      </c>
      <c r="C11" s="552">
        <v>364221</v>
      </c>
      <c r="D11" s="552">
        <v>364344</v>
      </c>
      <c r="E11" s="552">
        <v>364468</v>
      </c>
      <c r="F11" s="552">
        <v>364591</v>
      </c>
      <c r="G11" s="552">
        <v>364712</v>
      </c>
      <c r="H11" s="552">
        <v>364805</v>
      </c>
      <c r="I11" s="552">
        <v>364907</v>
      </c>
      <c r="J11" s="552">
        <v>365035</v>
      </c>
      <c r="K11" s="552">
        <v>365156</v>
      </c>
      <c r="L11" s="552">
        <v>365277</v>
      </c>
      <c r="M11" s="552">
        <v>365409</v>
      </c>
      <c r="N11" s="552">
        <v>365533</v>
      </c>
      <c r="O11" s="552">
        <v>365626</v>
      </c>
      <c r="P11" s="552">
        <v>365738</v>
      </c>
      <c r="Q11" s="552">
        <v>365870</v>
      </c>
      <c r="R11" s="552">
        <v>365999</v>
      </c>
      <c r="S11" s="552">
        <v>366138</v>
      </c>
      <c r="T11" s="552">
        <v>366264</v>
      </c>
      <c r="U11" s="552">
        <v>366381</v>
      </c>
      <c r="V11" s="552">
        <v>366472</v>
      </c>
      <c r="W11" s="552">
        <v>366576</v>
      </c>
      <c r="X11" s="552">
        <v>366699</v>
      </c>
      <c r="Y11" s="552">
        <v>366821</v>
      </c>
      <c r="Z11" s="552">
        <v>366945</v>
      </c>
      <c r="AA11" s="552">
        <v>367071</v>
      </c>
      <c r="AB11" s="552">
        <v>367186</v>
      </c>
      <c r="AC11" s="552">
        <v>367280</v>
      </c>
      <c r="AD11" s="529"/>
      <c r="AE11" s="552">
        <v>363991</v>
      </c>
      <c r="AF11" s="528"/>
    </row>
    <row r="12" spans="1:34" s="535" customFormat="1" ht="18" customHeight="1">
      <c r="A12" s="534" t="s">
        <v>62</v>
      </c>
      <c r="B12" s="552"/>
      <c r="C12" s="552"/>
      <c r="D12" s="552"/>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407"/>
      <c r="AE12" s="552"/>
    </row>
    <row r="13" spans="1:34">
      <c r="A13" s="532" t="s">
        <v>63</v>
      </c>
      <c r="B13" s="547" t="s">
        <v>64</v>
      </c>
      <c r="C13" s="547" t="s">
        <v>64</v>
      </c>
      <c r="D13" s="547" t="s">
        <v>64</v>
      </c>
      <c r="E13" s="547" t="s">
        <v>64</v>
      </c>
      <c r="F13" s="547" t="s">
        <v>64</v>
      </c>
      <c r="G13" s="547" t="s">
        <v>64</v>
      </c>
      <c r="H13" s="547" t="s">
        <v>64</v>
      </c>
      <c r="I13" s="547" t="s">
        <v>64</v>
      </c>
      <c r="J13" s="547" t="s">
        <v>64</v>
      </c>
      <c r="K13" s="547" t="s">
        <v>64</v>
      </c>
      <c r="L13" s="547" t="s">
        <v>64</v>
      </c>
      <c r="M13" s="547" t="s">
        <v>64</v>
      </c>
      <c r="N13" s="547" t="s">
        <v>64</v>
      </c>
      <c r="O13" s="547" t="s">
        <v>64</v>
      </c>
      <c r="P13" s="547" t="s">
        <v>64</v>
      </c>
      <c r="Q13" s="547" t="s">
        <v>64</v>
      </c>
      <c r="R13" s="547" t="s">
        <v>64</v>
      </c>
      <c r="S13" s="547" t="s">
        <v>64</v>
      </c>
      <c r="T13" s="547" t="s">
        <v>64</v>
      </c>
      <c r="U13" s="547" t="s">
        <v>64</v>
      </c>
      <c r="V13" s="547" t="s">
        <v>64</v>
      </c>
      <c r="W13" s="547" t="s">
        <v>64</v>
      </c>
      <c r="X13" s="547" t="s">
        <v>64</v>
      </c>
      <c r="Y13" s="547" t="s">
        <v>64</v>
      </c>
      <c r="Z13" s="547" t="s">
        <v>64</v>
      </c>
      <c r="AA13" s="547" t="s">
        <v>64</v>
      </c>
      <c r="AB13" s="547" t="s">
        <v>64</v>
      </c>
      <c r="AC13" s="547" t="s">
        <v>64</v>
      </c>
      <c r="AD13" s="296"/>
      <c r="AE13" s="547" t="s">
        <v>64</v>
      </c>
    </row>
    <row r="14" spans="1:34">
      <c r="A14" s="532" t="s">
        <v>995</v>
      </c>
      <c r="B14" s="545">
        <v>53624</v>
      </c>
      <c r="C14" s="545">
        <v>53737</v>
      </c>
      <c r="D14" s="545">
        <v>53838</v>
      </c>
      <c r="E14" s="545">
        <v>53943</v>
      </c>
      <c r="F14" s="545">
        <v>54040</v>
      </c>
      <c r="G14" s="545">
        <v>54154</v>
      </c>
      <c r="H14" s="545">
        <v>54181</v>
      </c>
      <c r="I14" s="545">
        <v>54261</v>
      </c>
      <c r="J14" s="545">
        <v>54383</v>
      </c>
      <c r="K14" s="539">
        <v>54458</v>
      </c>
      <c r="L14" s="545">
        <v>54533</v>
      </c>
      <c r="M14" s="545">
        <v>54633</v>
      </c>
      <c r="N14" s="545">
        <v>54748</v>
      </c>
      <c r="O14" s="545">
        <v>54781</v>
      </c>
      <c r="P14" s="545">
        <v>54874</v>
      </c>
      <c r="Q14" s="545">
        <v>54980</v>
      </c>
      <c r="R14" s="545">
        <v>55071</v>
      </c>
      <c r="S14" s="545">
        <v>55173</v>
      </c>
      <c r="T14" s="545">
        <v>55196</v>
      </c>
      <c r="U14" s="545">
        <v>55306</v>
      </c>
      <c r="V14" s="545">
        <v>55331</v>
      </c>
      <c r="W14" s="545">
        <v>55439</v>
      </c>
      <c r="X14" s="545">
        <v>55529</v>
      </c>
      <c r="Y14" s="545">
        <v>55595</v>
      </c>
      <c r="Z14" s="545">
        <v>55661</v>
      </c>
      <c r="AA14" s="545">
        <v>55727</v>
      </c>
      <c r="AB14" s="545">
        <v>55805</v>
      </c>
      <c r="AC14" s="545">
        <v>55825</v>
      </c>
      <c r="AD14" s="301">
        <f>AC14-AE14</f>
        <v>2285</v>
      </c>
      <c r="AE14" s="545">
        <v>53540</v>
      </c>
      <c r="AF14" s="543">
        <v>2285</v>
      </c>
      <c r="AG14" s="543"/>
      <c r="AH14" s="550"/>
    </row>
    <row r="15" spans="1:34" ht="25.5">
      <c r="A15" s="532" t="s">
        <v>67</v>
      </c>
      <c r="B15" s="545">
        <v>9194</v>
      </c>
      <c r="C15" s="545">
        <v>9202</v>
      </c>
      <c r="D15" s="545">
        <v>9210</v>
      </c>
      <c r="E15" s="545">
        <v>9219</v>
      </c>
      <c r="F15" s="545">
        <v>9228</v>
      </c>
      <c r="G15" s="545">
        <v>9239</v>
      </c>
      <c r="H15" s="545">
        <v>9246</v>
      </c>
      <c r="I15" s="545">
        <v>9255</v>
      </c>
      <c r="J15" s="545">
        <v>9263</v>
      </c>
      <c r="K15" s="539">
        <v>9271.5</v>
      </c>
      <c r="L15" s="545">
        <v>9280</v>
      </c>
      <c r="M15" s="545">
        <v>9288</v>
      </c>
      <c r="N15" s="545">
        <v>9299</v>
      </c>
      <c r="O15" s="545">
        <v>9305</v>
      </c>
      <c r="P15" s="545">
        <v>9312</v>
      </c>
      <c r="Q15" s="545">
        <v>9320</v>
      </c>
      <c r="R15" s="545">
        <v>9328</v>
      </c>
      <c r="S15" s="545">
        <v>9336</v>
      </c>
      <c r="T15" s="545">
        <v>9343</v>
      </c>
      <c r="U15" s="545">
        <v>9354</v>
      </c>
      <c r="V15" s="545">
        <v>9360</v>
      </c>
      <c r="W15" s="545">
        <v>9367</v>
      </c>
      <c r="X15" s="545">
        <v>9367</v>
      </c>
      <c r="Y15" s="545">
        <v>9383</v>
      </c>
      <c r="Z15" s="545">
        <v>9390</v>
      </c>
      <c r="AA15" s="545">
        <v>9397</v>
      </c>
      <c r="AB15" s="545">
        <v>9408</v>
      </c>
      <c r="AC15" s="545">
        <v>9413</v>
      </c>
      <c r="AD15" s="301">
        <f t="shared" ref="AD15:AD43" si="0">AC15-AE15</f>
        <v>228</v>
      </c>
      <c r="AE15" s="545">
        <v>9185</v>
      </c>
      <c r="AF15" s="522">
        <v>228</v>
      </c>
      <c r="AG15" s="543"/>
      <c r="AH15" s="556"/>
    </row>
    <row r="16" spans="1:34" ht="25.5">
      <c r="A16" s="532" t="s">
        <v>68</v>
      </c>
      <c r="B16" s="545">
        <v>12879</v>
      </c>
      <c r="C16" s="545">
        <v>12879</v>
      </c>
      <c r="D16" s="545">
        <v>12879</v>
      </c>
      <c r="E16" s="545">
        <v>12879</v>
      </c>
      <c r="F16" s="545">
        <v>12879</v>
      </c>
      <c r="G16" s="545">
        <v>12879</v>
      </c>
      <c r="H16" s="545">
        <v>12879</v>
      </c>
      <c r="I16" s="545">
        <v>12879</v>
      </c>
      <c r="J16" s="545">
        <v>12879</v>
      </c>
      <c r="K16" s="545">
        <v>12879</v>
      </c>
      <c r="L16" s="545">
        <v>12879</v>
      </c>
      <c r="M16" s="545">
        <v>12879</v>
      </c>
      <c r="N16" s="545">
        <v>12879</v>
      </c>
      <c r="O16" s="545">
        <v>12879</v>
      </c>
      <c r="P16" s="545">
        <v>12879</v>
      </c>
      <c r="Q16" s="545">
        <v>12879</v>
      </c>
      <c r="R16" s="545">
        <v>12879</v>
      </c>
      <c r="S16" s="545">
        <v>12879</v>
      </c>
      <c r="T16" s="545">
        <v>12879</v>
      </c>
      <c r="U16" s="545">
        <v>12879</v>
      </c>
      <c r="V16" s="545">
        <v>12879</v>
      </c>
      <c r="W16" s="545">
        <v>12879</v>
      </c>
      <c r="X16" s="545">
        <v>12879</v>
      </c>
      <c r="Y16" s="545">
        <v>12879</v>
      </c>
      <c r="Z16" s="545">
        <v>12879</v>
      </c>
      <c r="AA16" s="545">
        <v>12879</v>
      </c>
      <c r="AB16" s="545">
        <v>12879</v>
      </c>
      <c r="AC16" s="545">
        <v>12879</v>
      </c>
      <c r="AD16" s="301">
        <f t="shared" si="0"/>
        <v>0</v>
      </c>
      <c r="AE16" s="545">
        <v>12879</v>
      </c>
      <c r="AF16" s="522">
        <v>0</v>
      </c>
      <c r="AG16" s="543"/>
      <c r="AH16" s="556"/>
    </row>
    <row r="17" spans="1:34" ht="20.100000000000001" customHeight="1">
      <c r="A17" s="536"/>
      <c r="B17" s="553"/>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301">
        <f t="shared" si="0"/>
        <v>0</v>
      </c>
      <c r="AE17" s="553"/>
      <c r="AH17" s="556"/>
    </row>
    <row r="18" spans="1:34">
      <c r="A18" s="532" t="s">
        <v>69</v>
      </c>
      <c r="B18" s="554" t="s">
        <v>64</v>
      </c>
      <c r="C18" s="554" t="s">
        <v>64</v>
      </c>
      <c r="D18" s="554" t="s">
        <v>64</v>
      </c>
      <c r="E18" s="554" t="s">
        <v>64</v>
      </c>
      <c r="F18" s="554" t="s">
        <v>64</v>
      </c>
      <c r="G18" s="554" t="s">
        <v>64</v>
      </c>
      <c r="H18" s="554" t="s">
        <v>64</v>
      </c>
      <c r="I18" s="554" t="s">
        <v>64</v>
      </c>
      <c r="J18" s="554" t="s">
        <v>64</v>
      </c>
      <c r="K18" s="554" t="s">
        <v>64</v>
      </c>
      <c r="L18" s="554" t="s">
        <v>64</v>
      </c>
      <c r="M18" s="554" t="s">
        <v>64</v>
      </c>
      <c r="N18" s="554" t="s">
        <v>64</v>
      </c>
      <c r="O18" s="554" t="s">
        <v>64</v>
      </c>
      <c r="P18" s="554" t="s">
        <v>64</v>
      </c>
      <c r="Q18" s="554" t="s">
        <v>64</v>
      </c>
      <c r="R18" s="554" t="s">
        <v>64</v>
      </c>
      <c r="S18" s="554" t="s">
        <v>64</v>
      </c>
      <c r="T18" s="554" t="s">
        <v>64</v>
      </c>
      <c r="U18" s="554" t="s">
        <v>64</v>
      </c>
      <c r="V18" s="554" t="s">
        <v>64</v>
      </c>
      <c r="W18" s="554" t="s">
        <v>64</v>
      </c>
      <c r="X18" s="554" t="s">
        <v>64</v>
      </c>
      <c r="Y18" s="554" t="s">
        <v>64</v>
      </c>
      <c r="Z18" s="554" t="s">
        <v>64</v>
      </c>
      <c r="AA18" s="554" t="s">
        <v>64</v>
      </c>
      <c r="AB18" s="554" t="s">
        <v>64</v>
      </c>
      <c r="AC18" s="554" t="s">
        <v>64</v>
      </c>
      <c r="AD18" s="301"/>
      <c r="AE18" s="554" t="s">
        <v>64</v>
      </c>
      <c r="AH18" s="557"/>
    </row>
    <row r="19" spans="1:34" ht="25.5">
      <c r="A19" s="532" t="s">
        <v>70</v>
      </c>
      <c r="B19" s="546">
        <v>0</v>
      </c>
      <c r="C19" s="546">
        <v>0</v>
      </c>
      <c r="D19" s="546">
        <v>0</v>
      </c>
      <c r="E19" s="546">
        <v>0</v>
      </c>
      <c r="F19" s="546">
        <v>0</v>
      </c>
      <c r="G19" s="546">
        <v>0</v>
      </c>
      <c r="H19" s="546">
        <v>0</v>
      </c>
      <c r="I19" s="546">
        <v>0</v>
      </c>
      <c r="J19" s="546">
        <v>0</v>
      </c>
      <c r="K19" s="546">
        <v>0</v>
      </c>
      <c r="L19" s="546">
        <v>0</v>
      </c>
      <c r="M19" s="546">
        <v>0</v>
      </c>
      <c r="N19" s="546">
        <v>0</v>
      </c>
      <c r="O19" s="546">
        <v>0</v>
      </c>
      <c r="P19" s="546">
        <v>0</v>
      </c>
      <c r="Q19" s="546">
        <v>0</v>
      </c>
      <c r="R19" s="546">
        <v>0</v>
      </c>
      <c r="S19" s="546">
        <v>0</v>
      </c>
      <c r="T19" s="546">
        <v>0</v>
      </c>
      <c r="U19" s="546">
        <v>0</v>
      </c>
      <c r="V19" s="546">
        <v>0</v>
      </c>
      <c r="W19" s="546">
        <v>0</v>
      </c>
      <c r="X19" s="546">
        <v>0</v>
      </c>
      <c r="Y19" s="546">
        <v>0</v>
      </c>
      <c r="Z19" s="546">
        <v>0</v>
      </c>
      <c r="AA19" s="546">
        <v>0</v>
      </c>
      <c r="AB19" s="546">
        <v>0</v>
      </c>
      <c r="AC19" s="546">
        <v>0</v>
      </c>
      <c r="AD19" s="301">
        <f t="shared" si="0"/>
        <v>0</v>
      </c>
      <c r="AE19" s="546">
        <v>0</v>
      </c>
      <c r="AF19" s="540">
        <v>0</v>
      </c>
      <c r="AG19" s="540"/>
      <c r="AH19" s="550"/>
    </row>
    <row r="20" spans="1:34" ht="25.5">
      <c r="A20" s="532" t="s">
        <v>2715</v>
      </c>
      <c r="B20" s="546">
        <v>1981050</v>
      </c>
      <c r="C20" s="546">
        <v>1981050</v>
      </c>
      <c r="D20" s="546">
        <v>1981050</v>
      </c>
      <c r="E20" s="546">
        <v>1981050</v>
      </c>
      <c r="F20" s="546">
        <v>1981050</v>
      </c>
      <c r="G20" s="546">
        <v>1981050</v>
      </c>
      <c r="H20" s="546">
        <v>1981050</v>
      </c>
      <c r="I20" s="546">
        <v>1981050</v>
      </c>
      <c r="J20" s="546">
        <v>1981050</v>
      </c>
      <c r="K20" s="539">
        <v>1981384.5</v>
      </c>
      <c r="L20" s="546">
        <v>1981719</v>
      </c>
      <c r="M20" s="546">
        <v>1981719</v>
      </c>
      <c r="N20" s="546">
        <v>1981719</v>
      </c>
      <c r="O20" s="546">
        <v>1981719</v>
      </c>
      <c r="P20" s="546">
        <v>1981719</v>
      </c>
      <c r="Q20" s="546">
        <v>1981719</v>
      </c>
      <c r="R20" s="546">
        <v>1981719</v>
      </c>
      <c r="S20" s="546">
        <v>1981719</v>
      </c>
      <c r="T20" s="546">
        <v>1981719</v>
      </c>
      <c r="U20" s="546">
        <v>1981719</v>
      </c>
      <c r="V20" s="546">
        <v>1981719</v>
      </c>
      <c r="W20" s="546">
        <v>1981719</v>
      </c>
      <c r="X20" s="546">
        <v>1981719</v>
      </c>
      <c r="Y20" s="546">
        <v>1981719</v>
      </c>
      <c r="Z20" s="546">
        <v>1981719</v>
      </c>
      <c r="AA20" s="546">
        <v>1981719</v>
      </c>
      <c r="AB20" s="546">
        <v>2027234</v>
      </c>
      <c r="AC20" s="546">
        <v>2027234</v>
      </c>
      <c r="AD20" s="301">
        <f t="shared" si="0"/>
        <v>46184</v>
      </c>
      <c r="AE20" s="546">
        <v>1981050</v>
      </c>
      <c r="AF20" s="522">
        <v>46184</v>
      </c>
      <c r="AG20" s="540"/>
      <c r="AH20" s="548"/>
    </row>
    <row r="21" spans="1:34">
      <c r="A21" s="532" t="s">
        <v>72</v>
      </c>
      <c r="B21" s="545">
        <v>293898</v>
      </c>
      <c r="C21" s="545">
        <v>293979</v>
      </c>
      <c r="D21" s="545">
        <v>294060</v>
      </c>
      <c r="E21" s="545">
        <v>294119</v>
      </c>
      <c r="F21" s="545">
        <v>294195</v>
      </c>
      <c r="G21" s="545">
        <v>294327</v>
      </c>
      <c r="H21" s="545">
        <v>294327</v>
      </c>
      <c r="I21" s="545">
        <v>294439</v>
      </c>
      <c r="J21" s="545">
        <v>294529</v>
      </c>
      <c r="K21" s="539">
        <v>294618</v>
      </c>
      <c r="L21" s="545">
        <v>294707</v>
      </c>
      <c r="M21" s="545">
        <v>294795</v>
      </c>
      <c r="N21" s="545">
        <v>294910</v>
      </c>
      <c r="O21" s="545">
        <v>294910</v>
      </c>
      <c r="P21" s="545">
        <v>295072</v>
      </c>
      <c r="Q21" s="545">
        <v>295146</v>
      </c>
      <c r="R21" s="545">
        <v>295231</v>
      </c>
      <c r="S21" s="545">
        <v>295342</v>
      </c>
      <c r="T21" s="545">
        <v>295434</v>
      </c>
      <c r="U21" s="545">
        <v>295568</v>
      </c>
      <c r="V21" s="545">
        <v>295569</v>
      </c>
      <c r="W21" s="545">
        <v>295682</v>
      </c>
      <c r="X21" s="545">
        <v>295795</v>
      </c>
      <c r="Y21" s="545">
        <v>295876</v>
      </c>
      <c r="Z21" s="545">
        <v>295994</v>
      </c>
      <c r="AA21" s="545">
        <v>296067</v>
      </c>
      <c r="AB21" s="545">
        <v>296188</v>
      </c>
      <c r="AC21" s="545">
        <v>296188</v>
      </c>
      <c r="AD21" s="301">
        <f t="shared" si="0"/>
        <v>2391</v>
      </c>
      <c r="AE21" s="545">
        <v>293797</v>
      </c>
      <c r="AF21" s="522">
        <v>2391</v>
      </c>
      <c r="AG21" s="540"/>
      <c r="AH21" s="549"/>
    </row>
    <row r="22" spans="1:34">
      <c r="A22" s="532" t="s">
        <v>73</v>
      </c>
      <c r="B22" s="545">
        <v>267794</v>
      </c>
      <c r="C22" s="545">
        <v>267836</v>
      </c>
      <c r="D22" s="545">
        <v>267880</v>
      </c>
      <c r="E22" s="545">
        <v>267930</v>
      </c>
      <c r="F22" s="545">
        <v>267974</v>
      </c>
      <c r="G22" s="545">
        <v>268040</v>
      </c>
      <c r="H22" s="545">
        <v>268066</v>
      </c>
      <c r="I22" s="545">
        <v>268109</v>
      </c>
      <c r="J22" s="545">
        <v>268168</v>
      </c>
      <c r="K22" s="539">
        <v>268221.5</v>
      </c>
      <c r="L22" s="545">
        <v>268275</v>
      </c>
      <c r="M22" s="545">
        <v>268323</v>
      </c>
      <c r="N22" s="545">
        <v>268397</v>
      </c>
      <c r="O22" s="545">
        <v>268434</v>
      </c>
      <c r="P22" s="545">
        <v>268479</v>
      </c>
      <c r="Q22" s="545">
        <v>268539</v>
      </c>
      <c r="R22" s="545">
        <v>268595</v>
      </c>
      <c r="S22" s="545">
        <v>268648</v>
      </c>
      <c r="T22" s="545">
        <v>268705</v>
      </c>
      <c r="U22" s="545">
        <v>268778</v>
      </c>
      <c r="V22" s="545">
        <v>268805</v>
      </c>
      <c r="W22" s="545">
        <v>268856</v>
      </c>
      <c r="X22" s="545">
        <v>268911</v>
      </c>
      <c r="Y22" s="545">
        <v>268972</v>
      </c>
      <c r="Z22" s="545">
        <v>269021</v>
      </c>
      <c r="AA22" s="545">
        <v>269070</v>
      </c>
      <c r="AB22" s="545">
        <v>269138</v>
      </c>
      <c r="AC22" s="545">
        <v>269174</v>
      </c>
      <c r="AD22" s="301">
        <f t="shared" si="0"/>
        <v>1425</v>
      </c>
      <c r="AE22" s="545">
        <v>267749</v>
      </c>
      <c r="AF22" s="522">
        <v>1425</v>
      </c>
      <c r="AG22" s="540"/>
      <c r="AH22" s="549"/>
    </row>
    <row r="23" spans="1:34">
      <c r="A23" s="564" t="s">
        <v>136</v>
      </c>
      <c r="B23" s="545">
        <v>17752</v>
      </c>
      <c r="C23" s="545">
        <v>17767</v>
      </c>
      <c r="D23" s="545">
        <v>17783</v>
      </c>
      <c r="E23" s="545">
        <v>17796</v>
      </c>
      <c r="F23" s="545">
        <v>17809</v>
      </c>
      <c r="G23" s="545">
        <v>17820</v>
      </c>
      <c r="H23" s="545">
        <v>17820</v>
      </c>
      <c r="I23" s="545">
        <v>17820</v>
      </c>
      <c r="J23" s="545">
        <v>17830</v>
      </c>
      <c r="K23" s="539">
        <v>17835.5</v>
      </c>
      <c r="L23" s="545">
        <v>17841</v>
      </c>
      <c r="M23" s="545">
        <v>17850</v>
      </c>
      <c r="N23" s="545">
        <v>17858</v>
      </c>
      <c r="O23" s="545">
        <v>17859</v>
      </c>
      <c r="P23" s="545">
        <v>17860</v>
      </c>
      <c r="Q23" s="545">
        <v>17870</v>
      </c>
      <c r="R23" s="545">
        <v>17880</v>
      </c>
      <c r="S23" s="545">
        <v>17890</v>
      </c>
      <c r="T23" s="545">
        <v>17893</v>
      </c>
      <c r="U23" s="545">
        <v>17896</v>
      </c>
      <c r="V23" s="545">
        <v>17896</v>
      </c>
      <c r="W23" s="545">
        <v>17896</v>
      </c>
      <c r="X23" s="545">
        <v>17898</v>
      </c>
      <c r="Y23" s="545">
        <v>17901</v>
      </c>
      <c r="Z23" s="545">
        <v>17904</v>
      </c>
      <c r="AA23" s="545">
        <v>17906</v>
      </c>
      <c r="AB23" s="545">
        <v>17906</v>
      </c>
      <c r="AC23" s="545">
        <v>17909</v>
      </c>
      <c r="AD23" s="301">
        <f t="shared" si="0"/>
        <v>164</v>
      </c>
      <c r="AE23" s="545">
        <v>17745</v>
      </c>
      <c r="AF23" s="522">
        <v>164</v>
      </c>
      <c r="AG23" s="540"/>
      <c r="AH23" s="548"/>
    </row>
    <row r="24" spans="1:34">
      <c r="A24" s="564" t="s">
        <v>139</v>
      </c>
      <c r="B24" s="545">
        <v>12244</v>
      </c>
      <c r="C24" s="545">
        <v>12257</v>
      </c>
      <c r="D24" s="545">
        <v>12267</v>
      </c>
      <c r="E24" s="545">
        <v>12277</v>
      </c>
      <c r="F24" s="545">
        <v>12285</v>
      </c>
      <c r="G24" s="545">
        <v>12293</v>
      </c>
      <c r="H24" s="545">
        <v>12293</v>
      </c>
      <c r="I24" s="545">
        <v>12294</v>
      </c>
      <c r="J24" s="545">
        <v>12303</v>
      </c>
      <c r="K24" s="539">
        <v>12307.5</v>
      </c>
      <c r="L24" s="545">
        <v>12312</v>
      </c>
      <c r="M24" s="545">
        <v>12320</v>
      </c>
      <c r="N24" s="545">
        <v>12334</v>
      </c>
      <c r="O24" s="545">
        <v>12338</v>
      </c>
      <c r="P24" s="545">
        <v>12339</v>
      </c>
      <c r="Q24" s="545">
        <v>12347</v>
      </c>
      <c r="R24" s="545">
        <v>12355</v>
      </c>
      <c r="S24" s="545">
        <v>12364</v>
      </c>
      <c r="T24" s="545">
        <v>12368</v>
      </c>
      <c r="U24" s="545">
        <v>12371</v>
      </c>
      <c r="V24" s="545">
        <v>12371</v>
      </c>
      <c r="W24" s="545">
        <v>12373</v>
      </c>
      <c r="X24" s="545">
        <v>12375</v>
      </c>
      <c r="Y24" s="545">
        <v>12378</v>
      </c>
      <c r="Z24" s="545">
        <v>12382</v>
      </c>
      <c r="AA24" s="545">
        <v>12385</v>
      </c>
      <c r="AB24" s="545">
        <v>12388</v>
      </c>
      <c r="AC24" s="545">
        <v>12388</v>
      </c>
      <c r="AD24" s="301">
        <f t="shared" si="0"/>
        <v>145</v>
      </c>
      <c r="AE24" s="545">
        <v>12243</v>
      </c>
      <c r="AF24" s="522">
        <v>145</v>
      </c>
      <c r="AG24" s="540"/>
      <c r="AH24" s="548"/>
    </row>
    <row r="25" spans="1:34">
      <c r="A25" s="564" t="s">
        <v>142</v>
      </c>
      <c r="B25" s="545">
        <v>5000</v>
      </c>
      <c r="C25" s="545">
        <v>5004</v>
      </c>
      <c r="D25" s="545">
        <v>5008</v>
      </c>
      <c r="E25" s="545">
        <v>5012</v>
      </c>
      <c r="F25" s="545">
        <v>5017</v>
      </c>
      <c r="G25" s="545">
        <v>5021</v>
      </c>
      <c r="H25" s="545">
        <v>5021</v>
      </c>
      <c r="I25" s="545">
        <v>5024</v>
      </c>
      <c r="J25" s="545">
        <v>5030</v>
      </c>
      <c r="K25" s="539">
        <v>5032.5</v>
      </c>
      <c r="L25" s="545">
        <v>5035</v>
      </c>
      <c r="M25" s="545">
        <v>5039</v>
      </c>
      <c r="N25" s="545">
        <v>5043</v>
      </c>
      <c r="O25" s="545">
        <v>5043</v>
      </c>
      <c r="P25" s="545">
        <v>5044</v>
      </c>
      <c r="Q25" s="545">
        <v>5049</v>
      </c>
      <c r="R25" s="545">
        <v>5052</v>
      </c>
      <c r="S25" s="545">
        <v>5058</v>
      </c>
      <c r="T25" s="545">
        <v>5059</v>
      </c>
      <c r="U25" s="545">
        <v>5060</v>
      </c>
      <c r="V25" s="545">
        <v>5060</v>
      </c>
      <c r="W25" s="545">
        <v>5061</v>
      </c>
      <c r="X25" s="545">
        <v>5063</v>
      </c>
      <c r="Y25" s="545">
        <v>5065</v>
      </c>
      <c r="Z25" s="545">
        <v>5066</v>
      </c>
      <c r="AA25" s="545">
        <v>5067</v>
      </c>
      <c r="AB25" s="545">
        <v>5068</v>
      </c>
      <c r="AC25" s="545">
        <v>5068</v>
      </c>
      <c r="AD25" s="301">
        <f t="shared" si="0"/>
        <v>68</v>
      </c>
      <c r="AE25" s="545">
        <v>5000</v>
      </c>
      <c r="AF25" s="522">
        <v>68</v>
      </c>
      <c r="AG25" s="540"/>
      <c r="AH25" s="548"/>
    </row>
    <row r="26" spans="1:34">
      <c r="A26" s="564" t="s">
        <v>145</v>
      </c>
      <c r="B26" s="545">
        <v>3129</v>
      </c>
      <c r="C26" s="545">
        <v>3132</v>
      </c>
      <c r="D26" s="545">
        <v>3136</v>
      </c>
      <c r="E26" s="545">
        <v>3139</v>
      </c>
      <c r="F26" s="545">
        <v>3142</v>
      </c>
      <c r="G26" s="545">
        <v>3145</v>
      </c>
      <c r="H26" s="545">
        <v>3145</v>
      </c>
      <c r="I26" s="545">
        <v>3146</v>
      </c>
      <c r="J26" s="545">
        <v>3149</v>
      </c>
      <c r="K26" s="539">
        <v>3150</v>
      </c>
      <c r="L26" s="545">
        <v>3151</v>
      </c>
      <c r="M26" s="545">
        <v>3156</v>
      </c>
      <c r="N26" s="545">
        <v>3162</v>
      </c>
      <c r="O26" s="545">
        <v>3162</v>
      </c>
      <c r="P26" s="545">
        <v>3165</v>
      </c>
      <c r="Q26" s="545">
        <v>3168</v>
      </c>
      <c r="R26" s="545">
        <v>3170</v>
      </c>
      <c r="S26" s="545">
        <v>3173</v>
      </c>
      <c r="T26" s="545">
        <v>3174</v>
      </c>
      <c r="U26" s="545">
        <v>3175</v>
      </c>
      <c r="V26" s="545">
        <v>3175</v>
      </c>
      <c r="W26" s="545">
        <v>3178</v>
      </c>
      <c r="X26" s="545">
        <v>3179</v>
      </c>
      <c r="Y26" s="545">
        <v>3180</v>
      </c>
      <c r="Z26" s="545">
        <v>3181</v>
      </c>
      <c r="AA26" s="545">
        <v>3183</v>
      </c>
      <c r="AB26" s="545">
        <v>3185</v>
      </c>
      <c r="AC26" s="545">
        <v>3185</v>
      </c>
      <c r="AD26" s="301">
        <f t="shared" si="0"/>
        <v>56</v>
      </c>
      <c r="AE26" s="545">
        <v>3129</v>
      </c>
      <c r="AF26" s="522">
        <v>56</v>
      </c>
      <c r="AG26" s="540"/>
      <c r="AH26" s="548"/>
    </row>
    <row r="27" spans="1:34">
      <c r="A27" s="564" t="s">
        <v>148</v>
      </c>
      <c r="B27" s="545">
        <v>18474</v>
      </c>
      <c r="C27" s="545">
        <v>18487</v>
      </c>
      <c r="D27" s="545">
        <v>18499</v>
      </c>
      <c r="E27" s="545">
        <v>18517</v>
      </c>
      <c r="F27" s="545">
        <v>18530</v>
      </c>
      <c r="G27" s="545">
        <v>18549</v>
      </c>
      <c r="H27" s="545">
        <v>18551</v>
      </c>
      <c r="I27" s="545">
        <v>18564</v>
      </c>
      <c r="J27" s="545">
        <v>18590</v>
      </c>
      <c r="K27" s="539">
        <v>18603</v>
      </c>
      <c r="L27" s="545">
        <v>18616</v>
      </c>
      <c r="M27" s="545">
        <v>18637</v>
      </c>
      <c r="N27" s="545">
        <v>18657</v>
      </c>
      <c r="O27" s="545">
        <v>18659</v>
      </c>
      <c r="P27" s="545">
        <v>18673</v>
      </c>
      <c r="Q27" s="545">
        <v>18693</v>
      </c>
      <c r="R27" s="545">
        <v>18704</v>
      </c>
      <c r="S27" s="545">
        <v>18720</v>
      </c>
      <c r="T27" s="545">
        <v>18726</v>
      </c>
      <c r="U27" s="545">
        <v>18731</v>
      </c>
      <c r="V27" s="545">
        <v>18731</v>
      </c>
      <c r="W27" s="545">
        <v>18738</v>
      </c>
      <c r="X27" s="545">
        <v>18744</v>
      </c>
      <c r="Y27" s="545">
        <v>18748</v>
      </c>
      <c r="Z27" s="545">
        <v>18752</v>
      </c>
      <c r="AA27" s="545">
        <v>18759</v>
      </c>
      <c r="AB27" s="545">
        <v>18764</v>
      </c>
      <c r="AC27" s="545">
        <v>18764</v>
      </c>
      <c r="AD27" s="301">
        <f t="shared" si="0"/>
        <v>293</v>
      </c>
      <c r="AE27" s="545">
        <v>18471</v>
      </c>
      <c r="AF27" s="522">
        <v>293</v>
      </c>
      <c r="AG27" s="540"/>
      <c r="AH27" s="548"/>
    </row>
    <row r="28" spans="1:34">
      <c r="A28" s="564" t="s">
        <v>151</v>
      </c>
      <c r="B28" s="555">
        <v>1330</v>
      </c>
      <c r="C28" s="555">
        <v>1330</v>
      </c>
      <c r="D28" s="555">
        <v>1330</v>
      </c>
      <c r="E28" s="555">
        <v>1330</v>
      </c>
      <c r="F28" s="555">
        <v>1330</v>
      </c>
      <c r="G28" s="555">
        <v>1330</v>
      </c>
      <c r="H28" s="555">
        <v>1330</v>
      </c>
      <c r="I28" s="555">
        <v>1330</v>
      </c>
      <c r="J28" s="555">
        <v>1330</v>
      </c>
      <c r="K28" s="539">
        <v>1330</v>
      </c>
      <c r="L28" s="555">
        <v>1330</v>
      </c>
      <c r="M28" s="555">
        <v>1330</v>
      </c>
      <c r="N28" s="555">
        <v>1330</v>
      </c>
      <c r="O28" s="555">
        <v>1330</v>
      </c>
      <c r="P28" s="555">
        <v>1330</v>
      </c>
      <c r="Q28" s="555">
        <v>1330</v>
      </c>
      <c r="R28" s="555">
        <v>1330</v>
      </c>
      <c r="S28" s="555">
        <v>1330</v>
      </c>
      <c r="T28" s="555">
        <v>1330</v>
      </c>
      <c r="U28" s="555">
        <v>1330</v>
      </c>
      <c r="V28" s="555">
        <v>1330</v>
      </c>
      <c r="W28" s="555">
        <v>1330</v>
      </c>
      <c r="X28" s="555">
        <v>1330</v>
      </c>
      <c r="Y28" s="555">
        <v>1330</v>
      </c>
      <c r="Z28" s="555">
        <v>1330</v>
      </c>
      <c r="AA28" s="555">
        <v>1330</v>
      </c>
      <c r="AB28" s="555">
        <v>1330</v>
      </c>
      <c r="AC28" s="555">
        <v>1330</v>
      </c>
      <c r="AD28" s="301">
        <f t="shared" si="0"/>
        <v>0</v>
      </c>
      <c r="AE28" s="555">
        <v>1330</v>
      </c>
      <c r="AF28" s="522">
        <v>0</v>
      </c>
      <c r="AG28" s="540"/>
      <c r="AH28" s="548"/>
    </row>
    <row r="29" spans="1:34">
      <c r="A29" s="564" t="s">
        <v>154</v>
      </c>
      <c r="B29" s="555">
        <v>1473</v>
      </c>
      <c r="C29" s="555">
        <v>1474</v>
      </c>
      <c r="D29" s="555">
        <v>1475</v>
      </c>
      <c r="E29" s="555">
        <v>1476</v>
      </c>
      <c r="F29" s="555">
        <v>1477</v>
      </c>
      <c r="G29" s="555">
        <v>1478</v>
      </c>
      <c r="H29" s="555">
        <v>1478</v>
      </c>
      <c r="I29" s="555">
        <v>1479</v>
      </c>
      <c r="J29" s="555">
        <v>1481</v>
      </c>
      <c r="K29" s="539">
        <v>1481.5</v>
      </c>
      <c r="L29" s="555">
        <v>1482</v>
      </c>
      <c r="M29" s="555">
        <v>1483</v>
      </c>
      <c r="N29" s="555">
        <v>1484</v>
      </c>
      <c r="O29" s="555">
        <v>1485</v>
      </c>
      <c r="P29" s="555">
        <v>1486</v>
      </c>
      <c r="Q29" s="555">
        <v>1487</v>
      </c>
      <c r="R29" s="555">
        <v>1488</v>
      </c>
      <c r="S29" s="555">
        <v>1489</v>
      </c>
      <c r="T29" s="555">
        <v>1490</v>
      </c>
      <c r="U29" s="555">
        <v>1491</v>
      </c>
      <c r="V29" s="555">
        <v>1492</v>
      </c>
      <c r="W29" s="555">
        <v>1493</v>
      </c>
      <c r="X29" s="555">
        <v>1493</v>
      </c>
      <c r="Y29" s="555">
        <v>1494</v>
      </c>
      <c r="Z29" s="555">
        <v>1495</v>
      </c>
      <c r="AA29" s="555">
        <v>1496</v>
      </c>
      <c r="AB29" s="555">
        <v>1497</v>
      </c>
      <c r="AC29" s="555">
        <v>1497</v>
      </c>
      <c r="AD29" s="301">
        <f t="shared" si="0"/>
        <v>24</v>
      </c>
      <c r="AE29" s="555">
        <v>1473</v>
      </c>
      <c r="AF29" s="522">
        <v>24</v>
      </c>
      <c r="AG29" s="540"/>
      <c r="AH29" s="548"/>
    </row>
    <row r="30" spans="1:34">
      <c r="A30" s="536"/>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c r="AA30" s="544"/>
      <c r="AB30" s="544"/>
      <c r="AC30" s="544"/>
      <c r="AD30" s="301"/>
      <c r="AE30" s="544"/>
      <c r="AH30" s="548"/>
    </row>
    <row r="31" spans="1:34">
      <c r="A31" s="532" t="s">
        <v>74</v>
      </c>
      <c r="B31" s="547" t="s">
        <v>75</v>
      </c>
      <c r="C31" s="547" t="s">
        <v>75</v>
      </c>
      <c r="D31" s="547" t="s">
        <v>75</v>
      </c>
      <c r="E31" s="547" t="s">
        <v>75</v>
      </c>
      <c r="F31" s="547" t="s">
        <v>75</v>
      </c>
      <c r="G31" s="547" t="s">
        <v>75</v>
      </c>
      <c r="H31" s="547" t="s">
        <v>75</v>
      </c>
      <c r="I31" s="547" t="s">
        <v>75</v>
      </c>
      <c r="J31" s="547" t="s">
        <v>75</v>
      </c>
      <c r="K31" s="547" t="s">
        <v>75</v>
      </c>
      <c r="L31" s="547" t="s">
        <v>75</v>
      </c>
      <c r="M31" s="547" t="s">
        <v>75</v>
      </c>
      <c r="N31" s="547" t="s">
        <v>75</v>
      </c>
      <c r="O31" s="547" t="s">
        <v>75</v>
      </c>
      <c r="P31" s="547" t="s">
        <v>75</v>
      </c>
      <c r="Q31" s="547" t="s">
        <v>75</v>
      </c>
      <c r="R31" s="547" t="s">
        <v>75</v>
      </c>
      <c r="S31" s="547" t="s">
        <v>75</v>
      </c>
      <c r="T31" s="547" t="s">
        <v>75</v>
      </c>
      <c r="U31" s="547" t="s">
        <v>75</v>
      </c>
      <c r="V31" s="547" t="s">
        <v>75</v>
      </c>
      <c r="W31" s="547" t="s">
        <v>75</v>
      </c>
      <c r="X31" s="547" t="s">
        <v>75</v>
      </c>
      <c r="Y31" s="547" t="s">
        <v>75</v>
      </c>
      <c r="Z31" s="547" t="s">
        <v>75</v>
      </c>
      <c r="AA31" s="547" t="s">
        <v>75</v>
      </c>
      <c r="AB31" s="547" t="s">
        <v>75</v>
      </c>
      <c r="AC31" s="547" t="s">
        <v>75</v>
      </c>
      <c r="AD31" s="301"/>
      <c r="AE31" s="547" t="s">
        <v>75</v>
      </c>
    </row>
    <row r="32" spans="1:34">
      <c r="A32" s="532" t="s">
        <v>77</v>
      </c>
      <c r="B32" s="555">
        <v>45350</v>
      </c>
      <c r="C32" s="555">
        <v>45350</v>
      </c>
      <c r="D32" s="555">
        <v>45350</v>
      </c>
      <c r="E32" s="555">
        <v>45350</v>
      </c>
      <c r="F32" s="555">
        <v>45350</v>
      </c>
      <c r="G32" s="555">
        <v>45350</v>
      </c>
      <c r="H32" s="555">
        <v>45350</v>
      </c>
      <c r="I32" s="555">
        <v>45350</v>
      </c>
      <c r="J32" s="555">
        <v>45350</v>
      </c>
      <c r="K32" s="555">
        <v>45350</v>
      </c>
      <c r="L32" s="555">
        <v>45350</v>
      </c>
      <c r="M32" s="555">
        <v>45350</v>
      </c>
      <c r="N32" s="555">
        <v>45350</v>
      </c>
      <c r="O32" s="555">
        <v>45350</v>
      </c>
      <c r="P32" s="555">
        <v>45350</v>
      </c>
      <c r="Q32" s="555">
        <v>45350</v>
      </c>
      <c r="R32" s="555">
        <v>45350</v>
      </c>
      <c r="S32" s="555">
        <v>45350</v>
      </c>
      <c r="T32" s="555">
        <v>45350</v>
      </c>
      <c r="U32" s="555">
        <v>45350</v>
      </c>
      <c r="V32" s="555">
        <v>45350</v>
      </c>
      <c r="W32" s="555">
        <v>45350</v>
      </c>
      <c r="X32" s="555">
        <v>45350</v>
      </c>
      <c r="Y32" s="555">
        <v>45350</v>
      </c>
      <c r="Z32" s="555">
        <v>45350</v>
      </c>
      <c r="AA32" s="555">
        <v>45350</v>
      </c>
      <c r="AB32" s="555">
        <v>45350</v>
      </c>
      <c r="AC32" s="555">
        <v>45350</v>
      </c>
      <c r="AD32" s="301">
        <f t="shared" si="0"/>
        <v>0</v>
      </c>
      <c r="AE32" s="555">
        <v>45350</v>
      </c>
    </row>
    <row r="33" spans="1:32" ht="25.5">
      <c r="A33" s="532" t="s">
        <v>80</v>
      </c>
      <c r="B33" s="555">
        <v>45350</v>
      </c>
      <c r="C33" s="555">
        <v>45350</v>
      </c>
      <c r="D33" s="555">
        <v>45350</v>
      </c>
      <c r="E33" s="555">
        <v>45350</v>
      </c>
      <c r="F33" s="555">
        <v>45350</v>
      </c>
      <c r="G33" s="555">
        <v>45350</v>
      </c>
      <c r="H33" s="555">
        <v>45350</v>
      </c>
      <c r="I33" s="555">
        <v>45350</v>
      </c>
      <c r="J33" s="555">
        <v>45350</v>
      </c>
      <c r="K33" s="555">
        <v>45350</v>
      </c>
      <c r="L33" s="555">
        <v>45350</v>
      </c>
      <c r="M33" s="555">
        <v>45350</v>
      </c>
      <c r="N33" s="555">
        <v>45350</v>
      </c>
      <c r="O33" s="555">
        <v>45350</v>
      </c>
      <c r="P33" s="555">
        <v>45350</v>
      </c>
      <c r="Q33" s="555">
        <v>45350</v>
      </c>
      <c r="R33" s="555">
        <v>45350</v>
      </c>
      <c r="S33" s="555">
        <v>45350</v>
      </c>
      <c r="T33" s="555">
        <v>45350</v>
      </c>
      <c r="U33" s="555">
        <v>45350</v>
      </c>
      <c r="V33" s="555">
        <v>45350</v>
      </c>
      <c r="W33" s="555">
        <v>45350</v>
      </c>
      <c r="X33" s="555">
        <v>45350</v>
      </c>
      <c r="Y33" s="555">
        <v>45350</v>
      </c>
      <c r="Z33" s="555">
        <v>45350</v>
      </c>
      <c r="AA33" s="555">
        <v>45350</v>
      </c>
      <c r="AB33" s="555">
        <v>45350</v>
      </c>
      <c r="AC33" s="555">
        <v>45350</v>
      </c>
      <c r="AD33" s="301">
        <f t="shared" si="0"/>
        <v>0</v>
      </c>
      <c r="AE33" s="555">
        <v>45350</v>
      </c>
    </row>
    <row r="34" spans="1:32" ht="15.75" thickBot="1">
      <c r="A34" s="537" t="s">
        <v>81</v>
      </c>
      <c r="B34" s="558">
        <v>1500</v>
      </c>
      <c r="C34" s="558">
        <v>1500</v>
      </c>
      <c r="D34" s="558">
        <v>1500</v>
      </c>
      <c r="E34" s="558">
        <v>1500</v>
      </c>
      <c r="F34" s="558">
        <v>1500</v>
      </c>
      <c r="G34" s="558">
        <v>1500</v>
      </c>
      <c r="H34" s="558">
        <v>1500</v>
      </c>
      <c r="I34" s="558">
        <v>1500</v>
      </c>
      <c r="J34" s="558">
        <v>1500</v>
      </c>
      <c r="K34" s="558">
        <v>1500</v>
      </c>
      <c r="L34" s="558">
        <v>1500</v>
      </c>
      <c r="M34" s="558">
        <v>1500</v>
      </c>
      <c r="N34" s="558">
        <v>1500</v>
      </c>
      <c r="O34" s="558">
        <v>1500</v>
      </c>
      <c r="P34" s="558">
        <v>1500</v>
      </c>
      <c r="Q34" s="558">
        <v>1500</v>
      </c>
      <c r="R34" s="558">
        <v>1500</v>
      </c>
      <c r="S34" s="558">
        <v>1500</v>
      </c>
      <c r="T34" s="558">
        <v>1500</v>
      </c>
      <c r="U34" s="558">
        <v>1500</v>
      </c>
      <c r="V34" s="558">
        <v>1500</v>
      </c>
      <c r="W34" s="558">
        <v>1500</v>
      </c>
      <c r="X34" s="558">
        <v>1500</v>
      </c>
      <c r="Y34" s="558">
        <v>1500</v>
      </c>
      <c r="Z34" s="558">
        <v>1500</v>
      </c>
      <c r="AA34" s="558">
        <v>1500</v>
      </c>
      <c r="AB34" s="558">
        <v>1500</v>
      </c>
      <c r="AC34" s="558">
        <v>1500</v>
      </c>
      <c r="AD34" s="301">
        <f t="shared" si="0"/>
        <v>0</v>
      </c>
      <c r="AE34" s="558">
        <v>1500</v>
      </c>
    </row>
    <row r="35" spans="1:32">
      <c r="A35" s="562"/>
      <c r="B35" s="559"/>
      <c r="C35" s="559"/>
      <c r="D35" s="559"/>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301">
        <f t="shared" si="0"/>
        <v>0</v>
      </c>
      <c r="AE35" s="559"/>
    </row>
    <row r="36" spans="1:32">
      <c r="A36" s="563" t="s">
        <v>2817</v>
      </c>
      <c r="B36" s="547" t="s">
        <v>64</v>
      </c>
      <c r="C36" s="547" t="s">
        <v>64</v>
      </c>
      <c r="D36" s="547" t="s">
        <v>64</v>
      </c>
      <c r="E36" s="547" t="s">
        <v>64</v>
      </c>
      <c r="F36" s="547" t="s">
        <v>64</v>
      </c>
      <c r="G36" s="547" t="s">
        <v>64</v>
      </c>
      <c r="H36" s="547" t="s">
        <v>64</v>
      </c>
      <c r="I36" s="547" t="s">
        <v>64</v>
      </c>
      <c r="J36" s="547" t="s">
        <v>64</v>
      </c>
      <c r="K36" s="547" t="s">
        <v>64</v>
      </c>
      <c r="L36" s="547" t="s">
        <v>64</v>
      </c>
      <c r="M36" s="547" t="s">
        <v>64</v>
      </c>
      <c r="N36" s="547" t="s">
        <v>64</v>
      </c>
      <c r="O36" s="547" t="s">
        <v>64</v>
      </c>
      <c r="P36" s="547" t="s">
        <v>64</v>
      </c>
      <c r="Q36" s="547" t="s">
        <v>64</v>
      </c>
      <c r="R36" s="547" t="s">
        <v>64</v>
      </c>
      <c r="S36" s="547" t="s">
        <v>64</v>
      </c>
      <c r="T36" s="547" t="s">
        <v>64</v>
      </c>
      <c r="U36" s="547" t="s">
        <v>64</v>
      </c>
      <c r="V36" s="547" t="s">
        <v>64</v>
      </c>
      <c r="W36" s="547" t="s">
        <v>64</v>
      </c>
      <c r="X36" s="547" t="s">
        <v>64</v>
      </c>
      <c r="Y36" s="547" t="s">
        <v>64</v>
      </c>
      <c r="Z36" s="547" t="s">
        <v>64</v>
      </c>
      <c r="AA36" s="547" t="s">
        <v>64</v>
      </c>
      <c r="AB36" s="547" t="s">
        <v>64</v>
      </c>
      <c r="AC36" s="547" t="s">
        <v>64</v>
      </c>
      <c r="AD36" s="301"/>
      <c r="AE36" s="547" t="s">
        <v>64</v>
      </c>
    </row>
    <row r="37" spans="1:32">
      <c r="A37" s="565" t="s">
        <v>2818</v>
      </c>
      <c r="B37" s="560">
        <v>121059</v>
      </c>
      <c r="C37" s="560">
        <v>122203</v>
      </c>
      <c r="D37" s="560">
        <v>123376</v>
      </c>
      <c r="E37" s="560">
        <v>124702</v>
      </c>
      <c r="F37" s="560">
        <v>125943</v>
      </c>
      <c r="G37" s="560">
        <v>127151</v>
      </c>
      <c r="H37" s="560">
        <v>128239</v>
      </c>
      <c r="I37" s="560">
        <v>129251</v>
      </c>
      <c r="J37" s="560">
        <v>130461</v>
      </c>
      <c r="K37" s="560">
        <v>132113</v>
      </c>
      <c r="L37" s="560">
        <v>133136</v>
      </c>
      <c r="M37" s="560">
        <v>134713</v>
      </c>
      <c r="N37" s="560">
        <v>135944</v>
      </c>
      <c r="O37" s="560">
        <v>136997</v>
      </c>
      <c r="P37" s="560">
        <v>138080</v>
      </c>
      <c r="Q37" s="560">
        <v>139276</v>
      </c>
      <c r="R37" s="560">
        <v>140499</v>
      </c>
      <c r="S37" s="560">
        <v>141749</v>
      </c>
      <c r="T37" s="560">
        <v>143035</v>
      </c>
      <c r="U37" s="560">
        <v>145034</v>
      </c>
      <c r="V37" s="560">
        <v>145783</v>
      </c>
      <c r="W37" s="560">
        <v>146894</v>
      </c>
      <c r="X37" s="560">
        <v>148104</v>
      </c>
      <c r="Y37" s="519">
        <v>149449</v>
      </c>
      <c r="Z37" s="519">
        <v>150998</v>
      </c>
      <c r="AA37" s="519">
        <v>152391</v>
      </c>
      <c r="AB37" s="519">
        <v>154063</v>
      </c>
      <c r="AC37" s="519">
        <v>154897</v>
      </c>
      <c r="AD37" s="301">
        <f t="shared" si="0"/>
        <v>34905</v>
      </c>
      <c r="AE37" s="560">
        <v>119992</v>
      </c>
      <c r="AF37" s="522">
        <v>34905</v>
      </c>
    </row>
    <row r="38" spans="1:32">
      <c r="A38" s="565" t="s">
        <v>2819</v>
      </c>
      <c r="B38" s="559">
        <v>344806</v>
      </c>
      <c r="C38" s="559">
        <v>348769</v>
      </c>
      <c r="D38" s="559">
        <v>352573</v>
      </c>
      <c r="E38" s="559">
        <v>356286</v>
      </c>
      <c r="F38" s="559">
        <v>360297</v>
      </c>
      <c r="G38" s="559">
        <v>364427</v>
      </c>
      <c r="H38" s="559">
        <v>368336</v>
      </c>
      <c r="I38" s="559">
        <v>372043</v>
      </c>
      <c r="J38" s="559">
        <v>376142</v>
      </c>
      <c r="K38" s="559">
        <v>380724</v>
      </c>
      <c r="L38" s="559">
        <v>384160</v>
      </c>
      <c r="M38" s="559">
        <v>388467</v>
      </c>
      <c r="N38" s="559">
        <v>392803</v>
      </c>
      <c r="O38" s="559">
        <v>396911</v>
      </c>
      <c r="P38" s="559">
        <v>401046</v>
      </c>
      <c r="Q38" s="559">
        <v>405216</v>
      </c>
      <c r="R38" s="559">
        <v>409494</v>
      </c>
      <c r="S38" s="559">
        <v>413847</v>
      </c>
      <c r="T38" s="559">
        <v>417889</v>
      </c>
      <c r="U38" s="559">
        <v>423275</v>
      </c>
      <c r="V38" s="559">
        <v>426108</v>
      </c>
      <c r="W38" s="559">
        <v>430142</v>
      </c>
      <c r="X38" s="559">
        <v>434178</v>
      </c>
      <c r="Y38" s="560">
        <v>438459</v>
      </c>
      <c r="Z38" s="560">
        <v>442546</v>
      </c>
      <c r="AA38" s="560">
        <v>446825</v>
      </c>
      <c r="AB38" s="560">
        <v>452068</v>
      </c>
      <c r="AC38" s="560">
        <v>454886</v>
      </c>
      <c r="AD38" s="301">
        <f t="shared" si="0"/>
        <v>113873</v>
      </c>
      <c r="AE38" s="559">
        <v>341013</v>
      </c>
      <c r="AF38" s="522">
        <v>113873</v>
      </c>
    </row>
    <row r="39" spans="1:32">
      <c r="A39" s="565" t="s">
        <v>2820</v>
      </c>
      <c r="B39" s="559">
        <v>159149</v>
      </c>
      <c r="C39" s="559">
        <v>161505</v>
      </c>
      <c r="D39" s="559">
        <v>163900</v>
      </c>
      <c r="E39" s="559">
        <v>166030</v>
      </c>
      <c r="F39" s="559">
        <v>168264</v>
      </c>
      <c r="G39" s="559">
        <v>170186</v>
      </c>
      <c r="H39" s="559">
        <v>171981</v>
      </c>
      <c r="I39" s="559">
        <v>173956</v>
      </c>
      <c r="J39" s="559">
        <v>175788</v>
      </c>
      <c r="K39" s="559">
        <v>178063</v>
      </c>
      <c r="L39" s="559">
        <v>179512</v>
      </c>
      <c r="M39" s="559">
        <v>181360</v>
      </c>
      <c r="N39" s="559">
        <v>183227</v>
      </c>
      <c r="O39" s="559">
        <v>184914</v>
      </c>
      <c r="P39" s="559">
        <v>186627</v>
      </c>
      <c r="Q39" s="559">
        <v>188446</v>
      </c>
      <c r="R39" s="559">
        <v>190268</v>
      </c>
      <c r="S39" s="559">
        <v>192208</v>
      </c>
      <c r="T39" s="559">
        <v>19406</v>
      </c>
      <c r="U39" s="559">
        <v>196370</v>
      </c>
      <c r="V39" s="559">
        <v>197560</v>
      </c>
      <c r="W39" s="559">
        <v>199310</v>
      </c>
      <c r="X39" s="559">
        <v>201096</v>
      </c>
      <c r="Y39" s="559">
        <v>202995</v>
      </c>
      <c r="Z39" s="559">
        <v>204024</v>
      </c>
      <c r="AA39" s="559">
        <v>206730</v>
      </c>
      <c r="AB39" s="559">
        <v>209050</v>
      </c>
      <c r="AC39" s="559">
        <v>210264</v>
      </c>
      <c r="AD39" s="301">
        <f t="shared" si="0"/>
        <v>53470</v>
      </c>
      <c r="AE39" s="559">
        <v>156794</v>
      </c>
      <c r="AF39" s="522">
        <v>53470</v>
      </c>
    </row>
    <row r="40" spans="1:32">
      <c r="A40" s="565" t="s">
        <v>2821</v>
      </c>
      <c r="B40" s="559">
        <v>0</v>
      </c>
      <c r="C40" s="559">
        <v>0</v>
      </c>
      <c r="D40" s="559">
        <v>0</v>
      </c>
      <c r="E40" s="559">
        <v>0</v>
      </c>
      <c r="F40" s="559">
        <v>0</v>
      </c>
      <c r="G40" s="559">
        <v>0</v>
      </c>
      <c r="H40" s="559">
        <v>0</v>
      </c>
      <c r="I40" s="559">
        <v>0</v>
      </c>
      <c r="J40" s="559">
        <v>0</v>
      </c>
      <c r="K40" s="559">
        <v>0</v>
      </c>
      <c r="L40" s="559">
        <v>0</v>
      </c>
      <c r="M40" s="559">
        <v>0</v>
      </c>
      <c r="N40" s="559">
        <v>0</v>
      </c>
      <c r="O40" s="559">
        <v>0</v>
      </c>
      <c r="P40" s="559">
        <v>0</v>
      </c>
      <c r="Q40" s="559">
        <v>0</v>
      </c>
      <c r="R40" s="559">
        <v>0</v>
      </c>
      <c r="S40" s="559">
        <v>0</v>
      </c>
      <c r="T40" s="559">
        <v>0</v>
      </c>
      <c r="U40" s="559">
        <v>0</v>
      </c>
      <c r="V40" s="559">
        <v>0</v>
      </c>
      <c r="W40" s="559">
        <v>0</v>
      </c>
      <c r="X40" s="559">
        <v>0</v>
      </c>
      <c r="Y40" s="559">
        <v>0</v>
      </c>
      <c r="Z40" s="559">
        <v>0</v>
      </c>
      <c r="AA40" s="559">
        <v>0</v>
      </c>
      <c r="AB40" s="559">
        <v>0</v>
      </c>
      <c r="AC40" s="559">
        <v>0</v>
      </c>
      <c r="AD40" s="301">
        <f t="shared" si="0"/>
        <v>0</v>
      </c>
      <c r="AE40" s="559">
        <v>0</v>
      </c>
      <c r="AF40" s="522">
        <v>0</v>
      </c>
    </row>
    <row r="41" spans="1:32">
      <c r="A41" s="565" t="s">
        <v>2822</v>
      </c>
      <c r="B41" s="559">
        <v>9674</v>
      </c>
      <c r="C41" s="559">
        <v>9889</v>
      </c>
      <c r="D41" s="559">
        <v>10064</v>
      </c>
      <c r="E41" s="559">
        <v>10238</v>
      </c>
      <c r="F41" s="559">
        <v>10459</v>
      </c>
      <c r="G41" s="559">
        <v>10696</v>
      </c>
      <c r="H41" s="559">
        <v>10696</v>
      </c>
      <c r="I41" s="559">
        <v>10857</v>
      </c>
      <c r="J41" s="559">
        <v>11082</v>
      </c>
      <c r="K41" s="559">
        <v>11224</v>
      </c>
      <c r="L41" s="559">
        <v>11470</v>
      </c>
      <c r="M41" s="559">
        <v>11629</v>
      </c>
      <c r="N41" s="559">
        <v>11730</v>
      </c>
      <c r="O41" s="559">
        <v>11730</v>
      </c>
      <c r="P41" s="559">
        <v>11730</v>
      </c>
      <c r="Q41" s="559">
        <v>11730</v>
      </c>
      <c r="R41" s="559">
        <v>12071</v>
      </c>
      <c r="S41" s="559">
        <v>12135</v>
      </c>
      <c r="T41" s="559">
        <v>12216</v>
      </c>
      <c r="U41" s="559">
        <v>12274</v>
      </c>
      <c r="V41" s="559">
        <v>12274</v>
      </c>
      <c r="W41" s="559">
        <v>12476</v>
      </c>
      <c r="X41" s="559">
        <v>12543</v>
      </c>
      <c r="Y41" s="559">
        <v>12612</v>
      </c>
      <c r="Z41" s="559">
        <v>12668</v>
      </c>
      <c r="AA41" s="559">
        <v>12717</v>
      </c>
      <c r="AB41" s="559">
        <v>12791</v>
      </c>
      <c r="AC41" s="559">
        <v>12791</v>
      </c>
      <c r="AD41" s="301">
        <f t="shared" si="0"/>
        <v>9209</v>
      </c>
      <c r="AE41" s="559">
        <v>3582</v>
      </c>
      <c r="AF41" s="522">
        <v>9209</v>
      </c>
    </row>
    <row r="42" spans="1:32">
      <c r="A42" s="565" t="s">
        <v>2823</v>
      </c>
      <c r="B42" s="559">
        <v>5119</v>
      </c>
      <c r="C42" s="559">
        <v>5174</v>
      </c>
      <c r="D42" s="559">
        <v>5208</v>
      </c>
      <c r="E42" s="559">
        <v>5280</v>
      </c>
      <c r="F42" s="559">
        <v>5300</v>
      </c>
      <c r="G42" s="559">
        <v>5325</v>
      </c>
      <c r="H42" s="559">
        <v>5345</v>
      </c>
      <c r="I42" s="559">
        <v>5374</v>
      </c>
      <c r="J42" s="559">
        <v>5430</v>
      </c>
      <c r="K42" s="559">
        <v>5461</v>
      </c>
      <c r="L42" s="559">
        <v>5477</v>
      </c>
      <c r="M42" s="559">
        <v>5511</v>
      </c>
      <c r="N42" s="559">
        <v>5524</v>
      </c>
      <c r="O42" s="559">
        <v>5553</v>
      </c>
      <c r="P42" s="559">
        <v>5583</v>
      </c>
      <c r="Q42" s="559">
        <v>5627</v>
      </c>
      <c r="R42" s="559">
        <v>5642</v>
      </c>
      <c r="S42" s="559">
        <v>5699</v>
      </c>
      <c r="T42" s="559">
        <v>5755</v>
      </c>
      <c r="U42" s="559">
        <v>5782</v>
      </c>
      <c r="V42" s="559">
        <v>5796</v>
      </c>
      <c r="W42" s="559">
        <v>5842</v>
      </c>
      <c r="X42" s="559">
        <v>5898</v>
      </c>
      <c r="Y42" s="559">
        <v>5943</v>
      </c>
      <c r="Z42" s="559">
        <v>5991</v>
      </c>
      <c r="AA42" s="559">
        <v>6060</v>
      </c>
      <c r="AB42" s="559">
        <v>6068</v>
      </c>
      <c r="AC42" s="559">
        <v>6092</v>
      </c>
      <c r="AD42" s="301">
        <f t="shared" si="0"/>
        <v>1026</v>
      </c>
      <c r="AE42" s="559">
        <v>5066</v>
      </c>
      <c r="AF42" s="522">
        <v>1026</v>
      </c>
    </row>
    <row r="43" spans="1:32" ht="15.75" thickBot="1">
      <c r="A43" s="566" t="s">
        <v>2824</v>
      </c>
      <c r="B43" s="561">
        <v>2104</v>
      </c>
      <c r="C43" s="561">
        <v>2104</v>
      </c>
      <c r="D43" s="561">
        <v>2104</v>
      </c>
      <c r="E43" s="561">
        <v>2110</v>
      </c>
      <c r="F43" s="561">
        <v>2110</v>
      </c>
      <c r="G43" s="561">
        <v>2115</v>
      </c>
      <c r="H43" s="561">
        <v>2115</v>
      </c>
      <c r="I43" s="561">
        <v>2119</v>
      </c>
      <c r="J43" s="561">
        <v>2126</v>
      </c>
      <c r="K43" s="561">
        <v>2126</v>
      </c>
      <c r="L43" s="561">
        <v>2132</v>
      </c>
      <c r="M43" s="561">
        <v>2132</v>
      </c>
      <c r="N43" s="561">
        <v>2136</v>
      </c>
      <c r="O43" s="561">
        <v>2136</v>
      </c>
      <c r="P43" s="561">
        <v>2136</v>
      </c>
      <c r="Q43" s="561">
        <v>2136</v>
      </c>
      <c r="R43" s="561">
        <v>2150</v>
      </c>
      <c r="S43" s="561">
        <v>2150</v>
      </c>
      <c r="T43" s="561">
        <v>2156</v>
      </c>
      <c r="U43" s="561">
        <v>2161</v>
      </c>
      <c r="V43" s="561">
        <v>2161</v>
      </c>
      <c r="W43" s="561">
        <v>2166</v>
      </c>
      <c r="X43" s="561">
        <v>2170</v>
      </c>
      <c r="Y43" s="561">
        <v>2176</v>
      </c>
      <c r="Z43" s="561">
        <v>2176</v>
      </c>
      <c r="AA43" s="561">
        <v>2177</v>
      </c>
      <c r="AB43" s="561">
        <v>2183</v>
      </c>
      <c r="AC43" s="561">
        <v>2187</v>
      </c>
      <c r="AD43" s="301">
        <f t="shared" si="0"/>
        <v>95</v>
      </c>
      <c r="AE43" s="561">
        <v>2092</v>
      </c>
      <c r="AF43" s="522">
        <v>95</v>
      </c>
    </row>
  </sheetData>
  <mergeCells count="1">
    <mergeCell ref="A1:AE1"/>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5AF4-4800-4CFB-8996-FFC49DFE1F95}">
  <dimension ref="A1:AK43"/>
  <sheetViews>
    <sheetView workbookViewId="0">
      <selection activeCell="J15" sqref="J15"/>
    </sheetView>
  </sheetViews>
  <sheetFormatPr defaultColWidth="9.140625" defaultRowHeight="15"/>
  <cols>
    <col min="1" max="1" width="39.7109375" style="522" customWidth="1"/>
    <col min="2" max="2" width="13" style="522" customWidth="1"/>
    <col min="3" max="16" width="12.85546875" style="522" customWidth="1"/>
    <col min="17" max="17" width="16" style="522" customWidth="1"/>
    <col min="18" max="21" width="12.85546875" style="522" customWidth="1"/>
    <col min="22" max="22" width="12.85546875" style="538" customWidth="1"/>
    <col min="23" max="32" width="12.85546875" style="522" customWidth="1"/>
    <col min="33" max="33" width="15.7109375" style="522" customWidth="1"/>
    <col min="34" max="34" width="12.85546875" style="522" customWidth="1"/>
    <col min="35" max="35" width="9.140625" style="522"/>
    <col min="36" max="36" width="10" style="522" bestFit="1" customWidth="1"/>
    <col min="37" max="37" width="13.85546875" style="522" customWidth="1"/>
    <col min="38" max="38" width="14.85546875" style="522" customWidth="1"/>
    <col min="39" max="16384" width="9.140625" style="522"/>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531"/>
      <c r="B2" s="530">
        <v>46082</v>
      </c>
      <c r="C2" s="530">
        <v>46083</v>
      </c>
      <c r="D2" s="530">
        <v>46084</v>
      </c>
      <c r="E2" s="530">
        <v>46085</v>
      </c>
      <c r="F2" s="530">
        <v>46086</v>
      </c>
      <c r="G2" s="530">
        <v>46087</v>
      </c>
      <c r="H2" s="530">
        <v>46088</v>
      </c>
      <c r="I2" s="530">
        <v>46089</v>
      </c>
      <c r="J2" s="530">
        <v>46090</v>
      </c>
      <c r="K2" s="530">
        <v>46091</v>
      </c>
      <c r="L2" s="530">
        <v>46092</v>
      </c>
      <c r="M2" s="530">
        <v>46093</v>
      </c>
      <c r="N2" s="530">
        <v>46094</v>
      </c>
      <c r="O2" s="530">
        <v>46095</v>
      </c>
      <c r="P2" s="530">
        <v>46096</v>
      </c>
      <c r="Q2" s="530">
        <v>46097</v>
      </c>
      <c r="R2" s="530">
        <v>46098</v>
      </c>
      <c r="S2" s="530">
        <v>46099</v>
      </c>
      <c r="T2" s="530">
        <v>46100</v>
      </c>
      <c r="U2" s="530">
        <v>46101</v>
      </c>
      <c r="V2" s="530">
        <v>46102</v>
      </c>
      <c r="W2" s="530">
        <v>46103</v>
      </c>
      <c r="X2" s="530">
        <v>46104</v>
      </c>
      <c r="Y2" s="530">
        <v>46105</v>
      </c>
      <c r="Z2" s="530">
        <v>46106</v>
      </c>
      <c r="AA2" s="530">
        <v>46107</v>
      </c>
      <c r="AB2" s="530">
        <v>46108</v>
      </c>
      <c r="AC2" s="530">
        <v>46109</v>
      </c>
      <c r="AD2" s="530">
        <v>46110</v>
      </c>
      <c r="AE2" s="530">
        <v>46111</v>
      </c>
      <c r="AF2" s="530">
        <v>46112</v>
      </c>
      <c r="AG2" s="530"/>
      <c r="AH2" s="530">
        <v>46081</v>
      </c>
    </row>
    <row r="3" spans="1:37" ht="16.5">
      <c r="A3" s="532" t="s">
        <v>51</v>
      </c>
      <c r="B3" s="523" t="s">
        <v>53</v>
      </c>
      <c r="C3" s="523" t="s">
        <v>53</v>
      </c>
      <c r="D3" s="523" t="s">
        <v>53</v>
      </c>
      <c r="E3" s="523" t="s">
        <v>53</v>
      </c>
      <c r="F3" s="523" t="s">
        <v>53</v>
      </c>
      <c r="G3" s="523" t="s">
        <v>53</v>
      </c>
      <c r="H3" s="523" t="s">
        <v>53</v>
      </c>
      <c r="I3" s="523" t="s">
        <v>53</v>
      </c>
      <c r="J3" s="523" t="s">
        <v>53</v>
      </c>
      <c r="K3" s="523" t="s">
        <v>53</v>
      </c>
      <c r="L3" s="523" t="s">
        <v>53</v>
      </c>
      <c r="M3" s="527" t="s">
        <v>53</v>
      </c>
      <c r="N3" s="523" t="s">
        <v>53</v>
      </c>
      <c r="O3" s="523" t="s">
        <v>53</v>
      </c>
      <c r="P3" s="523" t="s">
        <v>53</v>
      </c>
      <c r="Q3" s="523" t="s">
        <v>53</v>
      </c>
      <c r="R3" s="523" t="s">
        <v>53</v>
      </c>
      <c r="S3" s="523" t="s">
        <v>53</v>
      </c>
      <c r="T3" s="523" t="s">
        <v>53</v>
      </c>
      <c r="U3" s="523" t="s">
        <v>53</v>
      </c>
      <c r="V3" s="523" t="s">
        <v>53</v>
      </c>
      <c r="W3" s="523" t="s">
        <v>53</v>
      </c>
      <c r="X3" s="523" t="s">
        <v>53</v>
      </c>
      <c r="Y3" s="523" t="s">
        <v>53</v>
      </c>
      <c r="Z3" s="523" t="s">
        <v>53</v>
      </c>
      <c r="AA3" s="523" t="s">
        <v>52</v>
      </c>
      <c r="AB3" s="523" t="s">
        <v>52</v>
      </c>
      <c r="AC3" s="523" t="s">
        <v>52</v>
      </c>
      <c r="AD3" s="523" t="s">
        <v>52</v>
      </c>
      <c r="AE3" s="523" t="s">
        <v>52</v>
      </c>
      <c r="AF3" s="523" t="s">
        <v>52</v>
      </c>
      <c r="AG3" s="525"/>
      <c r="AH3" s="523" t="s">
        <v>52</v>
      </c>
    </row>
    <row r="4" spans="1:37" ht="20.100000000000001" customHeight="1">
      <c r="A4" s="533" t="s">
        <v>54</v>
      </c>
      <c r="B4" s="552">
        <v>549388</v>
      </c>
      <c r="C4" s="552">
        <v>549618</v>
      </c>
      <c r="D4" s="552">
        <v>549858</v>
      </c>
      <c r="E4" s="552">
        <v>550084</v>
      </c>
      <c r="F4" s="552">
        <v>550302</v>
      </c>
      <c r="G4" s="526">
        <v>550516</v>
      </c>
      <c r="H4" s="552">
        <v>550731</v>
      </c>
      <c r="I4" s="552">
        <v>550927</v>
      </c>
      <c r="J4" s="552">
        <v>551173</v>
      </c>
      <c r="K4" s="552">
        <v>551401</v>
      </c>
      <c r="L4" s="552">
        <v>551626</v>
      </c>
      <c r="M4" s="552">
        <v>551856</v>
      </c>
      <c r="N4" s="552">
        <v>552066</v>
      </c>
      <c r="O4" s="552">
        <v>552289</v>
      </c>
      <c r="P4" s="552">
        <v>552502</v>
      </c>
      <c r="Q4" s="552">
        <v>552726</v>
      </c>
      <c r="R4" s="552">
        <v>552957</v>
      </c>
      <c r="S4" s="552">
        <v>553181</v>
      </c>
      <c r="T4" s="552">
        <v>553401</v>
      </c>
      <c r="U4" s="405">
        <v>553604</v>
      </c>
      <c r="V4" s="405">
        <v>553837</v>
      </c>
      <c r="W4" s="405">
        <v>554031</v>
      </c>
      <c r="X4" s="405">
        <v>554244</v>
      </c>
      <c r="Y4" s="518">
        <v>554477</v>
      </c>
      <c r="Z4" s="552">
        <v>554680</v>
      </c>
      <c r="AA4" s="552">
        <v>554911</v>
      </c>
      <c r="AB4" s="552">
        <v>555136</v>
      </c>
      <c r="AC4" s="552">
        <v>555351</v>
      </c>
      <c r="AD4" s="552">
        <v>555569</v>
      </c>
      <c r="AE4" s="552">
        <v>555794</v>
      </c>
      <c r="AF4" s="552">
        <v>556021</v>
      </c>
      <c r="AG4" s="529">
        <f>AF4-AH4</f>
        <v>6849</v>
      </c>
      <c r="AH4" s="552">
        <v>549172</v>
      </c>
      <c r="AI4" s="528"/>
    </row>
    <row r="5" spans="1:37" ht="20.100000000000001" customHeight="1">
      <c r="A5" s="533" t="s">
        <v>55</v>
      </c>
      <c r="B5" s="552">
        <v>15421885</v>
      </c>
      <c r="C5" s="552">
        <v>15428905</v>
      </c>
      <c r="D5" s="552">
        <v>15435935</v>
      </c>
      <c r="E5" s="552">
        <v>15442953</v>
      </c>
      <c r="F5" s="552">
        <v>15449671</v>
      </c>
      <c r="G5" s="526">
        <v>15455618</v>
      </c>
      <c r="H5" s="552">
        <v>15461565</v>
      </c>
      <c r="I5" s="552">
        <v>15466810</v>
      </c>
      <c r="J5" s="552">
        <v>15474216</v>
      </c>
      <c r="K5" s="552">
        <v>15480889</v>
      </c>
      <c r="L5" s="552">
        <v>15487234</v>
      </c>
      <c r="M5" s="552">
        <v>15493865</v>
      </c>
      <c r="N5" s="552">
        <v>15499812</v>
      </c>
      <c r="O5" s="552">
        <v>15505246</v>
      </c>
      <c r="P5" s="552">
        <v>15510838</v>
      </c>
      <c r="Q5" s="552">
        <v>15517271</v>
      </c>
      <c r="R5" s="552">
        <v>15523816</v>
      </c>
      <c r="S5" s="552">
        <v>15529615</v>
      </c>
      <c r="T5" s="552">
        <v>15535118</v>
      </c>
      <c r="U5" s="405">
        <v>15540755</v>
      </c>
      <c r="V5" s="405">
        <v>15546421</v>
      </c>
      <c r="W5" s="405">
        <v>15552048</v>
      </c>
      <c r="X5" s="405">
        <v>15557714</v>
      </c>
      <c r="Y5" s="518">
        <v>15563361</v>
      </c>
      <c r="Z5" s="552">
        <v>15568997</v>
      </c>
      <c r="AA5" s="552">
        <v>15576264</v>
      </c>
      <c r="AB5" s="552">
        <v>15583065</v>
      </c>
      <c r="AC5" s="552">
        <v>15588774</v>
      </c>
      <c r="AD5" s="552">
        <v>15594976</v>
      </c>
      <c r="AE5" s="552">
        <v>15601774</v>
      </c>
      <c r="AF5" s="552">
        <v>15608634</v>
      </c>
      <c r="AG5" s="529">
        <f t="shared" ref="AG5:AG43" si="0">AF5-AH5</f>
        <v>192220</v>
      </c>
      <c r="AH5" s="552">
        <v>15416414</v>
      </c>
      <c r="AI5" s="528"/>
    </row>
    <row r="6" spans="1:37" ht="20.100000000000001" customHeight="1">
      <c r="A6" s="533" t="s">
        <v>56</v>
      </c>
      <c r="B6" s="552">
        <v>7084132</v>
      </c>
      <c r="C6" s="552">
        <v>7087232</v>
      </c>
      <c r="D6" s="552">
        <v>7090342</v>
      </c>
      <c r="E6" s="552">
        <v>7093458</v>
      </c>
      <c r="F6" s="552">
        <v>7096325</v>
      </c>
      <c r="G6" s="526">
        <v>7098979</v>
      </c>
      <c r="H6" s="552">
        <v>7101633</v>
      </c>
      <c r="I6" s="552">
        <v>7104085</v>
      </c>
      <c r="J6" s="552">
        <v>7107310</v>
      </c>
      <c r="K6" s="552">
        <v>7110276</v>
      </c>
      <c r="L6" s="552">
        <v>7113159</v>
      </c>
      <c r="M6" s="552">
        <v>7116092</v>
      </c>
      <c r="N6" s="552">
        <v>7118742</v>
      </c>
      <c r="O6" s="552">
        <v>7121207</v>
      </c>
      <c r="P6" s="552">
        <v>7123814</v>
      </c>
      <c r="Q6" s="552">
        <v>7126632</v>
      </c>
      <c r="R6" s="552">
        <v>7129481</v>
      </c>
      <c r="S6" s="552">
        <v>7132120</v>
      </c>
      <c r="T6" s="552">
        <v>7134622</v>
      </c>
      <c r="U6" s="405">
        <v>7137044</v>
      </c>
      <c r="V6" s="405">
        <v>7139496</v>
      </c>
      <c r="W6" s="405">
        <v>7141928</v>
      </c>
      <c r="X6" s="405">
        <v>7144359</v>
      </c>
      <c r="Y6" s="518">
        <v>7146761</v>
      </c>
      <c r="Z6" s="552">
        <v>7149213</v>
      </c>
      <c r="AA6" s="552">
        <v>7152217</v>
      </c>
      <c r="AB6" s="552">
        <v>7155067</v>
      </c>
      <c r="AC6" s="552">
        <v>7157487</v>
      </c>
      <c r="AD6" s="552">
        <v>7160180</v>
      </c>
      <c r="AE6" s="552">
        <v>7163182</v>
      </c>
      <c r="AF6" s="552">
        <v>7166150</v>
      </c>
      <c r="AG6" s="529">
        <f t="shared" si="0"/>
        <v>84650</v>
      </c>
      <c r="AH6" s="552">
        <v>7081500</v>
      </c>
      <c r="AI6" s="528"/>
    </row>
    <row r="7" spans="1:37" ht="20.100000000000001" customHeight="1">
      <c r="A7" s="533" t="s">
        <v>57</v>
      </c>
      <c r="B7" s="552">
        <v>2266703</v>
      </c>
      <c r="C7" s="552">
        <v>2266783</v>
      </c>
      <c r="D7" s="552">
        <v>2266873</v>
      </c>
      <c r="E7" s="552">
        <v>2266955</v>
      </c>
      <c r="F7" s="552">
        <v>2267036</v>
      </c>
      <c r="G7" s="526">
        <v>2267234</v>
      </c>
      <c r="H7" s="552">
        <v>2267433</v>
      </c>
      <c r="I7" s="552">
        <v>2273589</v>
      </c>
      <c r="J7" s="552">
        <v>2281084</v>
      </c>
      <c r="K7" s="552">
        <v>2289428</v>
      </c>
      <c r="L7" s="552">
        <v>2297255</v>
      </c>
      <c r="M7" s="552">
        <v>2304920</v>
      </c>
      <c r="N7" s="552">
        <v>2310115</v>
      </c>
      <c r="O7" s="552">
        <v>2319425</v>
      </c>
      <c r="P7" s="552">
        <v>2326276</v>
      </c>
      <c r="Q7" s="552">
        <v>2333651</v>
      </c>
      <c r="R7" s="552">
        <v>2340537</v>
      </c>
      <c r="S7" s="552">
        <v>2348026</v>
      </c>
      <c r="T7" s="552">
        <v>2355338</v>
      </c>
      <c r="U7" s="405">
        <v>2357801</v>
      </c>
      <c r="V7" s="405">
        <v>2360274</v>
      </c>
      <c r="W7" s="405">
        <v>2362737</v>
      </c>
      <c r="X7" s="405">
        <v>2365199</v>
      </c>
      <c r="Y7" s="518">
        <v>2367642</v>
      </c>
      <c r="Z7" s="552">
        <v>2370115</v>
      </c>
      <c r="AA7" s="552">
        <v>2370196</v>
      </c>
      <c r="AB7" s="552">
        <v>2370274</v>
      </c>
      <c r="AC7" s="552">
        <v>2370358</v>
      </c>
      <c r="AD7" s="552">
        <v>2370441</v>
      </c>
      <c r="AE7" s="552">
        <v>2370520</v>
      </c>
      <c r="AF7" s="552">
        <v>2370601</v>
      </c>
      <c r="AG7" s="529">
        <f t="shared" si="0"/>
        <v>103981</v>
      </c>
      <c r="AH7" s="552">
        <v>2266620</v>
      </c>
      <c r="AI7" s="528"/>
    </row>
    <row r="8" spans="1:37" ht="20.100000000000001" customHeight="1">
      <c r="A8" s="533" t="s">
        <v>58</v>
      </c>
      <c r="B8" s="552">
        <v>2062629</v>
      </c>
      <c r="C8" s="552">
        <v>2069059</v>
      </c>
      <c r="D8" s="552">
        <v>2075499</v>
      </c>
      <c r="E8" s="552">
        <v>2081947</v>
      </c>
      <c r="F8" s="552">
        <v>2088118</v>
      </c>
      <c r="G8" s="524">
        <v>2094189</v>
      </c>
      <c r="H8" s="552">
        <v>2100261</v>
      </c>
      <c r="I8" s="552">
        <v>2100336</v>
      </c>
      <c r="J8" s="552">
        <v>2100421</v>
      </c>
      <c r="K8" s="552">
        <v>2100502</v>
      </c>
      <c r="L8" s="552">
        <v>2100581</v>
      </c>
      <c r="M8" s="552">
        <v>2100660</v>
      </c>
      <c r="N8" s="521">
        <v>2100730</v>
      </c>
      <c r="O8" s="552">
        <v>2100820</v>
      </c>
      <c r="P8" s="552">
        <v>2100899</v>
      </c>
      <c r="Q8" s="552">
        <v>2100980</v>
      </c>
      <c r="R8" s="552">
        <v>2101060</v>
      </c>
      <c r="S8" s="552">
        <v>2101141</v>
      </c>
      <c r="T8" s="552">
        <v>2101243</v>
      </c>
      <c r="U8" s="405">
        <v>2106217</v>
      </c>
      <c r="V8" s="405">
        <v>2111222</v>
      </c>
      <c r="W8" s="405">
        <v>2116186</v>
      </c>
      <c r="X8" s="405">
        <v>2121170</v>
      </c>
      <c r="Y8" s="518">
        <v>2126155</v>
      </c>
      <c r="Z8" s="552">
        <v>2131149</v>
      </c>
      <c r="AA8" s="552">
        <v>2139121</v>
      </c>
      <c r="AB8" s="552">
        <v>2147492</v>
      </c>
      <c r="AC8" s="552">
        <v>2154777</v>
      </c>
      <c r="AD8" s="552">
        <v>2161998</v>
      </c>
      <c r="AE8" s="552">
        <v>2169461</v>
      </c>
      <c r="AF8" s="552">
        <v>2176965</v>
      </c>
      <c r="AG8" s="529">
        <f t="shared" si="0"/>
        <v>121079</v>
      </c>
      <c r="AH8" s="552">
        <v>2055886</v>
      </c>
      <c r="AI8" s="528"/>
    </row>
    <row r="9" spans="1:37" ht="20.100000000000001" customHeight="1">
      <c r="A9" s="533" t="s">
        <v>59</v>
      </c>
      <c r="B9" s="552">
        <v>2968350</v>
      </c>
      <c r="C9" s="552">
        <v>2973160</v>
      </c>
      <c r="D9" s="552">
        <v>2977980</v>
      </c>
      <c r="E9" s="552">
        <v>2982805</v>
      </c>
      <c r="F9" s="552">
        <v>2987297</v>
      </c>
      <c r="G9" s="526">
        <v>2991946</v>
      </c>
      <c r="H9" s="552">
        <v>2996596</v>
      </c>
      <c r="I9" s="552">
        <v>3001037</v>
      </c>
      <c r="J9" s="552">
        <v>3006158</v>
      </c>
      <c r="K9" s="552">
        <v>3011271</v>
      </c>
      <c r="L9" s="552">
        <v>3016287</v>
      </c>
      <c r="M9" s="552">
        <v>3021717</v>
      </c>
      <c r="N9" s="552">
        <v>3026367</v>
      </c>
      <c r="O9" s="552">
        <v>3032288</v>
      </c>
      <c r="P9" s="552">
        <v>3037489</v>
      </c>
      <c r="Q9" s="552">
        <v>3042974</v>
      </c>
      <c r="R9" s="552">
        <v>3048444</v>
      </c>
      <c r="S9" s="552">
        <v>3053811</v>
      </c>
      <c r="T9" s="552">
        <v>3058852</v>
      </c>
      <c r="U9" s="405">
        <v>3063747</v>
      </c>
      <c r="V9" s="405">
        <v>3068673</v>
      </c>
      <c r="W9" s="405">
        <v>3073588</v>
      </c>
      <c r="X9" s="405">
        <v>3078483</v>
      </c>
      <c r="Y9" s="518">
        <v>3083369</v>
      </c>
      <c r="Z9" s="552">
        <v>3088284</v>
      </c>
      <c r="AA9" s="552">
        <v>3093744</v>
      </c>
      <c r="AB9" s="552">
        <v>3099069</v>
      </c>
      <c r="AC9" s="552">
        <v>3104266</v>
      </c>
      <c r="AD9" s="552">
        <v>3109256</v>
      </c>
      <c r="AE9" s="552">
        <v>3114446</v>
      </c>
      <c r="AF9" s="552">
        <v>3119714</v>
      </c>
      <c r="AG9" s="529">
        <f t="shared" si="0"/>
        <v>156192</v>
      </c>
      <c r="AH9" s="552">
        <v>2963522</v>
      </c>
      <c r="AI9" s="528"/>
    </row>
    <row r="10" spans="1:37" ht="20.100000000000001" customHeight="1">
      <c r="A10" s="533" t="s">
        <v>60</v>
      </c>
      <c r="B10" s="552">
        <v>9618901</v>
      </c>
      <c r="C10" s="552">
        <v>9622121</v>
      </c>
      <c r="D10" s="552">
        <v>9625351</v>
      </c>
      <c r="E10" s="552">
        <v>9628582</v>
      </c>
      <c r="F10" s="552">
        <v>9631531</v>
      </c>
      <c r="G10" s="526">
        <v>9633563</v>
      </c>
      <c r="H10" s="552">
        <v>9635596</v>
      </c>
      <c r="I10" s="552">
        <v>9637482</v>
      </c>
      <c r="J10" s="552">
        <v>9640514</v>
      </c>
      <c r="K10" s="552">
        <v>9643555</v>
      </c>
      <c r="L10" s="552">
        <v>9646521</v>
      </c>
      <c r="M10" s="552">
        <v>9649602</v>
      </c>
      <c r="N10" s="552">
        <v>9651634</v>
      </c>
      <c r="O10" s="552">
        <v>9654408</v>
      </c>
      <c r="P10" s="552">
        <v>9656817</v>
      </c>
      <c r="Q10" s="552">
        <v>9659910</v>
      </c>
      <c r="R10" s="552">
        <v>9663070</v>
      </c>
      <c r="S10" s="552">
        <v>9665384</v>
      </c>
      <c r="T10" s="552">
        <v>9667367</v>
      </c>
      <c r="U10" s="405">
        <v>9669537</v>
      </c>
      <c r="V10" s="405">
        <v>9671736</v>
      </c>
      <c r="W10" s="405">
        <v>9673926</v>
      </c>
      <c r="X10" s="405">
        <v>9676095</v>
      </c>
      <c r="Y10" s="518">
        <v>9678255</v>
      </c>
      <c r="Z10" s="552">
        <v>9680444</v>
      </c>
      <c r="AA10" s="552">
        <v>9683697</v>
      </c>
      <c r="AB10" s="552">
        <v>9686945</v>
      </c>
      <c r="AC10" s="552">
        <v>9689030</v>
      </c>
      <c r="AD10" s="552">
        <v>9691857</v>
      </c>
      <c r="AE10" s="552">
        <v>9695263</v>
      </c>
      <c r="AF10" s="552">
        <v>9698498</v>
      </c>
      <c r="AG10" s="529">
        <f t="shared" si="0"/>
        <v>81885</v>
      </c>
      <c r="AH10" s="552">
        <v>9616613</v>
      </c>
      <c r="AI10" s="528"/>
    </row>
    <row r="11" spans="1:37" ht="22.5" customHeight="1">
      <c r="A11" s="533" t="s">
        <v>61</v>
      </c>
      <c r="B11" s="552">
        <v>367379</v>
      </c>
      <c r="C11" s="552">
        <v>367499</v>
      </c>
      <c r="D11" s="552">
        <v>367629</v>
      </c>
      <c r="E11" s="552">
        <v>367757</v>
      </c>
      <c r="F11" s="552">
        <v>367874</v>
      </c>
      <c r="G11" s="526">
        <v>367974</v>
      </c>
      <c r="H11" s="552">
        <v>368075</v>
      </c>
      <c r="I11" s="552">
        <v>368163</v>
      </c>
      <c r="J11" s="552">
        <v>368292</v>
      </c>
      <c r="K11" s="552">
        <v>368412</v>
      </c>
      <c r="L11" s="552">
        <v>368527</v>
      </c>
      <c r="M11" s="552">
        <v>368644</v>
      </c>
      <c r="N11" s="552">
        <v>368744</v>
      </c>
      <c r="O11" s="552">
        <v>368848</v>
      </c>
      <c r="P11" s="552">
        <v>368951</v>
      </c>
      <c r="Q11" s="552">
        <v>369070</v>
      </c>
      <c r="R11" s="552">
        <v>369188</v>
      </c>
      <c r="S11" s="552">
        <v>369293</v>
      </c>
      <c r="T11" s="552">
        <v>369372</v>
      </c>
      <c r="U11" s="405">
        <v>369464</v>
      </c>
      <c r="V11" s="405">
        <v>369586</v>
      </c>
      <c r="W11" s="405">
        <v>369668</v>
      </c>
      <c r="X11" s="405">
        <v>369789</v>
      </c>
      <c r="Y11" s="518">
        <v>369881</v>
      </c>
      <c r="Z11" s="552">
        <v>369983</v>
      </c>
      <c r="AA11" s="552">
        <v>370122</v>
      </c>
      <c r="AB11" s="552">
        <v>370255</v>
      </c>
      <c r="AC11" s="552">
        <v>370357</v>
      </c>
      <c r="AD11" s="552">
        <v>370475</v>
      </c>
      <c r="AE11" s="552">
        <v>370619</v>
      </c>
      <c r="AF11" s="552">
        <v>370758</v>
      </c>
      <c r="AG11" s="529">
        <f t="shared" si="0"/>
        <v>3478</v>
      </c>
      <c r="AH11" s="552">
        <v>367280</v>
      </c>
      <c r="AI11" s="528"/>
    </row>
    <row r="12" spans="1:37" s="535" customFormat="1" ht="18" customHeight="1">
      <c r="A12" s="534" t="s">
        <v>62</v>
      </c>
      <c r="B12" s="552"/>
      <c r="C12" s="552"/>
      <c r="D12" s="552"/>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29">
        <f t="shared" si="0"/>
        <v>0</v>
      </c>
      <c r="AH12" s="552"/>
    </row>
    <row r="13" spans="1:37">
      <c r="A13" s="532" t="s">
        <v>63</v>
      </c>
      <c r="B13" s="547" t="s">
        <v>64</v>
      </c>
      <c r="C13" s="547" t="s">
        <v>64</v>
      </c>
      <c r="D13" s="547" t="s">
        <v>64</v>
      </c>
      <c r="E13" s="547" t="s">
        <v>64</v>
      </c>
      <c r="F13" s="547" t="s">
        <v>64</v>
      </c>
      <c r="G13" s="547" t="s">
        <v>64</v>
      </c>
      <c r="H13" s="547" t="s">
        <v>64</v>
      </c>
      <c r="I13" s="547" t="s">
        <v>64</v>
      </c>
      <c r="J13" s="547" t="s">
        <v>64</v>
      </c>
      <c r="K13" s="547" t="s">
        <v>64</v>
      </c>
      <c r="L13" s="547" t="s">
        <v>64</v>
      </c>
      <c r="M13" s="547" t="s">
        <v>64</v>
      </c>
      <c r="N13" s="547" t="s">
        <v>64</v>
      </c>
      <c r="O13" s="547" t="s">
        <v>64</v>
      </c>
      <c r="P13" s="547" t="s">
        <v>64</v>
      </c>
      <c r="Q13" s="547" t="s">
        <v>64</v>
      </c>
      <c r="R13" s="547" t="s">
        <v>64</v>
      </c>
      <c r="S13" s="547" t="s">
        <v>64</v>
      </c>
      <c r="T13" s="547" t="s">
        <v>64</v>
      </c>
      <c r="U13" s="547" t="s">
        <v>64</v>
      </c>
      <c r="V13" s="547" t="s">
        <v>64</v>
      </c>
      <c r="W13" s="547" t="s">
        <v>64</v>
      </c>
      <c r="X13" s="547" t="s">
        <v>64</v>
      </c>
      <c r="Y13" s="547" t="s">
        <v>64</v>
      </c>
      <c r="Z13" s="547" t="s">
        <v>64</v>
      </c>
      <c r="AA13" s="547" t="s">
        <v>64</v>
      </c>
      <c r="AB13" s="547" t="s">
        <v>64</v>
      </c>
      <c r="AC13" s="547" t="s">
        <v>64</v>
      </c>
      <c r="AD13" s="547" t="s">
        <v>64</v>
      </c>
      <c r="AE13" s="547" t="s">
        <v>64</v>
      </c>
      <c r="AF13" s="547" t="s">
        <v>64</v>
      </c>
      <c r="AG13" s="529"/>
      <c r="AH13" s="547" t="s">
        <v>64</v>
      </c>
    </row>
    <row r="14" spans="1:37">
      <c r="A14" s="532" t="s">
        <v>995</v>
      </c>
      <c r="B14" s="545">
        <v>55889</v>
      </c>
      <c r="C14" s="545">
        <v>55952</v>
      </c>
      <c r="D14" s="545">
        <v>55952</v>
      </c>
      <c r="E14" s="545">
        <v>56054</v>
      </c>
      <c r="F14" s="545">
        <v>56100</v>
      </c>
      <c r="G14" s="545">
        <v>56158</v>
      </c>
      <c r="H14" s="545">
        <v>56181</v>
      </c>
      <c r="I14" s="545">
        <v>56255</v>
      </c>
      <c r="J14" s="545">
        <v>56299</v>
      </c>
      <c r="K14" s="545">
        <v>56299</v>
      </c>
      <c r="L14" s="545">
        <v>56401</v>
      </c>
      <c r="M14" s="545">
        <v>56452</v>
      </c>
      <c r="N14" s="545">
        <v>56517</v>
      </c>
      <c r="O14" s="545">
        <v>56538</v>
      </c>
      <c r="P14" s="545">
        <v>56614</v>
      </c>
      <c r="Q14" s="545">
        <v>56665</v>
      </c>
      <c r="R14" s="545">
        <v>56716</v>
      </c>
      <c r="S14" s="545">
        <v>56758</v>
      </c>
      <c r="T14" s="545">
        <v>56881</v>
      </c>
      <c r="U14" s="545">
        <v>56868</v>
      </c>
      <c r="V14" s="545">
        <v>56923</v>
      </c>
      <c r="W14" s="545">
        <v>56968</v>
      </c>
      <c r="X14" s="545">
        <v>56997</v>
      </c>
      <c r="Y14" s="520">
        <v>57007</v>
      </c>
      <c r="Z14" s="545">
        <v>57121</v>
      </c>
      <c r="AA14" s="545">
        <v>57226</v>
      </c>
      <c r="AB14" s="545">
        <v>57347</v>
      </c>
      <c r="AC14" s="545">
        <v>57352</v>
      </c>
      <c r="AD14" s="545">
        <v>57426</v>
      </c>
      <c r="AE14" s="545">
        <v>57696</v>
      </c>
      <c r="AF14" s="545">
        <v>57789</v>
      </c>
      <c r="AG14" s="529">
        <f t="shared" si="0"/>
        <v>1964</v>
      </c>
      <c r="AH14" s="545">
        <v>55825</v>
      </c>
      <c r="AI14" s="543">
        <v>1964</v>
      </c>
      <c r="AJ14" s="543"/>
      <c r="AK14" s="550"/>
    </row>
    <row r="15" spans="1:37" ht="25.5">
      <c r="A15" s="532" t="s">
        <v>67</v>
      </c>
      <c r="B15" s="545">
        <v>9421</v>
      </c>
      <c r="C15" s="545">
        <v>9428</v>
      </c>
      <c r="D15" s="545">
        <v>9428</v>
      </c>
      <c r="E15" s="545">
        <v>9443</v>
      </c>
      <c r="F15" s="545">
        <v>9450</v>
      </c>
      <c r="G15" s="545">
        <v>9459</v>
      </c>
      <c r="H15" s="545">
        <v>9465</v>
      </c>
      <c r="I15" s="545">
        <v>9471</v>
      </c>
      <c r="J15" s="545">
        <v>9478</v>
      </c>
      <c r="K15" s="545">
        <v>9478</v>
      </c>
      <c r="L15" s="545">
        <v>9491</v>
      </c>
      <c r="M15" s="545">
        <v>9498</v>
      </c>
      <c r="N15" s="545">
        <v>9498</v>
      </c>
      <c r="O15" s="545">
        <v>9512</v>
      </c>
      <c r="P15" s="545">
        <v>9519</v>
      </c>
      <c r="Q15" s="545">
        <v>9525</v>
      </c>
      <c r="R15" s="545">
        <v>9531</v>
      </c>
      <c r="S15" s="545">
        <v>9538</v>
      </c>
      <c r="T15" s="545">
        <v>9544</v>
      </c>
      <c r="U15" s="545">
        <v>9549</v>
      </c>
      <c r="V15" s="545">
        <v>9553</v>
      </c>
      <c r="W15" s="545">
        <v>9556</v>
      </c>
      <c r="X15" s="545">
        <v>9566</v>
      </c>
      <c r="Y15" s="545">
        <v>9576</v>
      </c>
      <c r="Z15" s="545">
        <v>9579</v>
      </c>
      <c r="AA15" s="545">
        <v>9588</v>
      </c>
      <c r="AB15" s="545">
        <v>9596</v>
      </c>
      <c r="AC15" s="545">
        <v>9601</v>
      </c>
      <c r="AD15" s="545">
        <v>9607</v>
      </c>
      <c r="AE15" s="545">
        <v>9658</v>
      </c>
      <c r="AF15" s="545">
        <v>9663</v>
      </c>
      <c r="AG15" s="529">
        <f t="shared" si="0"/>
        <v>250</v>
      </c>
      <c r="AH15" s="545">
        <v>9413</v>
      </c>
      <c r="AI15" s="522">
        <v>250</v>
      </c>
      <c r="AJ15" s="543"/>
      <c r="AK15" s="556"/>
    </row>
    <row r="16" spans="1:37" ht="25.5">
      <c r="A16" s="532" t="s">
        <v>68</v>
      </c>
      <c r="B16" s="545">
        <v>12879</v>
      </c>
      <c r="C16" s="545">
        <v>12879</v>
      </c>
      <c r="D16" s="545">
        <v>12879</v>
      </c>
      <c r="E16" s="545">
        <v>12879</v>
      </c>
      <c r="F16" s="545">
        <v>12879</v>
      </c>
      <c r="G16" s="545">
        <v>12879</v>
      </c>
      <c r="H16" s="545">
        <v>12879</v>
      </c>
      <c r="I16" s="545">
        <v>12879</v>
      </c>
      <c r="J16" s="545">
        <v>12879</v>
      </c>
      <c r="K16" s="545">
        <v>12879</v>
      </c>
      <c r="L16" s="545">
        <v>12879</v>
      </c>
      <c r="M16" s="545">
        <v>12879</v>
      </c>
      <c r="N16" s="545">
        <v>12879</v>
      </c>
      <c r="O16" s="545">
        <v>12879</v>
      </c>
      <c r="P16" s="545">
        <v>12879</v>
      </c>
      <c r="Q16" s="545">
        <v>12879</v>
      </c>
      <c r="R16" s="545">
        <v>12879</v>
      </c>
      <c r="S16" s="545">
        <v>12879</v>
      </c>
      <c r="T16" s="545">
        <v>12879</v>
      </c>
      <c r="U16" s="545">
        <v>12879</v>
      </c>
      <c r="V16" s="545">
        <v>12879</v>
      </c>
      <c r="W16" s="545">
        <v>12879</v>
      </c>
      <c r="X16" s="545">
        <v>12879</v>
      </c>
      <c r="Y16" s="545">
        <v>12879</v>
      </c>
      <c r="Z16" s="545">
        <v>12879</v>
      </c>
      <c r="AA16" s="545">
        <v>12879</v>
      </c>
      <c r="AB16" s="545">
        <v>12879</v>
      </c>
      <c r="AC16" s="545">
        <v>12879</v>
      </c>
      <c r="AD16" s="545">
        <v>12879</v>
      </c>
      <c r="AE16" s="545">
        <v>12879</v>
      </c>
      <c r="AF16" s="545">
        <v>12879</v>
      </c>
      <c r="AG16" s="529">
        <f t="shared" si="0"/>
        <v>0</v>
      </c>
      <c r="AH16" s="545">
        <v>12879</v>
      </c>
      <c r="AI16" s="522">
        <v>0</v>
      </c>
      <c r="AJ16" s="543"/>
      <c r="AK16" s="556"/>
    </row>
    <row r="17" spans="1:37" ht="20.100000000000001" customHeight="1">
      <c r="A17" s="536"/>
      <c r="B17" s="553"/>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553"/>
      <c r="AF17" s="553"/>
      <c r="AG17" s="529">
        <f t="shared" si="0"/>
        <v>0</v>
      </c>
      <c r="AH17" s="553"/>
      <c r="AK17" s="556"/>
    </row>
    <row r="18" spans="1:37">
      <c r="A18" s="532" t="s">
        <v>69</v>
      </c>
      <c r="B18" s="554" t="s">
        <v>64</v>
      </c>
      <c r="C18" s="554" t="s">
        <v>64</v>
      </c>
      <c r="D18" s="554" t="s">
        <v>64</v>
      </c>
      <c r="E18" s="554" t="s">
        <v>64</v>
      </c>
      <c r="F18" s="554" t="s">
        <v>64</v>
      </c>
      <c r="G18" s="554" t="s">
        <v>64</v>
      </c>
      <c r="H18" s="554" t="s">
        <v>64</v>
      </c>
      <c r="I18" s="554" t="s">
        <v>64</v>
      </c>
      <c r="J18" s="554" t="s">
        <v>64</v>
      </c>
      <c r="K18" s="554" t="s">
        <v>64</v>
      </c>
      <c r="L18" s="554" t="s">
        <v>64</v>
      </c>
      <c r="M18" s="554" t="s">
        <v>64</v>
      </c>
      <c r="N18" s="554" t="s">
        <v>64</v>
      </c>
      <c r="O18" s="554" t="s">
        <v>64</v>
      </c>
      <c r="P18" s="554" t="s">
        <v>64</v>
      </c>
      <c r="Q18" s="554" t="s">
        <v>64</v>
      </c>
      <c r="R18" s="554" t="s">
        <v>64</v>
      </c>
      <c r="S18" s="554" t="s">
        <v>64</v>
      </c>
      <c r="T18" s="554" t="s">
        <v>64</v>
      </c>
      <c r="U18" s="554" t="s">
        <v>64</v>
      </c>
      <c r="V18" s="554" t="s">
        <v>64</v>
      </c>
      <c r="W18" s="554" t="s">
        <v>64</v>
      </c>
      <c r="X18" s="554" t="s">
        <v>64</v>
      </c>
      <c r="Y18" s="554" t="s">
        <v>64</v>
      </c>
      <c r="Z18" s="554" t="s">
        <v>64</v>
      </c>
      <c r="AA18" s="554" t="s">
        <v>64</v>
      </c>
      <c r="AB18" s="554" t="s">
        <v>64</v>
      </c>
      <c r="AC18" s="554" t="s">
        <v>64</v>
      </c>
      <c r="AD18" s="554" t="s">
        <v>64</v>
      </c>
      <c r="AE18" s="554" t="s">
        <v>64</v>
      </c>
      <c r="AF18" s="554" t="s">
        <v>64</v>
      </c>
      <c r="AG18" s="529"/>
      <c r="AH18" s="554" t="s">
        <v>64</v>
      </c>
      <c r="AK18" s="557"/>
    </row>
    <row r="19" spans="1:37" ht="25.5">
      <c r="A19" s="532" t="s">
        <v>70</v>
      </c>
      <c r="B19" s="546">
        <v>0</v>
      </c>
      <c r="C19" s="546">
        <v>0</v>
      </c>
      <c r="D19" s="546">
        <v>0</v>
      </c>
      <c r="E19" s="546">
        <v>0</v>
      </c>
      <c r="F19" s="546">
        <v>0</v>
      </c>
      <c r="G19" s="546">
        <v>0</v>
      </c>
      <c r="H19" s="546">
        <v>0</v>
      </c>
      <c r="I19" s="546">
        <v>0</v>
      </c>
      <c r="J19" s="546">
        <v>0</v>
      </c>
      <c r="K19" s="546">
        <v>0</v>
      </c>
      <c r="L19" s="546">
        <v>0</v>
      </c>
      <c r="M19" s="546">
        <v>0</v>
      </c>
      <c r="N19" s="546">
        <v>0</v>
      </c>
      <c r="O19" s="546">
        <v>0</v>
      </c>
      <c r="P19" s="546">
        <v>0</v>
      </c>
      <c r="Q19" s="546">
        <v>0</v>
      </c>
      <c r="R19" s="546">
        <v>0</v>
      </c>
      <c r="S19" s="546">
        <v>0</v>
      </c>
      <c r="T19" s="546">
        <v>0</v>
      </c>
      <c r="U19" s="546">
        <v>0</v>
      </c>
      <c r="V19" s="546">
        <v>0</v>
      </c>
      <c r="W19" s="546">
        <v>0</v>
      </c>
      <c r="X19" s="546">
        <v>0</v>
      </c>
      <c r="Y19" s="546">
        <v>0</v>
      </c>
      <c r="Z19" s="546">
        <v>0</v>
      </c>
      <c r="AA19" s="546">
        <v>0</v>
      </c>
      <c r="AB19" s="546">
        <v>0</v>
      </c>
      <c r="AC19" s="546">
        <v>0</v>
      </c>
      <c r="AD19" s="546">
        <v>0</v>
      </c>
      <c r="AE19" s="546">
        <v>0</v>
      </c>
      <c r="AF19" s="546">
        <v>0</v>
      </c>
      <c r="AG19" s="529">
        <f t="shared" si="0"/>
        <v>0</v>
      </c>
      <c r="AH19" s="546">
        <v>0</v>
      </c>
      <c r="AI19" s="540">
        <v>0</v>
      </c>
      <c r="AJ19" s="540"/>
      <c r="AK19" s="550"/>
    </row>
    <row r="20" spans="1:37" ht="25.5">
      <c r="A20" s="532" t="s">
        <v>2715</v>
      </c>
      <c r="B20" s="546">
        <v>2027234</v>
      </c>
      <c r="C20" s="546">
        <v>2081154</v>
      </c>
      <c r="D20" s="546">
        <v>2081154</v>
      </c>
      <c r="E20" s="546">
        <v>2118216</v>
      </c>
      <c r="F20" s="546">
        <v>2118216</v>
      </c>
      <c r="G20" s="546">
        <v>2143970</v>
      </c>
      <c r="H20" s="546">
        <v>2143970</v>
      </c>
      <c r="I20" s="546">
        <v>2143970</v>
      </c>
      <c r="J20" s="546">
        <v>2143970</v>
      </c>
      <c r="K20" s="546">
        <v>2143970</v>
      </c>
      <c r="L20" s="546">
        <v>2175685</v>
      </c>
      <c r="M20" s="546">
        <v>2175685</v>
      </c>
      <c r="N20" s="546">
        <v>2175685</v>
      </c>
      <c r="O20" s="546">
        <v>2175685</v>
      </c>
      <c r="P20" s="546">
        <v>2175685</v>
      </c>
      <c r="Q20" s="546">
        <v>2175685</v>
      </c>
      <c r="R20" s="546">
        <v>2175685</v>
      </c>
      <c r="S20" s="546">
        <v>2175685</v>
      </c>
      <c r="T20" s="546">
        <v>2175685</v>
      </c>
      <c r="U20" s="546">
        <v>2175685</v>
      </c>
      <c r="V20" s="546">
        <v>2175685</v>
      </c>
      <c r="W20" s="546">
        <v>2175685</v>
      </c>
      <c r="X20" s="546">
        <v>2175685</v>
      </c>
      <c r="Y20" s="546">
        <v>2175685</v>
      </c>
      <c r="Z20" s="546">
        <v>2175685</v>
      </c>
      <c r="AA20" s="546">
        <v>2175685</v>
      </c>
      <c r="AB20" s="546">
        <v>2175685</v>
      </c>
      <c r="AC20" s="546">
        <v>2175685</v>
      </c>
      <c r="AD20" s="546">
        <v>2175685</v>
      </c>
      <c r="AE20" s="546">
        <v>2175685</v>
      </c>
      <c r="AF20" s="546">
        <v>2175685</v>
      </c>
      <c r="AG20" s="529">
        <f t="shared" si="0"/>
        <v>148451</v>
      </c>
      <c r="AH20" s="546">
        <v>2027234</v>
      </c>
      <c r="AI20" s="522">
        <v>148451</v>
      </c>
      <c r="AJ20" s="540"/>
      <c r="AK20" s="548"/>
    </row>
    <row r="21" spans="1:37">
      <c r="A21" s="532" t="s">
        <v>72</v>
      </c>
      <c r="B21" s="545">
        <v>296301</v>
      </c>
      <c r="C21" s="545">
        <v>296414</v>
      </c>
      <c r="D21" s="545">
        <v>296414</v>
      </c>
      <c r="E21" s="545">
        <v>296558</v>
      </c>
      <c r="F21" s="545">
        <v>296616</v>
      </c>
      <c r="G21" s="545">
        <v>296671</v>
      </c>
      <c r="H21" s="545">
        <v>296671</v>
      </c>
      <c r="I21" s="545">
        <v>296798</v>
      </c>
      <c r="J21" s="545">
        <v>296853</v>
      </c>
      <c r="K21" s="545">
        <v>296853</v>
      </c>
      <c r="L21" s="545">
        <v>297060</v>
      </c>
      <c r="M21" s="545">
        <v>297102</v>
      </c>
      <c r="N21" s="545">
        <v>297274</v>
      </c>
      <c r="O21" s="545">
        <v>297274</v>
      </c>
      <c r="P21" s="545">
        <v>297387</v>
      </c>
      <c r="Q21" s="545">
        <v>297493</v>
      </c>
      <c r="R21" s="545">
        <v>297582</v>
      </c>
      <c r="S21" s="545">
        <v>297718</v>
      </c>
      <c r="T21" s="545">
        <v>297816</v>
      </c>
      <c r="U21" s="545">
        <v>297816</v>
      </c>
      <c r="V21" s="545">
        <v>297816</v>
      </c>
      <c r="W21" s="545">
        <v>297816</v>
      </c>
      <c r="X21" s="545">
        <v>297816</v>
      </c>
      <c r="Y21" s="546">
        <v>298017</v>
      </c>
      <c r="Z21" s="546">
        <v>298332</v>
      </c>
      <c r="AA21" s="545">
        <v>298479</v>
      </c>
      <c r="AB21" s="545">
        <v>298482</v>
      </c>
      <c r="AC21" s="545">
        <v>298670</v>
      </c>
      <c r="AD21" s="545">
        <v>298709</v>
      </c>
      <c r="AE21" s="545">
        <v>298981</v>
      </c>
      <c r="AF21" s="545">
        <v>299224</v>
      </c>
      <c r="AG21" s="529">
        <f t="shared" si="0"/>
        <v>3036</v>
      </c>
      <c r="AH21" s="545">
        <v>296188</v>
      </c>
      <c r="AI21" s="522">
        <v>3036</v>
      </c>
      <c r="AJ21" s="540"/>
      <c r="AK21" s="549"/>
    </row>
    <row r="22" spans="1:37">
      <c r="A22" s="532" t="s">
        <v>73</v>
      </c>
      <c r="B22" s="545">
        <v>269215</v>
      </c>
      <c r="C22" s="545">
        <v>269256</v>
      </c>
      <c r="D22" s="545">
        <v>269256</v>
      </c>
      <c r="E22" s="545">
        <v>269335</v>
      </c>
      <c r="F22" s="545">
        <v>269371</v>
      </c>
      <c r="G22" s="545">
        <v>269428</v>
      </c>
      <c r="H22" s="545">
        <v>269449</v>
      </c>
      <c r="I22" s="545">
        <v>269485</v>
      </c>
      <c r="J22" s="545">
        <v>269532</v>
      </c>
      <c r="K22" s="545">
        <v>269532</v>
      </c>
      <c r="L22" s="545">
        <v>269648</v>
      </c>
      <c r="M22" s="545">
        <v>269701</v>
      </c>
      <c r="N22" s="545">
        <v>269778</v>
      </c>
      <c r="O22" s="545">
        <v>269806</v>
      </c>
      <c r="P22" s="545">
        <v>269861</v>
      </c>
      <c r="Q22" s="545">
        <v>269914</v>
      </c>
      <c r="R22" s="545">
        <v>269973</v>
      </c>
      <c r="S22" s="545">
        <v>270031</v>
      </c>
      <c r="T22" s="545">
        <v>270082</v>
      </c>
      <c r="U22" s="545">
        <v>270082</v>
      </c>
      <c r="V22" s="545">
        <v>270082</v>
      </c>
      <c r="W22" s="545">
        <v>270082</v>
      </c>
      <c r="X22" s="545">
        <v>270346</v>
      </c>
      <c r="Y22" s="546">
        <v>270364</v>
      </c>
      <c r="Z22" s="546">
        <v>270419</v>
      </c>
      <c r="AA22" s="545">
        <v>270489</v>
      </c>
      <c r="AB22" s="545">
        <v>270585</v>
      </c>
      <c r="AC22" s="545">
        <v>270589</v>
      </c>
      <c r="AD22" s="545">
        <v>270726</v>
      </c>
      <c r="AE22" s="545">
        <v>270783</v>
      </c>
      <c r="AF22" s="545">
        <v>270836</v>
      </c>
      <c r="AG22" s="529">
        <f t="shared" si="0"/>
        <v>1662</v>
      </c>
      <c r="AH22" s="545">
        <v>269174</v>
      </c>
      <c r="AI22" s="522">
        <v>1662</v>
      </c>
      <c r="AJ22" s="540"/>
      <c r="AK22" s="549"/>
    </row>
    <row r="23" spans="1:37">
      <c r="A23" s="564" t="s">
        <v>136</v>
      </c>
      <c r="B23" s="545">
        <v>17909</v>
      </c>
      <c r="C23" s="545">
        <v>17909</v>
      </c>
      <c r="D23" s="545">
        <v>17909</v>
      </c>
      <c r="E23" s="545">
        <v>17909</v>
      </c>
      <c r="F23" s="545">
        <v>17909</v>
      </c>
      <c r="G23" s="545">
        <v>17909</v>
      </c>
      <c r="H23" s="545">
        <v>17909</v>
      </c>
      <c r="I23" s="545">
        <v>17909</v>
      </c>
      <c r="J23" s="545">
        <v>17909</v>
      </c>
      <c r="K23" s="545">
        <v>17909</v>
      </c>
      <c r="L23" s="545">
        <v>17909</v>
      </c>
      <c r="M23" s="545">
        <v>17909</v>
      </c>
      <c r="N23" s="545">
        <v>17909</v>
      </c>
      <c r="O23" s="545">
        <v>17909</v>
      </c>
      <c r="P23" s="545">
        <v>17909</v>
      </c>
      <c r="Q23" s="545">
        <v>17909</v>
      </c>
      <c r="R23" s="545">
        <v>17909</v>
      </c>
      <c r="S23" s="545">
        <v>17909</v>
      </c>
      <c r="T23" s="545">
        <v>17909</v>
      </c>
      <c r="U23" s="545">
        <v>17909</v>
      </c>
      <c r="V23" s="545">
        <v>17909</v>
      </c>
      <c r="W23" s="545">
        <v>17909</v>
      </c>
      <c r="X23" s="545">
        <v>17933</v>
      </c>
      <c r="Y23" s="546">
        <v>17937</v>
      </c>
      <c r="Z23" s="546">
        <v>17947</v>
      </c>
      <c r="AA23" s="545">
        <v>17947</v>
      </c>
      <c r="AB23" s="545">
        <v>17947</v>
      </c>
      <c r="AC23" s="545">
        <v>17947</v>
      </c>
      <c r="AD23" s="545">
        <v>17947</v>
      </c>
      <c r="AE23" s="545">
        <v>18027</v>
      </c>
      <c r="AF23" s="545">
        <v>18041</v>
      </c>
      <c r="AG23" s="529">
        <f t="shared" si="0"/>
        <v>132</v>
      </c>
      <c r="AH23" s="545">
        <v>17909</v>
      </c>
      <c r="AI23" s="522">
        <v>132</v>
      </c>
      <c r="AJ23" s="540"/>
      <c r="AK23" s="548"/>
    </row>
    <row r="24" spans="1:37">
      <c r="A24" s="564" t="s">
        <v>139</v>
      </c>
      <c r="B24" s="545">
        <v>12388</v>
      </c>
      <c r="C24" s="545">
        <v>12388</v>
      </c>
      <c r="D24" s="545">
        <v>12388</v>
      </c>
      <c r="E24" s="545">
        <v>12390</v>
      </c>
      <c r="F24" s="545">
        <v>12391</v>
      </c>
      <c r="G24" s="545">
        <v>12392</v>
      </c>
      <c r="H24" s="545">
        <v>12392</v>
      </c>
      <c r="I24" s="545">
        <v>12392</v>
      </c>
      <c r="J24" s="545">
        <v>12392</v>
      </c>
      <c r="K24" s="545">
        <v>12392</v>
      </c>
      <c r="L24" s="545">
        <v>12394</v>
      </c>
      <c r="M24" s="545">
        <v>12395</v>
      </c>
      <c r="N24" s="545">
        <v>12396</v>
      </c>
      <c r="O24" s="545">
        <v>12396</v>
      </c>
      <c r="P24" s="545">
        <v>12397</v>
      </c>
      <c r="Q24" s="545">
        <v>12397</v>
      </c>
      <c r="R24" s="545">
        <v>12398</v>
      </c>
      <c r="S24" s="545">
        <v>12398</v>
      </c>
      <c r="T24" s="545">
        <v>12398</v>
      </c>
      <c r="U24" s="545">
        <v>12398</v>
      </c>
      <c r="V24" s="545">
        <v>12398</v>
      </c>
      <c r="W24" s="545">
        <v>12398</v>
      </c>
      <c r="X24" s="545">
        <v>12404</v>
      </c>
      <c r="Y24" s="546">
        <v>12409</v>
      </c>
      <c r="Z24" s="546">
        <v>12412</v>
      </c>
      <c r="AA24" s="545">
        <v>12418</v>
      </c>
      <c r="AB24" s="545">
        <v>12425</v>
      </c>
      <c r="AC24" s="545">
        <v>12425</v>
      </c>
      <c r="AD24" s="545">
        <v>12428</v>
      </c>
      <c r="AE24" s="545">
        <v>12449</v>
      </c>
      <c r="AF24" s="545">
        <v>12446</v>
      </c>
      <c r="AG24" s="529">
        <f t="shared" si="0"/>
        <v>58</v>
      </c>
      <c r="AH24" s="545">
        <v>12388</v>
      </c>
      <c r="AI24" s="522">
        <v>58</v>
      </c>
      <c r="AJ24" s="540"/>
      <c r="AK24" s="548"/>
    </row>
    <row r="25" spans="1:37">
      <c r="A25" s="564" t="s">
        <v>142</v>
      </c>
      <c r="B25" s="545">
        <v>5068</v>
      </c>
      <c r="C25" s="545">
        <v>5068</v>
      </c>
      <c r="D25" s="545">
        <v>5068</v>
      </c>
      <c r="E25" s="545">
        <v>5068</v>
      </c>
      <c r="F25" s="545">
        <v>5068</v>
      </c>
      <c r="G25" s="545">
        <v>5068</v>
      </c>
      <c r="H25" s="545">
        <v>5068</v>
      </c>
      <c r="I25" s="545">
        <v>5069</v>
      </c>
      <c r="J25" s="545">
        <v>5069</v>
      </c>
      <c r="K25" s="545">
        <v>5069</v>
      </c>
      <c r="L25" s="545">
        <v>5069</v>
      </c>
      <c r="M25" s="545">
        <v>5069</v>
      </c>
      <c r="N25" s="545">
        <v>5070</v>
      </c>
      <c r="O25" s="545">
        <v>5070</v>
      </c>
      <c r="P25" s="545">
        <v>5070</v>
      </c>
      <c r="Q25" s="545">
        <v>5070</v>
      </c>
      <c r="R25" s="545">
        <v>5070</v>
      </c>
      <c r="S25" s="545">
        <v>5070</v>
      </c>
      <c r="T25" s="545">
        <v>5070</v>
      </c>
      <c r="U25" s="545">
        <v>5070</v>
      </c>
      <c r="V25" s="545">
        <v>5070</v>
      </c>
      <c r="W25" s="545">
        <v>5070</v>
      </c>
      <c r="X25" s="545">
        <v>5077</v>
      </c>
      <c r="Y25" s="546">
        <v>5079</v>
      </c>
      <c r="Z25" s="546">
        <v>5080</v>
      </c>
      <c r="AA25" s="545">
        <v>5084</v>
      </c>
      <c r="AB25" s="545">
        <v>5087</v>
      </c>
      <c r="AC25" s="545">
        <v>5088</v>
      </c>
      <c r="AD25" s="545">
        <v>5088</v>
      </c>
      <c r="AE25" s="545">
        <v>5093</v>
      </c>
      <c r="AF25" s="545">
        <v>5097</v>
      </c>
      <c r="AG25" s="529">
        <f t="shared" si="0"/>
        <v>29</v>
      </c>
      <c r="AH25" s="545">
        <v>5068</v>
      </c>
      <c r="AI25" s="522">
        <v>29</v>
      </c>
      <c r="AJ25" s="540"/>
      <c r="AK25" s="548"/>
    </row>
    <row r="26" spans="1:37">
      <c r="A26" s="564" t="s">
        <v>145</v>
      </c>
      <c r="B26" s="545">
        <v>3185</v>
      </c>
      <c r="C26" s="545">
        <v>3185</v>
      </c>
      <c r="D26" s="545">
        <v>3185</v>
      </c>
      <c r="E26" s="545">
        <v>3185</v>
      </c>
      <c r="F26" s="545">
        <v>3185</v>
      </c>
      <c r="G26" s="545">
        <v>3186</v>
      </c>
      <c r="H26" s="545">
        <v>3186</v>
      </c>
      <c r="I26" s="545">
        <v>3186</v>
      </c>
      <c r="J26" s="545">
        <v>3186</v>
      </c>
      <c r="K26" s="545">
        <v>3186</v>
      </c>
      <c r="L26" s="545">
        <v>3187</v>
      </c>
      <c r="M26" s="545">
        <v>3187</v>
      </c>
      <c r="N26" s="545">
        <v>3187</v>
      </c>
      <c r="O26" s="545">
        <v>3187</v>
      </c>
      <c r="P26" s="545">
        <v>3188</v>
      </c>
      <c r="Q26" s="545">
        <v>3188</v>
      </c>
      <c r="R26" s="545">
        <v>3188</v>
      </c>
      <c r="S26" s="545">
        <v>3189</v>
      </c>
      <c r="T26" s="545">
        <v>3189</v>
      </c>
      <c r="U26" s="545">
        <v>3189</v>
      </c>
      <c r="V26" s="545">
        <v>3189</v>
      </c>
      <c r="W26" s="545">
        <v>3189</v>
      </c>
      <c r="X26" s="545">
        <v>3189</v>
      </c>
      <c r="Y26" s="546">
        <v>3193</v>
      </c>
      <c r="Z26" s="546">
        <v>3195</v>
      </c>
      <c r="AA26" s="545">
        <v>3197</v>
      </c>
      <c r="AB26" s="545">
        <v>3201</v>
      </c>
      <c r="AC26" s="545">
        <v>3203</v>
      </c>
      <c r="AD26" s="545">
        <v>3206</v>
      </c>
      <c r="AE26" s="545">
        <v>3212</v>
      </c>
      <c r="AF26" s="545">
        <v>3216</v>
      </c>
      <c r="AG26" s="529">
        <f t="shared" si="0"/>
        <v>31</v>
      </c>
      <c r="AH26" s="545">
        <v>3185</v>
      </c>
      <c r="AI26" s="522">
        <v>31</v>
      </c>
      <c r="AJ26" s="540"/>
      <c r="AK26" s="548"/>
    </row>
    <row r="27" spans="1:37">
      <c r="A27" s="564" t="s">
        <v>148</v>
      </c>
      <c r="B27" s="545">
        <v>18767</v>
      </c>
      <c r="C27" s="545">
        <v>18768</v>
      </c>
      <c r="D27" s="545">
        <v>18768</v>
      </c>
      <c r="E27" s="545">
        <v>18770</v>
      </c>
      <c r="F27" s="545">
        <v>18771</v>
      </c>
      <c r="G27" s="545">
        <v>18772</v>
      </c>
      <c r="H27" s="545">
        <v>18773</v>
      </c>
      <c r="I27" s="545">
        <v>18775</v>
      </c>
      <c r="J27" s="545">
        <v>18776</v>
      </c>
      <c r="K27" s="545">
        <v>18776</v>
      </c>
      <c r="L27" s="545">
        <v>18778</v>
      </c>
      <c r="M27" s="545">
        <v>18780</v>
      </c>
      <c r="N27" s="545">
        <v>18781</v>
      </c>
      <c r="O27" s="545">
        <v>18782</v>
      </c>
      <c r="P27" s="545">
        <v>18784</v>
      </c>
      <c r="Q27" s="545">
        <v>18785</v>
      </c>
      <c r="R27" s="545">
        <v>18787</v>
      </c>
      <c r="S27" s="545">
        <v>18787</v>
      </c>
      <c r="T27" s="545">
        <v>18787</v>
      </c>
      <c r="U27" s="545">
        <v>18787</v>
      </c>
      <c r="V27" s="545">
        <v>18787</v>
      </c>
      <c r="W27" s="545">
        <v>18787</v>
      </c>
      <c r="X27" s="545">
        <v>18800</v>
      </c>
      <c r="Y27" s="546">
        <v>18809</v>
      </c>
      <c r="Z27" s="546">
        <v>18815</v>
      </c>
      <c r="AA27" s="545">
        <v>18827</v>
      </c>
      <c r="AB27" s="545">
        <v>18839</v>
      </c>
      <c r="AC27" s="545">
        <v>18839</v>
      </c>
      <c r="AD27" s="545">
        <v>18857</v>
      </c>
      <c r="AE27" s="545">
        <v>18872</v>
      </c>
      <c r="AF27" s="545">
        <v>18885</v>
      </c>
      <c r="AG27" s="529">
        <f t="shared" si="0"/>
        <v>121</v>
      </c>
      <c r="AH27" s="545">
        <v>18764</v>
      </c>
      <c r="AI27" s="522">
        <v>121</v>
      </c>
      <c r="AJ27" s="540"/>
      <c r="AK27" s="548"/>
    </row>
    <row r="28" spans="1:37">
      <c r="A28" s="564" t="s">
        <v>151</v>
      </c>
      <c r="B28" s="555">
        <v>1330</v>
      </c>
      <c r="C28" s="555">
        <v>1330</v>
      </c>
      <c r="D28" s="555">
        <v>1330</v>
      </c>
      <c r="E28" s="555">
        <v>1330</v>
      </c>
      <c r="F28" s="555">
        <v>1330</v>
      </c>
      <c r="G28" s="555">
        <v>1330</v>
      </c>
      <c r="H28" s="555">
        <v>1330</v>
      </c>
      <c r="I28" s="555">
        <v>1330</v>
      </c>
      <c r="J28" s="555">
        <v>1330</v>
      </c>
      <c r="K28" s="555">
        <v>1330</v>
      </c>
      <c r="L28" s="555">
        <v>1330</v>
      </c>
      <c r="M28" s="555">
        <v>1330</v>
      </c>
      <c r="N28" s="555">
        <v>1330</v>
      </c>
      <c r="O28" s="555">
        <v>1330</v>
      </c>
      <c r="P28" s="555">
        <v>1330</v>
      </c>
      <c r="Q28" s="555">
        <v>1330</v>
      </c>
      <c r="R28" s="555">
        <v>1330</v>
      </c>
      <c r="S28" s="555">
        <v>1330</v>
      </c>
      <c r="T28" s="555">
        <v>1330</v>
      </c>
      <c r="U28" s="555">
        <v>1330</v>
      </c>
      <c r="V28" s="555">
        <v>1330</v>
      </c>
      <c r="W28" s="555">
        <v>1330</v>
      </c>
      <c r="X28" s="555">
        <v>1330</v>
      </c>
      <c r="Y28" s="546">
        <v>1330</v>
      </c>
      <c r="Z28" s="546">
        <v>1330</v>
      </c>
      <c r="AA28" s="555">
        <v>1330</v>
      </c>
      <c r="AB28" s="555">
        <v>1330</v>
      </c>
      <c r="AC28" s="555">
        <v>1330</v>
      </c>
      <c r="AD28" s="555">
        <v>1330</v>
      </c>
      <c r="AE28" s="555">
        <v>1330</v>
      </c>
      <c r="AF28" s="555">
        <v>1330</v>
      </c>
      <c r="AG28" s="529">
        <f t="shared" si="0"/>
        <v>0</v>
      </c>
      <c r="AH28" s="555">
        <v>1330</v>
      </c>
      <c r="AI28" s="522">
        <v>0</v>
      </c>
      <c r="AJ28" s="540"/>
      <c r="AK28" s="548"/>
    </row>
    <row r="29" spans="1:37">
      <c r="A29" s="564" t="s">
        <v>154</v>
      </c>
      <c r="B29" s="555">
        <v>1498</v>
      </c>
      <c r="C29" s="555">
        <v>1499</v>
      </c>
      <c r="D29" s="555">
        <v>1499</v>
      </c>
      <c r="E29" s="555">
        <v>1499</v>
      </c>
      <c r="F29" s="555">
        <v>1499</v>
      </c>
      <c r="G29" s="555">
        <v>1503</v>
      </c>
      <c r="H29" s="555">
        <v>1503</v>
      </c>
      <c r="I29" s="555">
        <v>1504</v>
      </c>
      <c r="J29" s="555">
        <v>1505</v>
      </c>
      <c r="K29" s="555">
        <v>1505</v>
      </c>
      <c r="L29" s="555">
        <v>1507</v>
      </c>
      <c r="M29" s="555">
        <v>1508</v>
      </c>
      <c r="N29" s="555">
        <v>1508</v>
      </c>
      <c r="O29" s="555">
        <v>1509</v>
      </c>
      <c r="P29" s="555">
        <v>1510</v>
      </c>
      <c r="Q29" s="555">
        <v>1510</v>
      </c>
      <c r="R29" s="555">
        <v>1511</v>
      </c>
      <c r="S29" s="555">
        <v>1512</v>
      </c>
      <c r="T29" s="555">
        <v>1513</v>
      </c>
      <c r="U29" s="555">
        <v>1513</v>
      </c>
      <c r="V29" s="555">
        <v>1513</v>
      </c>
      <c r="W29" s="555">
        <v>1513</v>
      </c>
      <c r="X29" s="555">
        <v>1515</v>
      </c>
      <c r="Y29" s="546">
        <v>1516</v>
      </c>
      <c r="Z29" s="546">
        <v>1516</v>
      </c>
      <c r="AA29" s="555">
        <v>1517</v>
      </c>
      <c r="AB29" s="555">
        <v>1518</v>
      </c>
      <c r="AC29" s="555">
        <v>1518</v>
      </c>
      <c r="AD29" s="555">
        <v>1519</v>
      </c>
      <c r="AE29" s="555">
        <v>1520</v>
      </c>
      <c r="AF29" s="555">
        <v>1521</v>
      </c>
      <c r="AG29" s="529">
        <f t="shared" si="0"/>
        <v>24</v>
      </c>
      <c r="AH29" s="555">
        <v>1497</v>
      </c>
      <c r="AI29" s="522">
        <v>24</v>
      </c>
      <c r="AJ29" s="540"/>
      <c r="AK29" s="548"/>
    </row>
    <row r="30" spans="1:37">
      <c r="A30" s="536"/>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c r="AA30" s="544"/>
      <c r="AB30" s="544"/>
      <c r="AC30" s="544"/>
      <c r="AD30" s="544"/>
      <c r="AE30" s="544"/>
      <c r="AF30" s="544"/>
      <c r="AG30" s="529"/>
      <c r="AH30" s="544"/>
      <c r="AK30" s="548"/>
    </row>
    <row r="31" spans="1:37">
      <c r="A31" s="532" t="s">
        <v>74</v>
      </c>
      <c r="B31" s="547" t="s">
        <v>75</v>
      </c>
      <c r="C31" s="547" t="s">
        <v>75</v>
      </c>
      <c r="D31" s="547" t="s">
        <v>75</v>
      </c>
      <c r="E31" s="547" t="s">
        <v>75</v>
      </c>
      <c r="F31" s="547" t="s">
        <v>75</v>
      </c>
      <c r="G31" s="547" t="s">
        <v>75</v>
      </c>
      <c r="H31" s="547" t="s">
        <v>75</v>
      </c>
      <c r="I31" s="547" t="s">
        <v>75</v>
      </c>
      <c r="J31" s="547" t="s">
        <v>75</v>
      </c>
      <c r="K31" s="547" t="s">
        <v>75</v>
      </c>
      <c r="L31" s="547" t="s">
        <v>75</v>
      </c>
      <c r="M31" s="547" t="s">
        <v>75</v>
      </c>
      <c r="N31" s="547" t="s">
        <v>75</v>
      </c>
      <c r="O31" s="547" t="s">
        <v>75</v>
      </c>
      <c r="P31" s="547" t="s">
        <v>75</v>
      </c>
      <c r="Q31" s="547" t="s">
        <v>75</v>
      </c>
      <c r="R31" s="547" t="s">
        <v>75</v>
      </c>
      <c r="S31" s="547" t="s">
        <v>75</v>
      </c>
      <c r="T31" s="547" t="s">
        <v>75</v>
      </c>
      <c r="U31" s="547" t="s">
        <v>75</v>
      </c>
      <c r="V31" s="547" t="s">
        <v>75</v>
      </c>
      <c r="W31" s="547" t="s">
        <v>75</v>
      </c>
      <c r="X31" s="547" t="s">
        <v>75</v>
      </c>
      <c r="Y31" s="547" t="s">
        <v>75</v>
      </c>
      <c r="Z31" s="547" t="s">
        <v>75</v>
      </c>
      <c r="AA31" s="547" t="s">
        <v>75</v>
      </c>
      <c r="AB31" s="547" t="s">
        <v>75</v>
      </c>
      <c r="AC31" s="547" t="s">
        <v>75</v>
      </c>
      <c r="AD31" s="547" t="s">
        <v>75</v>
      </c>
      <c r="AE31" s="547" t="s">
        <v>75</v>
      </c>
      <c r="AF31" s="547" t="s">
        <v>75</v>
      </c>
      <c r="AG31" s="529"/>
      <c r="AH31" s="547" t="s">
        <v>75</v>
      </c>
    </row>
    <row r="32" spans="1:37">
      <c r="A32" s="532" t="s">
        <v>77</v>
      </c>
      <c r="B32" s="555">
        <v>45350</v>
      </c>
      <c r="C32" s="555">
        <v>45350</v>
      </c>
      <c r="D32" s="555">
        <v>45350</v>
      </c>
      <c r="E32" s="555">
        <v>45350</v>
      </c>
      <c r="F32" s="555">
        <v>45350</v>
      </c>
      <c r="G32" s="555">
        <v>45350</v>
      </c>
      <c r="H32" s="555">
        <v>45350</v>
      </c>
      <c r="I32" s="555">
        <v>45350</v>
      </c>
      <c r="J32" s="555">
        <v>45350</v>
      </c>
      <c r="K32" s="555">
        <v>45350</v>
      </c>
      <c r="L32" s="555">
        <v>45350</v>
      </c>
      <c r="M32" s="555">
        <v>45350</v>
      </c>
      <c r="N32" s="555">
        <v>45350</v>
      </c>
      <c r="O32" s="555">
        <v>45350</v>
      </c>
      <c r="P32" s="555">
        <v>45350</v>
      </c>
      <c r="Q32" s="555">
        <v>45350</v>
      </c>
      <c r="R32" s="555">
        <v>45350</v>
      </c>
      <c r="S32" s="555">
        <v>45350</v>
      </c>
      <c r="T32" s="555">
        <v>45350</v>
      </c>
      <c r="U32" s="555">
        <v>45350</v>
      </c>
      <c r="V32" s="555">
        <v>45350</v>
      </c>
      <c r="W32" s="555">
        <v>45350</v>
      </c>
      <c r="X32" s="555">
        <v>45350</v>
      </c>
      <c r="Y32" s="555">
        <v>45350</v>
      </c>
      <c r="Z32" s="555">
        <v>45350</v>
      </c>
      <c r="AA32" s="555">
        <v>45350</v>
      </c>
      <c r="AB32" s="555">
        <v>45350</v>
      </c>
      <c r="AC32" s="555">
        <v>45350</v>
      </c>
      <c r="AD32" s="555">
        <v>45350</v>
      </c>
      <c r="AE32" s="555">
        <v>45350</v>
      </c>
      <c r="AF32" s="555">
        <v>45350</v>
      </c>
      <c r="AG32" s="529">
        <f t="shared" si="0"/>
        <v>0</v>
      </c>
      <c r="AH32" s="555">
        <v>45350</v>
      </c>
    </row>
    <row r="33" spans="1:35" ht="25.5">
      <c r="A33" s="532" t="s">
        <v>80</v>
      </c>
      <c r="B33" s="555">
        <v>45350</v>
      </c>
      <c r="C33" s="555">
        <v>45350</v>
      </c>
      <c r="D33" s="555">
        <v>45350</v>
      </c>
      <c r="E33" s="555">
        <v>45350</v>
      </c>
      <c r="F33" s="555">
        <v>45350</v>
      </c>
      <c r="G33" s="555">
        <v>45350</v>
      </c>
      <c r="H33" s="555">
        <v>45350</v>
      </c>
      <c r="I33" s="555">
        <v>45350</v>
      </c>
      <c r="J33" s="555">
        <v>45350</v>
      </c>
      <c r="K33" s="555">
        <v>45350</v>
      </c>
      <c r="L33" s="555">
        <v>45350</v>
      </c>
      <c r="M33" s="555">
        <v>45350</v>
      </c>
      <c r="N33" s="555">
        <v>45350</v>
      </c>
      <c r="O33" s="555">
        <v>45350</v>
      </c>
      <c r="P33" s="555">
        <v>45350</v>
      </c>
      <c r="Q33" s="555">
        <v>45350</v>
      </c>
      <c r="R33" s="555">
        <v>45350</v>
      </c>
      <c r="S33" s="555">
        <v>45350</v>
      </c>
      <c r="T33" s="555">
        <v>45350</v>
      </c>
      <c r="U33" s="555">
        <v>45350</v>
      </c>
      <c r="V33" s="555">
        <v>45350</v>
      </c>
      <c r="W33" s="555">
        <v>45350</v>
      </c>
      <c r="X33" s="555">
        <v>45350</v>
      </c>
      <c r="Y33" s="555">
        <v>45350</v>
      </c>
      <c r="Z33" s="555">
        <v>45350</v>
      </c>
      <c r="AA33" s="555">
        <v>45350</v>
      </c>
      <c r="AB33" s="555">
        <v>45350</v>
      </c>
      <c r="AC33" s="555">
        <v>45350</v>
      </c>
      <c r="AD33" s="555">
        <v>45350</v>
      </c>
      <c r="AE33" s="555">
        <v>45350</v>
      </c>
      <c r="AF33" s="555">
        <v>45350</v>
      </c>
      <c r="AG33" s="529">
        <f t="shared" si="0"/>
        <v>0</v>
      </c>
      <c r="AH33" s="555">
        <v>45350</v>
      </c>
    </row>
    <row r="34" spans="1:35" ht="15.75" thickBot="1">
      <c r="A34" s="537" t="s">
        <v>81</v>
      </c>
      <c r="B34" s="558">
        <v>1500</v>
      </c>
      <c r="C34" s="558">
        <v>1500</v>
      </c>
      <c r="D34" s="558">
        <v>1500</v>
      </c>
      <c r="E34" s="558">
        <v>1501</v>
      </c>
      <c r="F34" s="558">
        <v>1502</v>
      </c>
      <c r="G34" s="558">
        <v>1500</v>
      </c>
      <c r="H34" s="558">
        <v>1500</v>
      </c>
      <c r="I34" s="558">
        <v>1500</v>
      </c>
      <c r="J34" s="558">
        <v>1500</v>
      </c>
      <c r="K34" s="558">
        <v>1500</v>
      </c>
      <c r="L34" s="558">
        <v>1500</v>
      </c>
      <c r="M34" s="558">
        <v>1500</v>
      </c>
      <c r="N34" s="558">
        <v>1500</v>
      </c>
      <c r="O34" s="558">
        <v>1500</v>
      </c>
      <c r="P34" s="558">
        <v>1500</v>
      </c>
      <c r="Q34" s="558">
        <v>1500</v>
      </c>
      <c r="R34" s="558">
        <v>1500</v>
      </c>
      <c r="S34" s="558">
        <v>1500</v>
      </c>
      <c r="T34" s="558">
        <v>1500</v>
      </c>
      <c r="U34" s="558">
        <v>1500</v>
      </c>
      <c r="V34" s="558">
        <v>1500</v>
      </c>
      <c r="W34" s="558">
        <v>1500</v>
      </c>
      <c r="X34" s="558">
        <v>1500</v>
      </c>
      <c r="Y34" s="558">
        <v>1500</v>
      </c>
      <c r="Z34" s="558">
        <v>1500</v>
      </c>
      <c r="AA34" s="558">
        <v>1500</v>
      </c>
      <c r="AB34" s="558">
        <v>1500</v>
      </c>
      <c r="AC34" s="558">
        <v>1500</v>
      </c>
      <c r="AD34" s="558">
        <v>1500</v>
      </c>
      <c r="AE34" s="558">
        <v>1500</v>
      </c>
      <c r="AF34" s="558">
        <v>1500</v>
      </c>
      <c r="AG34" s="529">
        <f t="shared" si="0"/>
        <v>0</v>
      </c>
      <c r="AH34" s="558">
        <v>1500</v>
      </c>
    </row>
    <row r="35" spans="1:35">
      <c r="A35" s="562"/>
      <c r="B35" s="559"/>
      <c r="C35" s="559"/>
      <c r="D35" s="559"/>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559"/>
      <c r="AE35" s="559"/>
      <c r="AF35" s="559"/>
      <c r="AG35" s="529">
        <f t="shared" si="0"/>
        <v>0</v>
      </c>
      <c r="AH35" s="559"/>
    </row>
    <row r="36" spans="1:35">
      <c r="A36" s="563" t="s">
        <v>2817</v>
      </c>
      <c r="B36" s="547" t="s">
        <v>64</v>
      </c>
      <c r="C36" s="547" t="s">
        <v>64</v>
      </c>
      <c r="D36" s="547" t="s">
        <v>64</v>
      </c>
      <c r="E36" s="547" t="s">
        <v>64</v>
      </c>
      <c r="F36" s="547" t="s">
        <v>64</v>
      </c>
      <c r="G36" s="547" t="s">
        <v>64</v>
      </c>
      <c r="H36" s="547" t="s">
        <v>64</v>
      </c>
      <c r="I36" s="547" t="s">
        <v>64</v>
      </c>
      <c r="J36" s="547" t="s">
        <v>64</v>
      </c>
      <c r="K36" s="547" t="s">
        <v>64</v>
      </c>
      <c r="L36" s="547" t="s">
        <v>64</v>
      </c>
      <c r="M36" s="547" t="s">
        <v>64</v>
      </c>
      <c r="N36" s="547" t="s">
        <v>64</v>
      </c>
      <c r="O36" s="547" t="s">
        <v>64</v>
      </c>
      <c r="P36" s="547" t="s">
        <v>64</v>
      </c>
      <c r="Q36" s="547" t="s">
        <v>64</v>
      </c>
      <c r="R36" s="547" t="s">
        <v>64</v>
      </c>
      <c r="S36" s="547" t="s">
        <v>64</v>
      </c>
      <c r="T36" s="547" t="s">
        <v>64</v>
      </c>
      <c r="U36" s="547" t="s">
        <v>64</v>
      </c>
      <c r="V36" s="547" t="s">
        <v>64</v>
      </c>
      <c r="W36" s="547" t="s">
        <v>64</v>
      </c>
      <c r="X36" s="547" t="s">
        <v>64</v>
      </c>
      <c r="Y36" s="547" t="s">
        <v>64</v>
      </c>
      <c r="Z36" s="547" t="s">
        <v>64</v>
      </c>
      <c r="AA36" s="547" t="s">
        <v>64</v>
      </c>
      <c r="AB36" s="547" t="s">
        <v>64</v>
      </c>
      <c r="AC36" s="547" t="s">
        <v>64</v>
      </c>
      <c r="AD36" s="547" t="s">
        <v>64</v>
      </c>
      <c r="AE36" s="547" t="s">
        <v>64</v>
      </c>
      <c r="AF36" s="547" t="s">
        <v>64</v>
      </c>
      <c r="AG36" s="529"/>
      <c r="AH36" s="547" t="s">
        <v>64</v>
      </c>
    </row>
    <row r="37" spans="1:35">
      <c r="A37" s="565" t="s">
        <v>2818</v>
      </c>
      <c r="B37" s="519">
        <v>156043</v>
      </c>
      <c r="C37" s="519">
        <v>156918</v>
      </c>
      <c r="D37" s="519">
        <v>157968</v>
      </c>
      <c r="E37" s="519">
        <v>158998</v>
      </c>
      <c r="F37" s="519">
        <v>160011</v>
      </c>
      <c r="G37" s="519">
        <v>161346</v>
      </c>
      <c r="H37" s="519">
        <v>162024</v>
      </c>
      <c r="I37" s="519">
        <v>162961</v>
      </c>
      <c r="J37" s="519">
        <v>164012</v>
      </c>
      <c r="K37" s="519">
        <v>165399</v>
      </c>
      <c r="L37" s="519">
        <v>166705</v>
      </c>
      <c r="M37" s="519">
        <v>167994</v>
      </c>
      <c r="N37" s="555">
        <v>169384</v>
      </c>
      <c r="O37" s="519">
        <v>170441</v>
      </c>
      <c r="P37" s="555">
        <v>171613</v>
      </c>
      <c r="Q37" s="555">
        <v>172843</v>
      </c>
      <c r="R37" s="555">
        <v>173948</v>
      </c>
      <c r="S37" s="555">
        <v>175291</v>
      </c>
      <c r="T37" s="555">
        <v>176606</v>
      </c>
      <c r="U37" s="555">
        <v>176606</v>
      </c>
      <c r="V37" s="555">
        <v>176606</v>
      </c>
      <c r="W37" s="555">
        <v>176606</v>
      </c>
      <c r="X37" s="555">
        <v>182820</v>
      </c>
      <c r="Y37" s="555">
        <v>184360</v>
      </c>
      <c r="Z37" s="555">
        <v>185788</v>
      </c>
      <c r="AA37" s="555">
        <v>187224</v>
      </c>
      <c r="AB37" s="555">
        <v>188875</v>
      </c>
      <c r="AC37" s="555">
        <v>190541</v>
      </c>
      <c r="AD37" s="555">
        <v>191805</v>
      </c>
      <c r="AE37" s="555">
        <v>193270</v>
      </c>
      <c r="AF37" s="555">
        <v>194666</v>
      </c>
      <c r="AG37" s="529">
        <f t="shared" si="0"/>
        <v>39769</v>
      </c>
      <c r="AH37" s="519">
        <v>154897</v>
      </c>
      <c r="AI37" s="522">
        <v>39769</v>
      </c>
    </row>
    <row r="38" spans="1:35">
      <c r="A38" s="565" t="s">
        <v>2819</v>
      </c>
      <c r="B38" s="560">
        <v>458877</v>
      </c>
      <c r="C38" s="560">
        <v>462761</v>
      </c>
      <c r="D38" s="560">
        <v>466682</v>
      </c>
      <c r="E38" s="560">
        <v>470590</v>
      </c>
      <c r="F38" s="560">
        <v>474523</v>
      </c>
      <c r="G38" s="560">
        <v>479885</v>
      </c>
      <c r="H38" s="560">
        <v>482760</v>
      </c>
      <c r="I38" s="560">
        <v>486545</v>
      </c>
      <c r="J38" s="560">
        <v>490560</v>
      </c>
      <c r="K38" s="560">
        <v>494841</v>
      </c>
      <c r="L38" s="560">
        <v>499022</v>
      </c>
      <c r="M38" s="560">
        <v>503112</v>
      </c>
      <c r="N38" s="555">
        <v>507634</v>
      </c>
      <c r="O38" s="560">
        <v>511322</v>
      </c>
      <c r="P38" s="560">
        <v>515482</v>
      </c>
      <c r="Q38" s="560">
        <v>519650</v>
      </c>
      <c r="R38" s="560">
        <v>523769</v>
      </c>
      <c r="S38" s="560">
        <v>528156</v>
      </c>
      <c r="T38" s="560">
        <v>532360</v>
      </c>
      <c r="U38" s="560">
        <v>532360</v>
      </c>
      <c r="V38" s="560">
        <v>532360</v>
      </c>
      <c r="W38" s="560">
        <v>532360</v>
      </c>
      <c r="X38" s="560">
        <v>549587</v>
      </c>
      <c r="Y38" s="560">
        <v>553961</v>
      </c>
      <c r="Z38" s="560">
        <v>558170</v>
      </c>
      <c r="AA38" s="560">
        <v>562483</v>
      </c>
      <c r="AB38" s="560">
        <v>566837</v>
      </c>
      <c r="AC38" s="560">
        <v>571394</v>
      </c>
      <c r="AD38" s="560">
        <v>575086</v>
      </c>
      <c r="AE38" s="560">
        <v>579506</v>
      </c>
      <c r="AF38" s="560">
        <v>583770</v>
      </c>
      <c r="AG38" s="529">
        <f t="shared" si="0"/>
        <v>128884</v>
      </c>
      <c r="AH38" s="560">
        <v>454886</v>
      </c>
      <c r="AI38" s="522">
        <v>128884</v>
      </c>
    </row>
    <row r="39" spans="1:35">
      <c r="A39" s="565" t="s">
        <v>2820</v>
      </c>
      <c r="B39" s="559">
        <v>211997</v>
      </c>
      <c r="C39" s="559">
        <v>213577</v>
      </c>
      <c r="D39" s="559">
        <v>215120</v>
      </c>
      <c r="E39" s="559">
        <v>216636</v>
      </c>
      <c r="F39" s="559">
        <v>218112</v>
      </c>
      <c r="G39" s="559">
        <v>220100</v>
      </c>
      <c r="H39" s="559">
        <v>221178</v>
      </c>
      <c r="I39" s="559">
        <v>222610</v>
      </c>
      <c r="J39" s="559">
        <v>224150</v>
      </c>
      <c r="K39" s="559">
        <v>226049</v>
      </c>
      <c r="L39" s="559">
        <v>227883</v>
      </c>
      <c r="M39" s="559">
        <v>229642</v>
      </c>
      <c r="N39" s="559">
        <v>231649</v>
      </c>
      <c r="O39" s="559">
        <v>233238</v>
      </c>
      <c r="P39" s="560">
        <v>235048</v>
      </c>
      <c r="Q39" s="560">
        <v>236874</v>
      </c>
      <c r="R39" s="560">
        <v>238661</v>
      </c>
      <c r="S39" s="560">
        <v>240687</v>
      </c>
      <c r="T39" s="560">
        <v>242570</v>
      </c>
      <c r="U39" s="560">
        <v>242570</v>
      </c>
      <c r="V39" s="560">
        <v>242570</v>
      </c>
      <c r="W39" s="560">
        <v>242570</v>
      </c>
      <c r="X39" s="560">
        <v>250307</v>
      </c>
      <c r="Y39" s="560">
        <v>252312</v>
      </c>
      <c r="Z39" s="560">
        <v>254240</v>
      </c>
      <c r="AA39" s="560">
        <v>256254</v>
      </c>
      <c r="AB39" s="560">
        <v>258324</v>
      </c>
      <c r="AC39" s="560">
        <v>260373</v>
      </c>
      <c r="AD39" s="560">
        <v>262104</v>
      </c>
      <c r="AE39" s="560">
        <v>264107</v>
      </c>
      <c r="AF39" s="560">
        <v>266097</v>
      </c>
      <c r="AG39" s="529">
        <f t="shared" si="0"/>
        <v>55833</v>
      </c>
      <c r="AH39" s="559">
        <v>210264</v>
      </c>
      <c r="AI39" s="522">
        <v>55833</v>
      </c>
    </row>
    <row r="40" spans="1:35">
      <c r="A40" s="565" t="s">
        <v>2821</v>
      </c>
      <c r="B40" s="559">
        <v>0</v>
      </c>
      <c r="C40" s="559">
        <v>0</v>
      </c>
      <c r="D40" s="559">
        <v>0</v>
      </c>
      <c r="E40" s="559">
        <v>0</v>
      </c>
      <c r="F40" s="559">
        <v>0</v>
      </c>
      <c r="G40" s="559">
        <v>0</v>
      </c>
      <c r="H40" s="559">
        <v>0</v>
      </c>
      <c r="I40" s="559">
        <v>0</v>
      </c>
      <c r="J40" s="559">
        <v>0</v>
      </c>
      <c r="K40" s="559">
        <v>0</v>
      </c>
      <c r="L40" s="559">
        <v>0</v>
      </c>
      <c r="M40" s="559">
        <v>0</v>
      </c>
      <c r="N40" s="559">
        <v>0</v>
      </c>
      <c r="O40" s="559">
        <v>0</v>
      </c>
      <c r="P40" s="559">
        <v>0</v>
      </c>
      <c r="Q40" s="559">
        <v>0</v>
      </c>
      <c r="R40" s="559">
        <v>0</v>
      </c>
      <c r="S40" s="559">
        <v>0</v>
      </c>
      <c r="T40" s="559">
        <v>0</v>
      </c>
      <c r="U40" s="559">
        <v>0</v>
      </c>
      <c r="V40" s="559">
        <v>0</v>
      </c>
      <c r="W40" s="559">
        <v>0</v>
      </c>
      <c r="X40" s="559">
        <v>0</v>
      </c>
      <c r="Y40" s="559">
        <v>0</v>
      </c>
      <c r="Z40" s="559">
        <v>0</v>
      </c>
      <c r="AA40" s="559">
        <v>0</v>
      </c>
      <c r="AB40" s="559">
        <v>0</v>
      </c>
      <c r="AC40" s="559">
        <v>0</v>
      </c>
      <c r="AD40" s="559">
        <v>0</v>
      </c>
      <c r="AE40" s="559">
        <v>0</v>
      </c>
      <c r="AF40" s="559">
        <v>0</v>
      </c>
      <c r="AG40" s="529">
        <f t="shared" si="0"/>
        <v>0</v>
      </c>
      <c r="AH40" s="559">
        <v>0</v>
      </c>
      <c r="AI40" s="522">
        <v>0</v>
      </c>
    </row>
    <row r="41" spans="1:35">
      <c r="A41" s="565" t="s">
        <v>2822</v>
      </c>
      <c r="B41" s="559">
        <v>12900</v>
      </c>
      <c r="C41" s="559">
        <v>12959</v>
      </c>
      <c r="D41" s="559">
        <v>12959</v>
      </c>
      <c r="E41" s="559">
        <v>13146</v>
      </c>
      <c r="F41" s="559">
        <v>13211</v>
      </c>
      <c r="G41" s="559">
        <v>13287</v>
      </c>
      <c r="H41" s="559">
        <v>13287</v>
      </c>
      <c r="I41" s="559">
        <v>13497</v>
      </c>
      <c r="J41" s="559">
        <v>13604</v>
      </c>
      <c r="K41" s="559">
        <v>13718</v>
      </c>
      <c r="L41" s="559">
        <v>13822</v>
      </c>
      <c r="M41" s="559">
        <v>13895</v>
      </c>
      <c r="N41" s="559">
        <v>14084</v>
      </c>
      <c r="O41" s="559">
        <v>14084</v>
      </c>
      <c r="P41" s="559">
        <v>14227</v>
      </c>
      <c r="Q41" s="559">
        <v>14297</v>
      </c>
      <c r="R41" s="559">
        <v>14352</v>
      </c>
      <c r="S41" s="559">
        <v>14412</v>
      </c>
      <c r="T41" s="559">
        <v>14469</v>
      </c>
      <c r="U41" s="559">
        <v>14469</v>
      </c>
      <c r="V41" s="559">
        <v>14469</v>
      </c>
      <c r="W41" s="559">
        <v>14469</v>
      </c>
      <c r="X41" s="559">
        <v>14765</v>
      </c>
      <c r="Y41" s="559">
        <v>14801</v>
      </c>
      <c r="Z41" s="559">
        <v>14859</v>
      </c>
      <c r="AA41" s="559">
        <v>14469</v>
      </c>
      <c r="AB41" s="559">
        <v>15000</v>
      </c>
      <c r="AC41" s="559">
        <v>15035</v>
      </c>
      <c r="AD41" s="559">
        <v>15111</v>
      </c>
      <c r="AE41" s="559">
        <v>15253</v>
      </c>
      <c r="AF41" s="559">
        <v>15352</v>
      </c>
      <c r="AG41" s="529">
        <f t="shared" si="0"/>
        <v>2561</v>
      </c>
      <c r="AH41" s="559">
        <v>12791</v>
      </c>
      <c r="AI41" s="522">
        <v>2561</v>
      </c>
    </row>
    <row r="42" spans="1:35">
      <c r="A42" s="565" t="s">
        <v>2823</v>
      </c>
      <c r="B42" s="559">
        <v>6201</v>
      </c>
      <c r="C42" s="559">
        <v>6372</v>
      </c>
      <c r="D42" s="559">
        <v>6415</v>
      </c>
      <c r="E42" s="559">
        <v>6450</v>
      </c>
      <c r="F42" s="559">
        <v>6492</v>
      </c>
      <c r="G42" s="559">
        <v>6514</v>
      </c>
      <c r="H42" s="559">
        <v>6528</v>
      </c>
      <c r="I42" s="559">
        <v>6587</v>
      </c>
      <c r="J42" s="559">
        <v>6628</v>
      </c>
      <c r="K42" s="559">
        <v>6661</v>
      </c>
      <c r="L42" s="559">
        <v>6690</v>
      </c>
      <c r="M42" s="559">
        <v>6731</v>
      </c>
      <c r="N42" s="559">
        <v>6771</v>
      </c>
      <c r="O42" s="559">
        <v>6781</v>
      </c>
      <c r="P42" s="559">
        <v>6854</v>
      </c>
      <c r="Q42" s="559">
        <v>6898</v>
      </c>
      <c r="R42" s="559">
        <v>6927</v>
      </c>
      <c r="S42" s="559">
        <v>6927</v>
      </c>
      <c r="T42" s="559">
        <v>6949</v>
      </c>
      <c r="U42" s="559">
        <v>6949</v>
      </c>
      <c r="V42" s="559">
        <v>6949</v>
      </c>
      <c r="W42" s="559">
        <v>6949</v>
      </c>
      <c r="X42" s="559">
        <v>7100</v>
      </c>
      <c r="Y42" s="559">
        <v>7100</v>
      </c>
      <c r="Z42" s="559">
        <v>7100</v>
      </c>
      <c r="AA42" s="559">
        <v>7141</v>
      </c>
      <c r="AB42" s="559">
        <v>7184</v>
      </c>
      <c r="AC42" s="559">
        <v>7194</v>
      </c>
      <c r="AD42" s="559">
        <v>7199</v>
      </c>
      <c r="AE42" s="559">
        <v>7201</v>
      </c>
      <c r="AF42" s="559">
        <v>7215</v>
      </c>
      <c r="AG42" s="529">
        <f t="shared" si="0"/>
        <v>1123</v>
      </c>
      <c r="AH42" s="559">
        <v>6092</v>
      </c>
      <c r="AI42" s="522">
        <v>1123</v>
      </c>
    </row>
    <row r="43" spans="1:35" ht="15.75" thickBot="1">
      <c r="A43" s="566" t="s">
        <v>2824</v>
      </c>
      <c r="B43" s="561">
        <v>2187</v>
      </c>
      <c r="C43" s="561">
        <v>2192</v>
      </c>
      <c r="D43" s="561">
        <v>2192</v>
      </c>
      <c r="E43" s="561">
        <v>2197</v>
      </c>
      <c r="F43" s="561">
        <v>2197</v>
      </c>
      <c r="G43" s="561">
        <v>2202</v>
      </c>
      <c r="H43" s="561">
        <v>2202</v>
      </c>
      <c r="I43" s="561">
        <v>2204</v>
      </c>
      <c r="J43" s="561">
        <v>2206</v>
      </c>
      <c r="K43" s="561">
        <v>2210</v>
      </c>
      <c r="L43" s="561">
        <v>2215</v>
      </c>
      <c r="M43" s="561">
        <v>2221</v>
      </c>
      <c r="N43" s="561">
        <v>2224</v>
      </c>
      <c r="O43" s="561">
        <v>2224</v>
      </c>
      <c r="P43" s="561">
        <v>2229</v>
      </c>
      <c r="Q43" s="561">
        <v>2229</v>
      </c>
      <c r="R43" s="561">
        <v>2235</v>
      </c>
      <c r="S43" s="561">
        <v>2239</v>
      </c>
      <c r="T43" s="561">
        <v>2239</v>
      </c>
      <c r="U43" s="561">
        <v>2239</v>
      </c>
      <c r="V43" s="561">
        <v>2239</v>
      </c>
      <c r="W43" s="561">
        <v>2239</v>
      </c>
      <c r="X43" s="561">
        <v>2254</v>
      </c>
      <c r="Y43" s="561">
        <v>2259</v>
      </c>
      <c r="Z43" s="561">
        <v>2264</v>
      </c>
      <c r="AA43" s="561">
        <v>2265</v>
      </c>
      <c r="AB43" s="561">
        <v>2274</v>
      </c>
      <c r="AC43" s="561">
        <v>2274</v>
      </c>
      <c r="AD43" s="561">
        <v>2312</v>
      </c>
      <c r="AE43" s="561">
        <v>2312</v>
      </c>
      <c r="AF43" s="561">
        <v>2312</v>
      </c>
      <c r="AG43" s="529">
        <f t="shared" si="0"/>
        <v>125</v>
      </c>
      <c r="AH43" s="561">
        <v>2187</v>
      </c>
      <c r="AI43" s="522">
        <v>125</v>
      </c>
    </row>
  </sheetData>
  <mergeCells count="1">
    <mergeCell ref="A1:AH1"/>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7035-2F0D-4C23-B05B-0A8B0FD65590}">
  <dimension ref="A1:AJ43"/>
  <sheetViews>
    <sheetView workbookViewId="0">
      <selection sqref="A1:XFD1048576"/>
    </sheetView>
  </sheetViews>
  <sheetFormatPr defaultColWidth="9.140625" defaultRowHeight="15"/>
  <cols>
    <col min="1" max="1" width="39.7109375" style="522" customWidth="1"/>
    <col min="2" max="2" width="13" style="522" customWidth="1"/>
    <col min="3" max="16" width="12.85546875" style="522" customWidth="1"/>
    <col min="17" max="17" width="16" style="522" customWidth="1"/>
    <col min="18" max="21" width="12.85546875" style="522" customWidth="1"/>
    <col min="22" max="22" width="12.85546875" style="538" customWidth="1"/>
    <col min="23" max="31" width="12.85546875" style="522" customWidth="1"/>
    <col min="32" max="32" width="15.7109375" style="522" customWidth="1"/>
    <col min="33" max="33" width="12.85546875" style="522" customWidth="1"/>
    <col min="34" max="34" width="9.140625" style="522"/>
    <col min="35" max="35" width="10" style="522" bestFit="1" customWidth="1"/>
    <col min="36" max="36" width="13.85546875" style="522" customWidth="1"/>
    <col min="37" max="37" width="14.85546875" style="522" customWidth="1"/>
    <col min="38" max="16384" width="9.140625" style="522"/>
  </cols>
  <sheetData>
    <row r="1" spans="1:36"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row>
    <row r="2" spans="1:36" ht="15.75">
      <c r="A2" s="531"/>
      <c r="B2" s="530">
        <v>46113</v>
      </c>
      <c r="C2" s="530">
        <v>46114</v>
      </c>
      <c r="D2" s="530">
        <v>46115</v>
      </c>
      <c r="E2" s="530">
        <v>46116</v>
      </c>
      <c r="F2" s="530">
        <v>46117</v>
      </c>
      <c r="G2" s="530">
        <v>46118</v>
      </c>
      <c r="H2" s="530">
        <v>46119</v>
      </c>
      <c r="I2" s="530">
        <v>46120</v>
      </c>
      <c r="J2" s="530">
        <v>46121</v>
      </c>
      <c r="K2" s="530">
        <v>46122</v>
      </c>
      <c r="L2" s="530">
        <v>46123</v>
      </c>
      <c r="M2" s="530">
        <v>46124</v>
      </c>
      <c r="N2" s="530">
        <v>46125</v>
      </c>
      <c r="O2" s="530">
        <v>46126</v>
      </c>
      <c r="P2" s="530">
        <v>46127</v>
      </c>
      <c r="Q2" s="530">
        <v>46128</v>
      </c>
      <c r="R2" s="530">
        <v>46129</v>
      </c>
      <c r="S2" s="530">
        <v>46130</v>
      </c>
      <c r="T2" s="530">
        <v>46131</v>
      </c>
      <c r="U2" s="530">
        <v>46132</v>
      </c>
      <c r="V2" s="530">
        <v>46133</v>
      </c>
      <c r="W2" s="530">
        <v>46134</v>
      </c>
      <c r="X2" s="530">
        <v>46135</v>
      </c>
      <c r="Y2" s="530">
        <v>46136</v>
      </c>
      <c r="Z2" s="530">
        <v>46137</v>
      </c>
      <c r="AA2" s="530">
        <v>46138</v>
      </c>
      <c r="AB2" s="530">
        <v>46139</v>
      </c>
      <c r="AC2" s="530">
        <v>46140</v>
      </c>
      <c r="AD2" s="530">
        <v>46141</v>
      </c>
      <c r="AE2" s="530">
        <v>46142</v>
      </c>
      <c r="AF2" s="530"/>
      <c r="AG2" s="530">
        <v>46112</v>
      </c>
    </row>
    <row r="3" spans="1:36" ht="16.5">
      <c r="A3" s="532" t="s">
        <v>51</v>
      </c>
      <c r="B3" s="523" t="s">
        <v>53</v>
      </c>
      <c r="C3" s="523" t="s">
        <v>53</v>
      </c>
      <c r="D3" s="523" t="s">
        <v>53</v>
      </c>
      <c r="E3" s="523" t="s">
        <v>53</v>
      </c>
      <c r="F3" s="523" t="s">
        <v>53</v>
      </c>
      <c r="G3" s="523" t="s">
        <v>53</v>
      </c>
      <c r="H3" s="523" t="s">
        <v>53</v>
      </c>
      <c r="I3" s="523" t="s">
        <v>53</v>
      </c>
      <c r="J3" s="523" t="s">
        <v>53</v>
      </c>
      <c r="K3" s="523" t="s">
        <v>53</v>
      </c>
      <c r="L3" s="523" t="s">
        <v>53</v>
      </c>
      <c r="M3" s="527" t="s">
        <v>53</v>
      </c>
      <c r="N3" s="523" t="s">
        <v>53</v>
      </c>
      <c r="O3" s="523" t="s">
        <v>53</v>
      </c>
      <c r="P3" s="523" t="s">
        <v>53</v>
      </c>
      <c r="Q3" s="523" t="s">
        <v>53</v>
      </c>
      <c r="R3" s="523" t="s">
        <v>53</v>
      </c>
      <c r="S3" s="523" t="s">
        <v>53</v>
      </c>
      <c r="T3" s="523" t="s">
        <v>53</v>
      </c>
      <c r="U3" s="523" t="s">
        <v>53</v>
      </c>
      <c r="V3" s="523" t="s">
        <v>53</v>
      </c>
      <c r="W3" s="523" t="s">
        <v>53</v>
      </c>
      <c r="X3" s="523" t="s">
        <v>53</v>
      </c>
      <c r="Y3" s="523" t="s">
        <v>53</v>
      </c>
      <c r="Z3" s="523" t="s">
        <v>53</v>
      </c>
      <c r="AA3" s="523" t="s">
        <v>52</v>
      </c>
      <c r="AB3" s="523" t="s">
        <v>52</v>
      </c>
      <c r="AC3" s="523" t="s">
        <v>52</v>
      </c>
      <c r="AD3" s="523" t="s">
        <v>52</v>
      </c>
      <c r="AE3" s="523" t="s">
        <v>52</v>
      </c>
      <c r="AF3" s="525"/>
      <c r="AG3" s="523" t="s">
        <v>52</v>
      </c>
    </row>
    <row r="4" spans="1:36">
      <c r="A4" s="533" t="s">
        <v>54</v>
      </c>
      <c r="B4" s="552">
        <v>556247</v>
      </c>
      <c r="C4" s="552">
        <v>556472</v>
      </c>
      <c r="D4" s="552">
        <v>556693</v>
      </c>
      <c r="E4" s="552">
        <v>556904</v>
      </c>
      <c r="F4" s="552">
        <v>557123</v>
      </c>
      <c r="G4" s="552">
        <v>557351</v>
      </c>
      <c r="H4" s="552">
        <v>557582</v>
      </c>
      <c r="I4" s="552">
        <v>557816</v>
      </c>
      <c r="J4" s="552">
        <v>558045</v>
      </c>
      <c r="K4" s="552">
        <v>558270</v>
      </c>
      <c r="L4" s="552">
        <v>558486</v>
      </c>
      <c r="M4" s="552">
        <v>558706</v>
      </c>
      <c r="N4" s="552">
        <v>558940</v>
      </c>
      <c r="O4" s="552">
        <v>559176</v>
      </c>
      <c r="P4" s="552">
        <v>559406</v>
      </c>
      <c r="Q4" s="552">
        <v>559642</v>
      </c>
      <c r="R4" s="552">
        <v>559866</v>
      </c>
      <c r="S4" s="552">
        <v>560086</v>
      </c>
      <c r="T4" s="552">
        <v>560310</v>
      </c>
      <c r="U4" s="552">
        <v>560551</v>
      </c>
      <c r="V4" s="552">
        <v>560789</v>
      </c>
      <c r="W4" s="552">
        <v>561026</v>
      </c>
      <c r="X4" s="552">
        <v>561263</v>
      </c>
      <c r="Y4" s="552">
        <v>561489</v>
      </c>
      <c r="Z4" s="552">
        <v>561707</v>
      </c>
      <c r="AA4" s="552">
        <v>561937</v>
      </c>
      <c r="AB4" s="552">
        <v>562177</v>
      </c>
      <c r="AC4" s="552">
        <v>562353</v>
      </c>
      <c r="AD4" s="552">
        <v>562504</v>
      </c>
      <c r="AE4" s="552">
        <v>562656</v>
      </c>
      <c r="AF4" s="529">
        <f>AE4-AG4</f>
        <v>6635</v>
      </c>
      <c r="AG4" s="552">
        <v>556021</v>
      </c>
      <c r="AH4" s="528"/>
    </row>
    <row r="5" spans="1:36">
      <c r="A5" s="533" t="s">
        <v>55</v>
      </c>
      <c r="B5" s="552">
        <v>15615554</v>
      </c>
      <c r="C5" s="552">
        <v>15622498</v>
      </c>
      <c r="D5" s="552">
        <v>15629167</v>
      </c>
      <c r="E5" s="552">
        <v>15635306</v>
      </c>
      <c r="F5" s="552">
        <v>15641497</v>
      </c>
      <c r="G5" s="552">
        <v>15648434</v>
      </c>
      <c r="H5" s="552">
        <v>15655228</v>
      </c>
      <c r="I5" s="552">
        <v>15662129</v>
      </c>
      <c r="J5" s="552">
        <v>15668707</v>
      </c>
      <c r="K5" s="552">
        <v>15675319</v>
      </c>
      <c r="L5" s="552">
        <v>15680902</v>
      </c>
      <c r="M5" s="552">
        <v>15686799</v>
      </c>
      <c r="N5" s="552">
        <v>15693692</v>
      </c>
      <c r="O5" s="552">
        <v>15700767</v>
      </c>
      <c r="P5" s="552">
        <v>15707536</v>
      </c>
      <c r="Q5" s="552">
        <v>15714371</v>
      </c>
      <c r="R5" s="552">
        <v>15720764</v>
      </c>
      <c r="S5" s="552">
        <v>15726262</v>
      </c>
      <c r="T5" s="552">
        <v>15732152</v>
      </c>
      <c r="U5" s="552">
        <v>15739017</v>
      </c>
      <c r="V5" s="552">
        <v>15745791</v>
      </c>
      <c r="W5" s="552">
        <v>15752626</v>
      </c>
      <c r="X5" s="552">
        <v>15759538</v>
      </c>
      <c r="Y5" s="552">
        <v>15765975</v>
      </c>
      <c r="Z5" s="552">
        <v>15771448</v>
      </c>
      <c r="AA5" s="552">
        <v>15777466</v>
      </c>
      <c r="AB5" s="552">
        <v>15784301</v>
      </c>
      <c r="AC5" s="552">
        <v>15791203</v>
      </c>
      <c r="AD5" s="552">
        <v>15798135</v>
      </c>
      <c r="AE5" s="552">
        <v>15804953</v>
      </c>
      <c r="AF5" s="529">
        <f t="shared" ref="AF5:AF43" si="0">AE5-AG5</f>
        <v>196319</v>
      </c>
      <c r="AG5" s="552">
        <v>15608634</v>
      </c>
      <c r="AH5" s="528"/>
    </row>
    <row r="6" spans="1:36">
      <c r="A6" s="533" t="s">
        <v>56</v>
      </c>
      <c r="B6" s="552">
        <v>7169180</v>
      </c>
      <c r="C6" s="552">
        <v>7172204</v>
      </c>
      <c r="D6" s="552">
        <v>7175080</v>
      </c>
      <c r="E6" s="552">
        <v>7177517</v>
      </c>
      <c r="F6" s="552">
        <v>7180123</v>
      </c>
      <c r="G6" s="552">
        <v>7183105</v>
      </c>
      <c r="H6" s="552">
        <v>7186104</v>
      </c>
      <c r="I6" s="552">
        <v>7189177</v>
      </c>
      <c r="J6" s="552">
        <v>7192179</v>
      </c>
      <c r="K6" s="552">
        <v>7195043</v>
      </c>
      <c r="L6" s="552">
        <v>7197461</v>
      </c>
      <c r="M6" s="552">
        <v>7200083</v>
      </c>
      <c r="N6" s="552">
        <v>7203058</v>
      </c>
      <c r="O6" s="552">
        <v>7206073</v>
      </c>
      <c r="P6" s="552">
        <v>7209006</v>
      </c>
      <c r="Q6" s="552">
        <v>7212045</v>
      </c>
      <c r="R6" s="552">
        <v>7214878</v>
      </c>
      <c r="S6" s="552">
        <v>7217341</v>
      </c>
      <c r="T6" s="552">
        <v>7219947</v>
      </c>
      <c r="U6" s="552">
        <v>7223184</v>
      </c>
      <c r="V6" s="552">
        <v>7226290</v>
      </c>
      <c r="W6" s="552">
        <v>7229569</v>
      </c>
      <c r="X6" s="552">
        <v>7232734</v>
      </c>
      <c r="Y6" s="552">
        <v>7235691</v>
      </c>
      <c r="Z6" s="552">
        <v>7238244</v>
      </c>
      <c r="AA6" s="552">
        <v>7240764</v>
      </c>
      <c r="AB6" s="552">
        <v>7243833</v>
      </c>
      <c r="AC6" s="552">
        <v>7249044</v>
      </c>
      <c r="AD6" s="552">
        <v>7255224</v>
      </c>
      <c r="AE6" s="552">
        <v>7261323</v>
      </c>
      <c r="AF6" s="529">
        <f t="shared" si="0"/>
        <v>95173</v>
      </c>
      <c r="AG6" s="552">
        <v>7166150</v>
      </c>
      <c r="AH6" s="528"/>
    </row>
    <row r="7" spans="1:36">
      <c r="A7" s="533" t="s">
        <v>57</v>
      </c>
      <c r="B7" s="552">
        <v>2370682</v>
      </c>
      <c r="C7" s="552">
        <v>2370762</v>
      </c>
      <c r="D7" s="552">
        <v>2370841</v>
      </c>
      <c r="E7" s="552">
        <v>2370925</v>
      </c>
      <c r="F7" s="552">
        <v>2377755</v>
      </c>
      <c r="G7" s="552">
        <v>2385795</v>
      </c>
      <c r="H7" s="552">
        <v>2393404</v>
      </c>
      <c r="I7" s="552">
        <v>2401035</v>
      </c>
      <c r="J7" s="552">
        <v>2408734</v>
      </c>
      <c r="K7" s="552">
        <v>2416667</v>
      </c>
      <c r="L7" s="552">
        <v>2424525</v>
      </c>
      <c r="M7" s="552">
        <v>2432227</v>
      </c>
      <c r="N7" s="552">
        <v>2440523</v>
      </c>
      <c r="O7" s="552">
        <v>2448871</v>
      </c>
      <c r="P7" s="552">
        <v>2456829</v>
      </c>
      <c r="Q7" s="552">
        <v>2464849</v>
      </c>
      <c r="R7" s="552">
        <v>2472461</v>
      </c>
      <c r="S7" s="552">
        <v>2479952</v>
      </c>
      <c r="T7" s="552">
        <v>2480265</v>
      </c>
      <c r="U7" s="552">
        <v>2480346</v>
      </c>
      <c r="V7" s="552">
        <v>2480427</v>
      </c>
      <c r="W7" s="552">
        <v>2480641</v>
      </c>
      <c r="X7" s="552">
        <v>2480722</v>
      </c>
      <c r="Y7" s="552">
        <v>2480798</v>
      </c>
      <c r="Z7" s="552">
        <v>2480881</v>
      </c>
      <c r="AA7" s="552">
        <v>2480962</v>
      </c>
      <c r="AB7" s="552">
        <v>2481043</v>
      </c>
      <c r="AC7" s="552">
        <v>2481123</v>
      </c>
      <c r="AD7" s="552">
        <v>2481203</v>
      </c>
      <c r="AE7" s="552">
        <v>2481283</v>
      </c>
      <c r="AF7" s="529">
        <f t="shared" si="0"/>
        <v>110682</v>
      </c>
      <c r="AG7" s="552">
        <v>2370601</v>
      </c>
      <c r="AH7" s="528"/>
    </row>
    <row r="8" spans="1:36">
      <c r="A8" s="533" t="s">
        <v>58</v>
      </c>
      <c r="B8" s="552">
        <v>2184729</v>
      </c>
      <c r="C8" s="552">
        <v>2192069</v>
      </c>
      <c r="D8" s="552">
        <v>2198708</v>
      </c>
      <c r="E8" s="552">
        <v>2205336</v>
      </c>
      <c r="F8" s="552">
        <v>2205652</v>
      </c>
      <c r="G8" s="552">
        <v>2205730</v>
      </c>
      <c r="H8" s="552">
        <v>2205810</v>
      </c>
      <c r="I8" s="552">
        <v>2205890</v>
      </c>
      <c r="J8" s="552">
        <v>2205967</v>
      </c>
      <c r="K8" s="552">
        <v>2206045</v>
      </c>
      <c r="L8" s="552">
        <v>2206126</v>
      </c>
      <c r="M8" s="552">
        <v>2206204</v>
      </c>
      <c r="N8" s="552">
        <v>2206282</v>
      </c>
      <c r="O8" s="552">
        <v>2206362</v>
      </c>
      <c r="P8" s="552">
        <v>2206440</v>
      </c>
      <c r="Q8" s="552">
        <v>2206519</v>
      </c>
      <c r="R8" s="552">
        <v>2206595</v>
      </c>
      <c r="S8" s="552">
        <v>2206676</v>
      </c>
      <c r="T8" s="552">
        <v>2213452</v>
      </c>
      <c r="U8" s="552">
        <v>2221504</v>
      </c>
      <c r="V8" s="552">
        <v>2229691</v>
      </c>
      <c r="W8" s="552">
        <v>2238294</v>
      </c>
      <c r="X8" s="552">
        <v>2247083</v>
      </c>
      <c r="Y8" s="552">
        <v>2255026</v>
      </c>
      <c r="Z8" s="552">
        <v>2262722</v>
      </c>
      <c r="AA8" s="552">
        <v>2271051</v>
      </c>
      <c r="AB8" s="552">
        <v>2279406</v>
      </c>
      <c r="AC8" s="552">
        <v>2287983</v>
      </c>
      <c r="AD8" s="552">
        <v>2296578</v>
      </c>
      <c r="AE8" s="552">
        <v>2305726</v>
      </c>
      <c r="AF8" s="529">
        <f t="shared" si="0"/>
        <v>128761</v>
      </c>
      <c r="AG8" s="552">
        <v>2176965</v>
      </c>
      <c r="AH8" s="528"/>
    </row>
    <row r="9" spans="1:36">
      <c r="A9" s="533" t="s">
        <v>59</v>
      </c>
      <c r="B9" s="552">
        <v>3124968</v>
      </c>
      <c r="C9" s="552">
        <v>3130260</v>
      </c>
      <c r="D9" s="552">
        <v>3135585</v>
      </c>
      <c r="E9" s="552">
        <v>3140917</v>
      </c>
      <c r="F9" s="552">
        <v>3146434</v>
      </c>
      <c r="G9" s="552">
        <v>3152064</v>
      </c>
      <c r="H9" s="552">
        <v>3157499</v>
      </c>
      <c r="I9" s="552">
        <v>3162945</v>
      </c>
      <c r="J9" s="552">
        <v>3168217</v>
      </c>
      <c r="K9" s="552">
        <v>3172868</v>
      </c>
      <c r="L9" s="552">
        <v>3177892</v>
      </c>
      <c r="M9" s="552">
        <v>3182957</v>
      </c>
      <c r="N9" s="552">
        <v>3188202</v>
      </c>
      <c r="O9" s="552">
        <v>3193529</v>
      </c>
      <c r="P9" s="552">
        <v>3198734</v>
      </c>
      <c r="Q9" s="552">
        <v>3203879</v>
      </c>
      <c r="R9" s="552">
        <v>3208740</v>
      </c>
      <c r="S9" s="552">
        <v>3213678</v>
      </c>
      <c r="T9" s="552">
        <v>3218768</v>
      </c>
      <c r="U9" s="552">
        <v>3224224</v>
      </c>
      <c r="V9" s="552">
        <v>3229737</v>
      </c>
      <c r="W9" s="552">
        <v>3235020</v>
      </c>
      <c r="X9" s="552">
        <v>3240822</v>
      </c>
      <c r="Y9" s="552">
        <v>3246290</v>
      </c>
      <c r="Z9" s="552">
        <v>3251658</v>
      </c>
      <c r="AA9" s="552">
        <v>3257332</v>
      </c>
      <c r="AB9" s="552">
        <v>3263023</v>
      </c>
      <c r="AC9" s="552">
        <v>3268821</v>
      </c>
      <c r="AD9" s="552">
        <v>3274611</v>
      </c>
      <c r="AE9" s="552">
        <v>3280170</v>
      </c>
      <c r="AF9" s="529">
        <f t="shared" si="0"/>
        <v>160456</v>
      </c>
      <c r="AG9" s="552">
        <v>3119714</v>
      </c>
      <c r="AH9" s="528"/>
    </row>
    <row r="10" spans="1:36">
      <c r="A10" s="533" t="s">
        <v>60</v>
      </c>
      <c r="B10" s="552">
        <v>9701698</v>
      </c>
      <c r="C10" s="552">
        <v>9704940</v>
      </c>
      <c r="D10" s="552">
        <v>9707992</v>
      </c>
      <c r="E10" s="552">
        <v>9710050</v>
      </c>
      <c r="F10" s="552">
        <v>9712505</v>
      </c>
      <c r="G10" s="552">
        <v>9715779</v>
      </c>
      <c r="H10" s="552">
        <v>9719034</v>
      </c>
      <c r="I10" s="552">
        <v>9722286</v>
      </c>
      <c r="J10" s="552">
        <v>9725503</v>
      </c>
      <c r="K10" s="552">
        <v>9728628</v>
      </c>
      <c r="L10" s="552">
        <v>9730727</v>
      </c>
      <c r="M10" s="552">
        <v>9733264</v>
      </c>
      <c r="N10" s="552">
        <v>9736654</v>
      </c>
      <c r="O10" s="552">
        <v>9740195</v>
      </c>
      <c r="P10" s="552">
        <v>9743580</v>
      </c>
      <c r="Q10" s="552">
        <v>9747030</v>
      </c>
      <c r="R10" s="552">
        <v>9750256</v>
      </c>
      <c r="S10" s="552">
        <v>9752439</v>
      </c>
      <c r="T10" s="552">
        <v>9755132</v>
      </c>
      <c r="U10" s="552">
        <v>9758732</v>
      </c>
      <c r="V10" s="552">
        <v>9762296</v>
      </c>
      <c r="W10" s="552">
        <v>9765859</v>
      </c>
      <c r="X10" s="552">
        <v>9769406</v>
      </c>
      <c r="Y10" s="552">
        <v>9772642</v>
      </c>
      <c r="Z10" s="552">
        <v>9774775</v>
      </c>
      <c r="AA10" s="552">
        <v>9777459</v>
      </c>
      <c r="AB10" s="552">
        <v>9780963</v>
      </c>
      <c r="AC10" s="552">
        <v>9784546</v>
      </c>
      <c r="AD10" s="552">
        <v>9788272</v>
      </c>
      <c r="AE10" s="552">
        <v>9791942</v>
      </c>
      <c r="AF10" s="529">
        <f t="shared" si="0"/>
        <v>93444</v>
      </c>
      <c r="AG10" s="552">
        <v>9698498</v>
      </c>
      <c r="AH10" s="528"/>
    </row>
    <row r="11" spans="1:36">
      <c r="A11" s="533" t="s">
        <v>61</v>
      </c>
      <c r="B11" s="552">
        <v>370896</v>
      </c>
      <c r="C11" s="552">
        <v>371035</v>
      </c>
      <c r="D11" s="552">
        <v>371167</v>
      </c>
      <c r="E11" s="552">
        <v>371274</v>
      </c>
      <c r="F11" s="552">
        <v>371387</v>
      </c>
      <c r="G11" s="552">
        <v>371523</v>
      </c>
      <c r="H11" s="552">
        <v>371658</v>
      </c>
      <c r="I11" s="552">
        <v>371791</v>
      </c>
      <c r="J11" s="552">
        <v>371921</v>
      </c>
      <c r="K11" s="552">
        <v>372049</v>
      </c>
      <c r="L11" s="552">
        <v>372143</v>
      </c>
      <c r="M11" s="552">
        <v>372249</v>
      </c>
      <c r="N11" s="552">
        <v>372380</v>
      </c>
      <c r="O11" s="552">
        <v>372512</v>
      </c>
      <c r="P11" s="552">
        <v>372641</v>
      </c>
      <c r="Q11" s="552">
        <v>372769</v>
      </c>
      <c r="R11" s="552">
        <v>372890</v>
      </c>
      <c r="S11" s="552">
        <v>372982</v>
      </c>
      <c r="T11" s="552">
        <v>373087</v>
      </c>
      <c r="U11" s="552">
        <v>373221</v>
      </c>
      <c r="V11" s="552">
        <v>373353</v>
      </c>
      <c r="W11" s="552">
        <v>373489</v>
      </c>
      <c r="X11" s="552">
        <v>373623</v>
      </c>
      <c r="Y11" s="552">
        <v>373753</v>
      </c>
      <c r="Z11" s="552">
        <v>373850</v>
      </c>
      <c r="AA11" s="552">
        <v>373960</v>
      </c>
      <c r="AB11" s="552">
        <v>374093</v>
      </c>
      <c r="AC11" s="552">
        <v>374228</v>
      </c>
      <c r="AD11" s="552">
        <v>374365</v>
      </c>
      <c r="AE11" s="552">
        <v>374501</v>
      </c>
      <c r="AF11" s="529">
        <f t="shared" si="0"/>
        <v>3743</v>
      </c>
      <c r="AG11" s="552">
        <v>370758</v>
      </c>
      <c r="AH11" s="528"/>
    </row>
    <row r="12" spans="1:36" s="535" customFormat="1">
      <c r="A12" s="534" t="s">
        <v>62</v>
      </c>
      <c r="B12" s="552"/>
      <c r="C12" s="552"/>
      <c r="D12" s="552"/>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29">
        <f t="shared" si="0"/>
        <v>0</v>
      </c>
      <c r="AG12" s="552"/>
    </row>
    <row r="13" spans="1:36">
      <c r="A13" s="532" t="s">
        <v>63</v>
      </c>
      <c r="B13" s="547" t="s">
        <v>64</v>
      </c>
      <c r="C13" s="547" t="s">
        <v>64</v>
      </c>
      <c r="D13" s="547" t="s">
        <v>64</v>
      </c>
      <c r="E13" s="547" t="s">
        <v>64</v>
      </c>
      <c r="F13" s="547" t="s">
        <v>64</v>
      </c>
      <c r="G13" s="547" t="s">
        <v>64</v>
      </c>
      <c r="H13" s="547" t="s">
        <v>64</v>
      </c>
      <c r="I13" s="547" t="s">
        <v>64</v>
      </c>
      <c r="J13" s="547" t="s">
        <v>64</v>
      </c>
      <c r="K13" s="547" t="s">
        <v>64</v>
      </c>
      <c r="L13" s="547" t="s">
        <v>64</v>
      </c>
      <c r="M13" s="547" t="s">
        <v>64</v>
      </c>
      <c r="N13" s="547" t="s">
        <v>64</v>
      </c>
      <c r="O13" s="547" t="s">
        <v>64</v>
      </c>
      <c r="P13" s="547" t="s">
        <v>64</v>
      </c>
      <c r="Q13" s="547" t="s">
        <v>64</v>
      </c>
      <c r="R13" s="547" t="s">
        <v>64</v>
      </c>
      <c r="S13" s="547" t="s">
        <v>64</v>
      </c>
      <c r="T13" s="547" t="s">
        <v>64</v>
      </c>
      <c r="U13" s="547" t="s">
        <v>64</v>
      </c>
      <c r="V13" s="547" t="s">
        <v>64</v>
      </c>
      <c r="W13" s="547" t="s">
        <v>64</v>
      </c>
      <c r="X13" s="547" t="s">
        <v>64</v>
      </c>
      <c r="Y13" s="547" t="s">
        <v>64</v>
      </c>
      <c r="Z13" s="547" t="s">
        <v>64</v>
      </c>
      <c r="AA13" s="547" t="s">
        <v>64</v>
      </c>
      <c r="AB13" s="547" t="s">
        <v>64</v>
      </c>
      <c r="AC13" s="547" t="s">
        <v>64</v>
      </c>
      <c r="AD13" s="547" t="s">
        <v>64</v>
      </c>
      <c r="AE13" s="547" t="s">
        <v>64</v>
      </c>
      <c r="AF13" s="529"/>
      <c r="AG13" s="547" t="s">
        <v>64</v>
      </c>
    </row>
    <row r="14" spans="1:36">
      <c r="A14" s="532" t="s">
        <v>995</v>
      </c>
      <c r="B14" s="545">
        <v>57921</v>
      </c>
      <c r="C14" s="545">
        <v>58127</v>
      </c>
      <c r="D14" s="545">
        <v>58232</v>
      </c>
      <c r="E14" s="545">
        <v>58264</v>
      </c>
      <c r="F14" s="545">
        <v>58362</v>
      </c>
      <c r="G14" s="545">
        <v>58468</v>
      </c>
      <c r="H14" s="545">
        <v>58570</v>
      </c>
      <c r="I14" s="545">
        <v>58665</v>
      </c>
      <c r="J14" s="545">
        <v>58758</v>
      </c>
      <c r="K14" s="545">
        <v>58758</v>
      </c>
      <c r="L14" s="545">
        <v>58907</v>
      </c>
      <c r="M14" s="545">
        <v>58986</v>
      </c>
      <c r="N14" s="545">
        <v>59092</v>
      </c>
      <c r="O14" s="545">
        <v>59180</v>
      </c>
      <c r="P14" s="545">
        <v>59271</v>
      </c>
      <c r="Q14" s="545">
        <v>59390</v>
      </c>
      <c r="R14" s="545">
        <v>59495</v>
      </c>
      <c r="S14" s="545">
        <v>59524</v>
      </c>
      <c r="T14" s="545">
        <v>59594</v>
      </c>
      <c r="U14" s="545">
        <v>59714</v>
      </c>
      <c r="V14" s="545">
        <v>59817</v>
      </c>
      <c r="W14" s="545">
        <v>59934</v>
      </c>
      <c r="X14" s="545">
        <v>60031</v>
      </c>
      <c r="Y14" s="545">
        <v>60152</v>
      </c>
      <c r="Z14" s="545">
        <v>60177</v>
      </c>
      <c r="AA14" s="545">
        <v>60279</v>
      </c>
      <c r="AB14" s="545">
        <v>60378</v>
      </c>
      <c r="AC14" s="545">
        <v>60483</v>
      </c>
      <c r="AD14" s="545">
        <v>60582</v>
      </c>
      <c r="AE14" s="545">
        <v>60780</v>
      </c>
      <c r="AF14" s="529">
        <f t="shared" si="0"/>
        <v>2991</v>
      </c>
      <c r="AG14" s="545">
        <v>57789</v>
      </c>
      <c r="AH14" s="543">
        <v>2991</v>
      </c>
      <c r="AI14" s="543"/>
      <c r="AJ14" s="550"/>
    </row>
    <row r="15" spans="1:36" ht="25.5">
      <c r="A15" s="532" t="s">
        <v>67</v>
      </c>
      <c r="B15" s="545">
        <v>9703</v>
      </c>
      <c r="C15" s="545">
        <v>9835</v>
      </c>
      <c r="D15" s="545">
        <v>9844</v>
      </c>
      <c r="E15" s="545">
        <v>9855</v>
      </c>
      <c r="F15" s="545">
        <v>9864</v>
      </c>
      <c r="G15" s="545">
        <v>9871</v>
      </c>
      <c r="H15" s="545">
        <v>9876</v>
      </c>
      <c r="I15" s="545">
        <v>9882</v>
      </c>
      <c r="J15" s="545">
        <v>9887</v>
      </c>
      <c r="K15" s="545">
        <v>9895</v>
      </c>
      <c r="L15" s="545">
        <v>9900</v>
      </c>
      <c r="M15" s="545">
        <v>9906</v>
      </c>
      <c r="N15" s="545">
        <v>9913</v>
      </c>
      <c r="O15" s="545">
        <v>9918</v>
      </c>
      <c r="P15" s="545">
        <v>9924</v>
      </c>
      <c r="Q15" s="545">
        <v>9929</v>
      </c>
      <c r="R15" s="545">
        <v>9935</v>
      </c>
      <c r="S15" s="545">
        <v>9940</v>
      </c>
      <c r="T15" s="545">
        <v>9945</v>
      </c>
      <c r="U15" s="545">
        <v>9950</v>
      </c>
      <c r="V15" s="545">
        <v>9955</v>
      </c>
      <c r="W15" s="545">
        <v>9960</v>
      </c>
      <c r="X15" s="545">
        <v>9964</v>
      </c>
      <c r="Y15" s="545">
        <v>9970</v>
      </c>
      <c r="Z15" s="545">
        <v>9974</v>
      </c>
      <c r="AA15" s="545">
        <v>9979</v>
      </c>
      <c r="AB15" s="545">
        <v>9984</v>
      </c>
      <c r="AC15" s="545">
        <v>9988</v>
      </c>
      <c r="AD15" s="545">
        <v>9993</v>
      </c>
      <c r="AE15" s="545">
        <v>10094</v>
      </c>
      <c r="AF15" s="529">
        <f t="shared" si="0"/>
        <v>431</v>
      </c>
      <c r="AG15" s="545">
        <v>9663</v>
      </c>
      <c r="AH15" s="522">
        <v>431</v>
      </c>
      <c r="AI15" s="543"/>
      <c r="AJ15" s="556"/>
    </row>
    <row r="16" spans="1:36" ht="25.5">
      <c r="A16" s="532" t="s">
        <v>68</v>
      </c>
      <c r="B16" s="545">
        <v>12879</v>
      </c>
      <c r="C16" s="545">
        <v>12879</v>
      </c>
      <c r="D16" s="545">
        <v>12879</v>
      </c>
      <c r="E16" s="545">
        <v>12879</v>
      </c>
      <c r="F16" s="545">
        <v>12879</v>
      </c>
      <c r="G16" s="545">
        <v>12879</v>
      </c>
      <c r="H16" s="545">
        <v>12879</v>
      </c>
      <c r="I16" s="545">
        <v>12879</v>
      </c>
      <c r="J16" s="545">
        <v>12879</v>
      </c>
      <c r="K16" s="545">
        <v>12879</v>
      </c>
      <c r="L16" s="545">
        <v>12879</v>
      </c>
      <c r="M16" s="545">
        <v>12879</v>
      </c>
      <c r="N16" s="545">
        <v>12879</v>
      </c>
      <c r="O16" s="545">
        <v>12879</v>
      </c>
      <c r="P16" s="545">
        <v>12879</v>
      </c>
      <c r="Q16" s="545">
        <v>12879</v>
      </c>
      <c r="R16" s="545">
        <v>12879</v>
      </c>
      <c r="S16" s="545">
        <v>12879</v>
      </c>
      <c r="T16" s="545">
        <v>12879</v>
      </c>
      <c r="U16" s="545">
        <v>12879</v>
      </c>
      <c r="V16" s="545">
        <v>12879</v>
      </c>
      <c r="W16" s="545">
        <v>12879</v>
      </c>
      <c r="X16" s="545">
        <v>12879</v>
      </c>
      <c r="Y16" s="545">
        <v>12879</v>
      </c>
      <c r="Z16" s="545">
        <v>12879</v>
      </c>
      <c r="AA16" s="545">
        <v>12879</v>
      </c>
      <c r="AB16" s="545">
        <v>12879</v>
      </c>
      <c r="AC16" s="545">
        <v>12879</v>
      </c>
      <c r="AD16" s="545">
        <v>12879</v>
      </c>
      <c r="AE16" s="545">
        <v>12879</v>
      </c>
      <c r="AF16" s="529">
        <f t="shared" si="0"/>
        <v>0</v>
      </c>
      <c r="AG16" s="545">
        <v>12879</v>
      </c>
      <c r="AH16" s="522">
        <v>0</v>
      </c>
      <c r="AI16" s="543"/>
      <c r="AJ16" s="556"/>
    </row>
    <row r="17" spans="1:36">
      <c r="A17" s="536"/>
      <c r="B17" s="553"/>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553"/>
      <c r="AF17" s="529">
        <f t="shared" si="0"/>
        <v>0</v>
      </c>
      <c r="AG17" s="553"/>
      <c r="AJ17" s="556"/>
    </row>
    <row r="18" spans="1:36">
      <c r="A18" s="532" t="s">
        <v>69</v>
      </c>
      <c r="B18" s="554" t="s">
        <v>64</v>
      </c>
      <c r="C18" s="554" t="s">
        <v>64</v>
      </c>
      <c r="D18" s="554" t="s">
        <v>64</v>
      </c>
      <c r="E18" s="554" t="s">
        <v>64</v>
      </c>
      <c r="F18" s="554" t="s">
        <v>64</v>
      </c>
      <c r="G18" s="554" t="s">
        <v>64</v>
      </c>
      <c r="H18" s="554" t="s">
        <v>64</v>
      </c>
      <c r="I18" s="554" t="s">
        <v>64</v>
      </c>
      <c r="J18" s="554" t="s">
        <v>64</v>
      </c>
      <c r="K18" s="554" t="s">
        <v>64</v>
      </c>
      <c r="L18" s="554" t="s">
        <v>64</v>
      </c>
      <c r="M18" s="554" t="s">
        <v>64</v>
      </c>
      <c r="N18" s="554" t="s">
        <v>64</v>
      </c>
      <c r="O18" s="554" t="s">
        <v>64</v>
      </c>
      <c r="P18" s="554" t="s">
        <v>64</v>
      </c>
      <c r="Q18" s="554" t="s">
        <v>64</v>
      </c>
      <c r="R18" s="554" t="s">
        <v>64</v>
      </c>
      <c r="S18" s="554" t="s">
        <v>64</v>
      </c>
      <c r="T18" s="554" t="s">
        <v>64</v>
      </c>
      <c r="U18" s="554" t="s">
        <v>64</v>
      </c>
      <c r="V18" s="554" t="s">
        <v>64</v>
      </c>
      <c r="W18" s="554" t="s">
        <v>64</v>
      </c>
      <c r="X18" s="554" t="s">
        <v>64</v>
      </c>
      <c r="Y18" s="554" t="s">
        <v>64</v>
      </c>
      <c r="Z18" s="554" t="s">
        <v>64</v>
      </c>
      <c r="AA18" s="554" t="s">
        <v>64</v>
      </c>
      <c r="AB18" s="554" t="s">
        <v>64</v>
      </c>
      <c r="AC18" s="554" t="s">
        <v>64</v>
      </c>
      <c r="AD18" s="554" t="s">
        <v>64</v>
      </c>
      <c r="AE18" s="554" t="s">
        <v>64</v>
      </c>
      <c r="AF18" s="529"/>
      <c r="AG18" s="554" t="s">
        <v>64</v>
      </c>
      <c r="AJ18" s="557"/>
    </row>
    <row r="19" spans="1:36" ht="25.5">
      <c r="A19" s="532" t="s">
        <v>70</v>
      </c>
      <c r="B19" s="546">
        <v>0</v>
      </c>
      <c r="C19" s="546">
        <v>0</v>
      </c>
      <c r="D19" s="546">
        <v>0</v>
      </c>
      <c r="E19" s="546">
        <v>0</v>
      </c>
      <c r="F19" s="546">
        <v>0</v>
      </c>
      <c r="G19" s="546">
        <v>0</v>
      </c>
      <c r="H19" s="546">
        <v>0</v>
      </c>
      <c r="I19" s="546">
        <v>0</v>
      </c>
      <c r="J19" s="546">
        <v>0</v>
      </c>
      <c r="K19" s="546">
        <v>0</v>
      </c>
      <c r="L19" s="546">
        <v>0</v>
      </c>
      <c r="M19" s="546">
        <v>0</v>
      </c>
      <c r="N19" s="546">
        <v>0</v>
      </c>
      <c r="O19" s="546">
        <v>0</v>
      </c>
      <c r="P19" s="546">
        <v>0</v>
      </c>
      <c r="Q19" s="546">
        <v>0</v>
      </c>
      <c r="R19" s="546">
        <v>0</v>
      </c>
      <c r="S19" s="546">
        <v>0</v>
      </c>
      <c r="T19" s="546">
        <v>0</v>
      </c>
      <c r="U19" s="546">
        <v>0</v>
      </c>
      <c r="V19" s="546">
        <v>0</v>
      </c>
      <c r="W19" s="546">
        <v>0</v>
      </c>
      <c r="X19" s="546">
        <v>0</v>
      </c>
      <c r="Y19" s="546">
        <v>0</v>
      </c>
      <c r="Z19" s="546">
        <v>0</v>
      </c>
      <c r="AA19" s="546">
        <v>0</v>
      </c>
      <c r="AB19" s="546">
        <v>0</v>
      </c>
      <c r="AC19" s="546">
        <v>0</v>
      </c>
      <c r="AD19" s="546">
        <v>0</v>
      </c>
      <c r="AE19" s="546">
        <v>0</v>
      </c>
      <c r="AF19" s="529">
        <f t="shared" si="0"/>
        <v>0</v>
      </c>
      <c r="AG19" s="546">
        <v>0</v>
      </c>
      <c r="AH19" s="540">
        <v>0</v>
      </c>
      <c r="AI19" s="540"/>
      <c r="AJ19" s="550"/>
    </row>
    <row r="20" spans="1:36" ht="25.5">
      <c r="A20" s="532" t="s">
        <v>2715</v>
      </c>
      <c r="B20" s="546">
        <v>2175685</v>
      </c>
      <c r="C20" s="546">
        <v>2175685</v>
      </c>
      <c r="D20" s="546">
        <v>2175685</v>
      </c>
      <c r="E20" s="546">
        <v>2175685</v>
      </c>
      <c r="F20" s="546">
        <v>2175685</v>
      </c>
      <c r="G20" s="546">
        <v>2175685</v>
      </c>
      <c r="H20" s="546">
        <v>2175685</v>
      </c>
      <c r="I20" s="546">
        <v>2175685</v>
      </c>
      <c r="J20" s="546">
        <v>2175685</v>
      </c>
      <c r="K20" s="546">
        <v>2192614</v>
      </c>
      <c r="L20" s="546">
        <v>2192614</v>
      </c>
      <c r="M20" s="546">
        <v>2192614</v>
      </c>
      <c r="N20" s="546">
        <v>2209007</v>
      </c>
      <c r="O20" s="546">
        <v>2209007</v>
      </c>
      <c r="P20" s="546">
        <v>2209007</v>
      </c>
      <c r="Q20" s="546">
        <v>2209007</v>
      </c>
      <c r="R20" s="546">
        <v>2247400</v>
      </c>
      <c r="S20" s="546">
        <v>2247400</v>
      </c>
      <c r="T20" s="546">
        <v>2304934</v>
      </c>
      <c r="U20" s="546">
        <v>2354983</v>
      </c>
      <c r="V20" s="546">
        <v>2448197</v>
      </c>
      <c r="W20" s="546">
        <v>2619310</v>
      </c>
      <c r="X20" s="546">
        <v>2667065</v>
      </c>
      <c r="Y20" s="546">
        <v>2667065</v>
      </c>
      <c r="Z20" s="546">
        <v>2667065</v>
      </c>
      <c r="AA20" s="546">
        <v>2709861</v>
      </c>
      <c r="AB20" s="546">
        <v>2721836</v>
      </c>
      <c r="AC20" s="546">
        <v>2795302</v>
      </c>
      <c r="AD20" s="546">
        <v>2893448</v>
      </c>
      <c r="AE20" s="546">
        <v>2994758</v>
      </c>
      <c r="AF20" s="529">
        <f t="shared" si="0"/>
        <v>819073</v>
      </c>
      <c r="AG20" s="546">
        <v>2175685</v>
      </c>
      <c r="AH20" s="522">
        <v>819073</v>
      </c>
      <c r="AI20" s="540"/>
      <c r="AJ20" s="548"/>
    </row>
    <row r="21" spans="1:36">
      <c r="A21" s="532" t="s">
        <v>72</v>
      </c>
      <c r="B21" s="545">
        <v>299322</v>
      </c>
      <c r="C21" s="545">
        <v>299432</v>
      </c>
      <c r="D21" s="545">
        <v>299590</v>
      </c>
      <c r="E21" s="545">
        <v>299590</v>
      </c>
      <c r="F21" s="545">
        <v>299678</v>
      </c>
      <c r="G21" s="545">
        <v>299792</v>
      </c>
      <c r="H21" s="545">
        <v>299899</v>
      </c>
      <c r="I21" s="545">
        <v>299975</v>
      </c>
      <c r="J21" s="545">
        <v>300094</v>
      </c>
      <c r="K21" s="545">
        <v>300226</v>
      </c>
      <c r="L21" s="545">
        <v>300226</v>
      </c>
      <c r="M21" s="545">
        <v>300406</v>
      </c>
      <c r="N21" s="545">
        <v>300487</v>
      </c>
      <c r="O21" s="545">
        <v>300619</v>
      </c>
      <c r="P21" s="545">
        <v>300712</v>
      </c>
      <c r="Q21" s="545">
        <v>300864</v>
      </c>
      <c r="R21" s="545">
        <v>300993</v>
      </c>
      <c r="S21" s="545">
        <v>300993</v>
      </c>
      <c r="T21" s="545">
        <v>301238</v>
      </c>
      <c r="U21" s="545">
        <v>301310</v>
      </c>
      <c r="V21" s="545">
        <v>301438</v>
      </c>
      <c r="W21" s="545">
        <v>301528</v>
      </c>
      <c r="X21" s="545">
        <v>301693</v>
      </c>
      <c r="Y21" s="545">
        <v>301840</v>
      </c>
      <c r="Z21" s="545">
        <v>301840</v>
      </c>
      <c r="AA21" s="545">
        <v>302069</v>
      </c>
      <c r="AB21" s="545">
        <v>302181</v>
      </c>
      <c r="AC21" s="545">
        <v>302317</v>
      </c>
      <c r="AD21" s="545">
        <v>302437</v>
      </c>
      <c r="AE21" s="545">
        <v>302437</v>
      </c>
      <c r="AF21" s="529">
        <f t="shared" si="0"/>
        <v>3213</v>
      </c>
      <c r="AG21" s="545">
        <v>299224</v>
      </c>
      <c r="AH21" s="522">
        <v>3213</v>
      </c>
      <c r="AI21" s="540"/>
      <c r="AJ21" s="549"/>
    </row>
    <row r="22" spans="1:36">
      <c r="A22" s="532" t="s">
        <v>73</v>
      </c>
      <c r="B22" s="545">
        <v>270836</v>
      </c>
      <c r="C22" s="545">
        <v>270942</v>
      </c>
      <c r="D22" s="545">
        <v>271011</v>
      </c>
      <c r="E22" s="545">
        <v>271048</v>
      </c>
      <c r="F22" s="545">
        <v>271089</v>
      </c>
      <c r="G22" s="545">
        <v>271151</v>
      </c>
      <c r="H22" s="545">
        <v>271207</v>
      </c>
      <c r="I22" s="545">
        <v>271273</v>
      </c>
      <c r="J22" s="545">
        <v>271331</v>
      </c>
      <c r="K22" s="545">
        <v>271412</v>
      </c>
      <c r="L22" s="545">
        <v>271452</v>
      </c>
      <c r="M22" s="545">
        <v>271506</v>
      </c>
      <c r="N22" s="545">
        <v>271564</v>
      </c>
      <c r="O22" s="545">
        <v>271638</v>
      </c>
      <c r="P22" s="545">
        <v>271693</v>
      </c>
      <c r="Q22" s="545">
        <v>271765</v>
      </c>
      <c r="R22" s="545">
        <v>271845</v>
      </c>
      <c r="S22" s="545">
        <v>271923</v>
      </c>
      <c r="T22" s="545">
        <v>271974</v>
      </c>
      <c r="U22" s="545">
        <v>271974</v>
      </c>
      <c r="V22" s="545">
        <v>272108</v>
      </c>
      <c r="W22" s="545">
        <v>272173</v>
      </c>
      <c r="X22" s="545">
        <v>272252</v>
      </c>
      <c r="Y22" s="545">
        <v>272351</v>
      </c>
      <c r="Z22" s="545">
        <v>272392</v>
      </c>
      <c r="AA22" s="545">
        <v>272462</v>
      </c>
      <c r="AB22" s="545">
        <v>272528</v>
      </c>
      <c r="AC22" s="545">
        <v>272604</v>
      </c>
      <c r="AD22" s="545">
        <v>272691</v>
      </c>
      <c r="AE22" s="545">
        <v>272782</v>
      </c>
      <c r="AF22" s="529">
        <f t="shared" si="0"/>
        <v>1946</v>
      </c>
      <c r="AG22" s="545">
        <v>270836</v>
      </c>
      <c r="AH22" s="522">
        <v>1946</v>
      </c>
      <c r="AI22" s="540"/>
      <c r="AJ22" s="549"/>
    </row>
    <row r="23" spans="1:36">
      <c r="A23" s="564" t="s">
        <v>136</v>
      </c>
      <c r="B23" s="545">
        <v>18055</v>
      </c>
      <c r="C23" s="545">
        <v>18064</v>
      </c>
      <c r="D23" s="545">
        <v>18075</v>
      </c>
      <c r="E23" s="545">
        <v>18075</v>
      </c>
      <c r="F23" s="545">
        <v>18079</v>
      </c>
      <c r="G23" s="545">
        <v>18093</v>
      </c>
      <c r="H23" s="545">
        <v>18106</v>
      </c>
      <c r="I23" s="545">
        <v>18119</v>
      </c>
      <c r="J23" s="545">
        <v>18131</v>
      </c>
      <c r="K23" s="545">
        <v>18145</v>
      </c>
      <c r="L23" s="545">
        <v>18148</v>
      </c>
      <c r="M23" s="545">
        <v>18153</v>
      </c>
      <c r="N23" s="545">
        <v>18167</v>
      </c>
      <c r="O23" s="545">
        <v>18180</v>
      </c>
      <c r="P23" s="545">
        <v>18193</v>
      </c>
      <c r="Q23" s="545">
        <v>18206</v>
      </c>
      <c r="R23" s="545">
        <v>18219</v>
      </c>
      <c r="S23" s="545">
        <v>18222</v>
      </c>
      <c r="T23" s="545">
        <v>18226</v>
      </c>
      <c r="U23" s="545">
        <v>18240</v>
      </c>
      <c r="V23" s="545">
        <v>18253</v>
      </c>
      <c r="W23" s="545">
        <v>18266</v>
      </c>
      <c r="X23" s="545">
        <v>18278</v>
      </c>
      <c r="Y23" s="545">
        <v>18291</v>
      </c>
      <c r="Z23" s="545">
        <v>18291</v>
      </c>
      <c r="AA23" s="545">
        <v>18294</v>
      </c>
      <c r="AB23" s="545">
        <v>18308</v>
      </c>
      <c r="AC23" s="545">
        <v>18323</v>
      </c>
      <c r="AD23" s="545">
        <v>18336</v>
      </c>
      <c r="AE23" s="545">
        <v>18349</v>
      </c>
      <c r="AF23" s="529">
        <f t="shared" si="0"/>
        <v>308</v>
      </c>
      <c r="AG23" s="545">
        <v>18041</v>
      </c>
      <c r="AH23" s="522">
        <v>308</v>
      </c>
      <c r="AI23" s="540"/>
      <c r="AJ23" s="548"/>
    </row>
    <row r="24" spans="1:36">
      <c r="A24" s="564" t="s">
        <v>139</v>
      </c>
      <c r="B24" s="545">
        <v>12457</v>
      </c>
      <c r="C24" s="545">
        <v>12465</v>
      </c>
      <c r="D24" s="545">
        <v>12473</v>
      </c>
      <c r="E24" s="545">
        <v>12473</v>
      </c>
      <c r="F24" s="545">
        <v>12475</v>
      </c>
      <c r="G24" s="545">
        <v>12483</v>
      </c>
      <c r="H24" s="545">
        <v>12491</v>
      </c>
      <c r="I24" s="545">
        <v>12498</v>
      </c>
      <c r="J24" s="545">
        <v>12505</v>
      </c>
      <c r="K24" s="545">
        <v>12513</v>
      </c>
      <c r="L24" s="545">
        <v>12513</v>
      </c>
      <c r="M24" s="545">
        <v>12515</v>
      </c>
      <c r="N24" s="545">
        <v>12524</v>
      </c>
      <c r="O24" s="545">
        <v>12533</v>
      </c>
      <c r="P24" s="545">
        <v>12540</v>
      </c>
      <c r="Q24" s="545">
        <v>12548</v>
      </c>
      <c r="R24" s="545">
        <v>12556</v>
      </c>
      <c r="S24" s="545">
        <v>12556</v>
      </c>
      <c r="T24" s="545">
        <v>12558</v>
      </c>
      <c r="U24" s="545">
        <v>12566</v>
      </c>
      <c r="V24" s="545">
        <v>12574</v>
      </c>
      <c r="W24" s="545">
        <v>12582</v>
      </c>
      <c r="X24" s="545">
        <v>12590</v>
      </c>
      <c r="Y24" s="545">
        <v>12598</v>
      </c>
      <c r="Z24" s="545">
        <v>12598</v>
      </c>
      <c r="AA24" s="545">
        <v>12599</v>
      </c>
      <c r="AB24" s="545">
        <v>12607</v>
      </c>
      <c r="AC24" s="545">
        <v>12615</v>
      </c>
      <c r="AD24" s="545">
        <v>12623</v>
      </c>
      <c r="AE24" s="545">
        <v>12632</v>
      </c>
      <c r="AF24" s="529">
        <f t="shared" si="0"/>
        <v>186</v>
      </c>
      <c r="AG24" s="545">
        <v>12446</v>
      </c>
      <c r="AH24" s="522">
        <v>186</v>
      </c>
      <c r="AI24" s="540"/>
      <c r="AJ24" s="548"/>
    </row>
    <row r="25" spans="1:36">
      <c r="A25" s="564" t="s">
        <v>142</v>
      </c>
      <c r="B25" s="545">
        <v>5101</v>
      </c>
      <c r="C25" s="545">
        <v>5107</v>
      </c>
      <c r="D25" s="545">
        <v>5110</v>
      </c>
      <c r="E25" s="545">
        <v>5110</v>
      </c>
      <c r="F25" s="545">
        <v>5111</v>
      </c>
      <c r="G25" s="545">
        <v>5116</v>
      </c>
      <c r="H25" s="545">
        <v>5121</v>
      </c>
      <c r="I25" s="545">
        <v>5127</v>
      </c>
      <c r="J25" s="545">
        <v>5131</v>
      </c>
      <c r="K25" s="545">
        <v>5136</v>
      </c>
      <c r="L25" s="545">
        <v>5136</v>
      </c>
      <c r="M25" s="545">
        <v>5137</v>
      </c>
      <c r="N25" s="545">
        <v>5143</v>
      </c>
      <c r="O25" s="545">
        <v>5149</v>
      </c>
      <c r="P25" s="545">
        <v>5154</v>
      </c>
      <c r="Q25" s="545">
        <v>5166</v>
      </c>
      <c r="R25" s="545">
        <v>5172</v>
      </c>
      <c r="S25" s="545">
        <v>5172</v>
      </c>
      <c r="T25" s="545">
        <v>5172</v>
      </c>
      <c r="U25" s="545">
        <v>5179</v>
      </c>
      <c r="V25" s="545">
        <v>5185</v>
      </c>
      <c r="W25" s="545">
        <v>5191</v>
      </c>
      <c r="X25" s="545">
        <v>5197</v>
      </c>
      <c r="Y25" s="545">
        <v>5203</v>
      </c>
      <c r="Z25" s="545">
        <v>5203</v>
      </c>
      <c r="AA25" s="545">
        <v>5204</v>
      </c>
      <c r="AB25" s="545">
        <v>5210</v>
      </c>
      <c r="AC25" s="545">
        <v>5214</v>
      </c>
      <c r="AD25" s="545">
        <v>5219</v>
      </c>
      <c r="AE25" s="545">
        <v>5228</v>
      </c>
      <c r="AF25" s="529">
        <f t="shared" si="0"/>
        <v>131</v>
      </c>
      <c r="AG25" s="545">
        <v>5097</v>
      </c>
      <c r="AH25" s="522">
        <v>131</v>
      </c>
      <c r="AI25" s="540"/>
      <c r="AJ25" s="548"/>
    </row>
    <row r="26" spans="1:36">
      <c r="A26" s="564" t="s">
        <v>145</v>
      </c>
      <c r="B26" s="545">
        <v>3219</v>
      </c>
      <c r="C26" s="545">
        <v>3222</v>
      </c>
      <c r="D26" s="545">
        <v>3225</v>
      </c>
      <c r="E26" s="545">
        <v>3225</v>
      </c>
      <c r="F26" s="545">
        <v>3227</v>
      </c>
      <c r="G26" s="545">
        <v>3230</v>
      </c>
      <c r="H26" s="545">
        <v>3233</v>
      </c>
      <c r="I26" s="545">
        <v>3236</v>
      </c>
      <c r="J26" s="545">
        <v>3239</v>
      </c>
      <c r="K26" s="545">
        <v>3245</v>
      </c>
      <c r="L26" s="545">
        <v>3247</v>
      </c>
      <c r="M26" s="545">
        <v>3248</v>
      </c>
      <c r="N26" s="545">
        <v>3253</v>
      </c>
      <c r="O26" s="545">
        <v>3256</v>
      </c>
      <c r="P26" s="545">
        <v>3261</v>
      </c>
      <c r="Q26" s="545">
        <v>3265</v>
      </c>
      <c r="R26" s="545">
        <v>3269</v>
      </c>
      <c r="S26" s="545">
        <v>3269</v>
      </c>
      <c r="T26" s="545">
        <v>3271</v>
      </c>
      <c r="U26" s="545">
        <v>3274</v>
      </c>
      <c r="V26" s="545">
        <v>3277</v>
      </c>
      <c r="W26" s="545">
        <v>3280</v>
      </c>
      <c r="X26" s="545">
        <v>3283</v>
      </c>
      <c r="Y26" s="545">
        <v>3285</v>
      </c>
      <c r="Z26" s="545">
        <v>3285</v>
      </c>
      <c r="AA26" s="545">
        <v>3286</v>
      </c>
      <c r="AB26" s="545">
        <v>3289</v>
      </c>
      <c r="AC26" s="545">
        <v>3292</v>
      </c>
      <c r="AD26" s="545">
        <v>3297</v>
      </c>
      <c r="AE26" s="545">
        <v>3301</v>
      </c>
      <c r="AF26" s="529">
        <f t="shared" si="0"/>
        <v>85</v>
      </c>
      <c r="AG26" s="545">
        <v>3216</v>
      </c>
      <c r="AH26" s="522">
        <v>85</v>
      </c>
      <c r="AI26" s="540"/>
      <c r="AJ26" s="548"/>
    </row>
    <row r="27" spans="1:36">
      <c r="A27" s="564" t="s">
        <v>148</v>
      </c>
      <c r="B27" s="545">
        <v>18898</v>
      </c>
      <c r="C27" s="545">
        <v>18911</v>
      </c>
      <c r="D27" s="545">
        <v>18924</v>
      </c>
      <c r="E27" s="545">
        <v>18924</v>
      </c>
      <c r="F27" s="545">
        <v>18927</v>
      </c>
      <c r="G27" s="545">
        <v>18940</v>
      </c>
      <c r="H27" s="545">
        <v>18953</v>
      </c>
      <c r="I27" s="545">
        <v>18966</v>
      </c>
      <c r="J27" s="545">
        <v>18977</v>
      </c>
      <c r="K27" s="545">
        <v>18989</v>
      </c>
      <c r="L27" s="545">
        <v>18989</v>
      </c>
      <c r="M27" s="545">
        <v>18991</v>
      </c>
      <c r="N27" s="545">
        <v>19005</v>
      </c>
      <c r="O27" s="545">
        <v>19015</v>
      </c>
      <c r="P27" s="545">
        <v>19026</v>
      </c>
      <c r="Q27" s="545">
        <v>19035</v>
      </c>
      <c r="R27" s="545">
        <v>19046</v>
      </c>
      <c r="S27" s="545">
        <v>19046</v>
      </c>
      <c r="T27" s="545">
        <v>19047</v>
      </c>
      <c r="U27" s="545">
        <v>19058</v>
      </c>
      <c r="V27" s="545">
        <v>19068</v>
      </c>
      <c r="W27" s="545">
        <v>19080</v>
      </c>
      <c r="X27" s="545">
        <v>19091</v>
      </c>
      <c r="Y27" s="545">
        <v>19107</v>
      </c>
      <c r="Z27" s="545">
        <v>19108</v>
      </c>
      <c r="AA27" s="545">
        <v>19114</v>
      </c>
      <c r="AB27" s="545">
        <v>19128</v>
      </c>
      <c r="AC27" s="545">
        <v>19140</v>
      </c>
      <c r="AD27" s="545">
        <v>19152</v>
      </c>
      <c r="AE27" s="545">
        <v>19168</v>
      </c>
      <c r="AF27" s="529">
        <f t="shared" si="0"/>
        <v>283</v>
      </c>
      <c r="AG27" s="545">
        <v>18885</v>
      </c>
      <c r="AH27" s="522">
        <v>283</v>
      </c>
      <c r="AI27" s="540"/>
      <c r="AJ27" s="548"/>
    </row>
    <row r="28" spans="1:36">
      <c r="A28" s="564" t="s">
        <v>151</v>
      </c>
      <c r="B28" s="555">
        <v>1330</v>
      </c>
      <c r="C28" s="555">
        <v>1330</v>
      </c>
      <c r="D28" s="555">
        <v>1330</v>
      </c>
      <c r="E28" s="555">
        <v>1330</v>
      </c>
      <c r="F28" s="555">
        <v>1330</v>
      </c>
      <c r="G28" s="555">
        <v>1330</v>
      </c>
      <c r="H28" s="555">
        <v>1330</v>
      </c>
      <c r="I28" s="555">
        <v>1330</v>
      </c>
      <c r="J28" s="555">
        <v>1330</v>
      </c>
      <c r="K28" s="555">
        <v>1330</v>
      </c>
      <c r="L28" s="555">
        <v>1330</v>
      </c>
      <c r="M28" s="555">
        <v>1330</v>
      </c>
      <c r="N28" s="555">
        <v>1330</v>
      </c>
      <c r="O28" s="555">
        <v>1330</v>
      </c>
      <c r="P28" s="555">
        <v>1330</v>
      </c>
      <c r="Q28" s="555">
        <v>1330</v>
      </c>
      <c r="R28" s="555">
        <v>1330</v>
      </c>
      <c r="S28" s="555">
        <v>1330</v>
      </c>
      <c r="T28" s="555">
        <v>1330</v>
      </c>
      <c r="U28" s="555">
        <v>1330</v>
      </c>
      <c r="V28" s="555">
        <v>1330</v>
      </c>
      <c r="W28" s="555">
        <v>1330</v>
      </c>
      <c r="X28" s="555">
        <v>1330</v>
      </c>
      <c r="Y28" s="555">
        <v>1330</v>
      </c>
      <c r="Z28" s="555">
        <v>1330</v>
      </c>
      <c r="AA28" s="555">
        <v>1330</v>
      </c>
      <c r="AB28" s="555">
        <v>1330</v>
      </c>
      <c r="AC28" s="555">
        <v>1330</v>
      </c>
      <c r="AD28" s="555">
        <v>1330</v>
      </c>
      <c r="AE28" s="555">
        <v>1330</v>
      </c>
      <c r="AF28" s="529">
        <f t="shared" si="0"/>
        <v>0</v>
      </c>
      <c r="AG28" s="555">
        <v>1330</v>
      </c>
      <c r="AH28" s="522">
        <v>0</v>
      </c>
      <c r="AI28" s="540"/>
      <c r="AJ28" s="548"/>
    </row>
    <row r="29" spans="1:36">
      <c r="A29" s="564" t="s">
        <v>154</v>
      </c>
      <c r="B29" s="555">
        <v>1522</v>
      </c>
      <c r="C29" s="555">
        <v>1523</v>
      </c>
      <c r="D29" s="555">
        <v>1524</v>
      </c>
      <c r="E29" s="555">
        <v>1524</v>
      </c>
      <c r="F29" s="555">
        <v>1525</v>
      </c>
      <c r="G29" s="555">
        <v>1526</v>
      </c>
      <c r="H29" s="555">
        <v>1527</v>
      </c>
      <c r="I29" s="555">
        <v>1528</v>
      </c>
      <c r="J29" s="555">
        <v>1529</v>
      </c>
      <c r="K29" s="555">
        <v>1530</v>
      </c>
      <c r="L29" s="555">
        <v>1531</v>
      </c>
      <c r="M29" s="555">
        <v>1532</v>
      </c>
      <c r="N29" s="555">
        <v>1533</v>
      </c>
      <c r="O29" s="555">
        <v>1533</v>
      </c>
      <c r="P29" s="555">
        <v>1534</v>
      </c>
      <c r="Q29" s="555">
        <v>1535</v>
      </c>
      <c r="R29" s="555">
        <v>1536</v>
      </c>
      <c r="S29" s="555">
        <v>1537</v>
      </c>
      <c r="T29" s="555">
        <v>1537</v>
      </c>
      <c r="U29" s="555">
        <v>1538</v>
      </c>
      <c r="V29" s="555">
        <v>1539</v>
      </c>
      <c r="W29" s="555">
        <v>1540</v>
      </c>
      <c r="X29" s="555">
        <v>1541</v>
      </c>
      <c r="Y29" s="555">
        <v>1542</v>
      </c>
      <c r="Z29" s="555">
        <v>1542</v>
      </c>
      <c r="AA29" s="555">
        <v>1543</v>
      </c>
      <c r="AB29" s="555">
        <v>1544</v>
      </c>
      <c r="AC29" s="555">
        <v>1545</v>
      </c>
      <c r="AD29" s="555">
        <v>1546</v>
      </c>
      <c r="AE29" s="555">
        <v>1547</v>
      </c>
      <c r="AF29" s="529">
        <f t="shared" si="0"/>
        <v>26</v>
      </c>
      <c r="AG29" s="555">
        <v>1521</v>
      </c>
      <c r="AH29" s="522">
        <v>26</v>
      </c>
      <c r="AI29" s="540"/>
      <c r="AJ29" s="548"/>
    </row>
    <row r="30" spans="1:36">
      <c r="A30" s="536"/>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c r="AA30" s="544"/>
      <c r="AB30" s="544"/>
      <c r="AC30" s="544"/>
      <c r="AD30" s="544"/>
      <c r="AE30" s="544"/>
      <c r="AF30" s="529">
        <f>AE30-AG30</f>
        <v>0</v>
      </c>
      <c r="AG30" s="544"/>
      <c r="AJ30" s="548"/>
    </row>
    <row r="31" spans="1:36">
      <c r="A31" s="532" t="s">
        <v>74</v>
      </c>
      <c r="B31" s="547" t="s">
        <v>75</v>
      </c>
      <c r="C31" s="547" t="s">
        <v>75</v>
      </c>
      <c r="D31" s="547" t="s">
        <v>75</v>
      </c>
      <c r="E31" s="547" t="s">
        <v>75</v>
      </c>
      <c r="F31" s="547" t="s">
        <v>75</v>
      </c>
      <c r="G31" s="547" t="s">
        <v>75</v>
      </c>
      <c r="H31" s="547" t="s">
        <v>75</v>
      </c>
      <c r="I31" s="547" t="s">
        <v>75</v>
      </c>
      <c r="J31" s="547" t="s">
        <v>75</v>
      </c>
      <c r="K31" s="547" t="s">
        <v>75</v>
      </c>
      <c r="L31" s="547" t="s">
        <v>75</v>
      </c>
      <c r="M31" s="547" t="s">
        <v>75</v>
      </c>
      <c r="N31" s="547" t="s">
        <v>75</v>
      </c>
      <c r="O31" s="547" t="s">
        <v>75</v>
      </c>
      <c r="P31" s="547" t="s">
        <v>75</v>
      </c>
      <c r="Q31" s="547" t="s">
        <v>75</v>
      </c>
      <c r="R31" s="547" t="s">
        <v>75</v>
      </c>
      <c r="S31" s="547" t="s">
        <v>75</v>
      </c>
      <c r="T31" s="547" t="s">
        <v>75</v>
      </c>
      <c r="U31" s="547" t="s">
        <v>75</v>
      </c>
      <c r="V31" s="547" t="s">
        <v>75</v>
      </c>
      <c r="W31" s="547" t="s">
        <v>75</v>
      </c>
      <c r="X31" s="547" t="s">
        <v>75</v>
      </c>
      <c r="Y31" s="547" t="s">
        <v>75</v>
      </c>
      <c r="Z31" s="547" t="s">
        <v>75</v>
      </c>
      <c r="AA31" s="547" t="s">
        <v>75</v>
      </c>
      <c r="AB31" s="547" t="s">
        <v>75</v>
      </c>
      <c r="AC31" s="547" t="s">
        <v>75</v>
      </c>
      <c r="AD31" s="547" t="s">
        <v>75</v>
      </c>
      <c r="AE31" s="547" t="s">
        <v>75</v>
      </c>
      <c r="AF31" s="529"/>
      <c r="AG31" s="547" t="s">
        <v>75</v>
      </c>
    </row>
    <row r="32" spans="1:36">
      <c r="A32" s="532" t="s">
        <v>77</v>
      </c>
      <c r="B32" s="555">
        <v>45350</v>
      </c>
      <c r="C32" s="555">
        <v>45350</v>
      </c>
      <c r="D32" s="555">
        <v>45350</v>
      </c>
      <c r="E32" s="555">
        <v>45350</v>
      </c>
      <c r="F32" s="555">
        <v>45350</v>
      </c>
      <c r="G32" s="555">
        <v>45350</v>
      </c>
      <c r="H32" s="555">
        <v>45350</v>
      </c>
      <c r="I32" s="555">
        <v>45350</v>
      </c>
      <c r="J32" s="555">
        <v>45350</v>
      </c>
      <c r="K32" s="555">
        <v>45350</v>
      </c>
      <c r="L32" s="555">
        <v>45350</v>
      </c>
      <c r="M32" s="555">
        <v>45350</v>
      </c>
      <c r="N32" s="555">
        <v>45350</v>
      </c>
      <c r="O32" s="555">
        <v>45350</v>
      </c>
      <c r="P32" s="555">
        <v>45350</v>
      </c>
      <c r="Q32" s="555">
        <v>45350</v>
      </c>
      <c r="R32" s="555">
        <v>45350</v>
      </c>
      <c r="S32" s="555">
        <v>45350</v>
      </c>
      <c r="T32" s="555">
        <v>45350</v>
      </c>
      <c r="U32" s="555">
        <v>45350</v>
      </c>
      <c r="V32" s="555">
        <v>45350</v>
      </c>
      <c r="W32" s="555">
        <v>45350</v>
      </c>
      <c r="X32" s="555">
        <v>45350</v>
      </c>
      <c r="Y32" s="555">
        <v>45350</v>
      </c>
      <c r="Z32" s="555">
        <v>45350</v>
      </c>
      <c r="AA32" s="555">
        <v>45350</v>
      </c>
      <c r="AB32" s="555">
        <v>45350</v>
      </c>
      <c r="AC32" s="555">
        <v>45350</v>
      </c>
      <c r="AD32" s="555">
        <v>45350</v>
      </c>
      <c r="AE32" s="555">
        <v>45350</v>
      </c>
      <c r="AF32" s="529">
        <f t="shared" si="0"/>
        <v>0</v>
      </c>
      <c r="AG32" s="555">
        <v>45350</v>
      </c>
    </row>
    <row r="33" spans="1:34" ht="25.5">
      <c r="A33" s="532" t="s">
        <v>80</v>
      </c>
      <c r="B33" s="555">
        <v>45350</v>
      </c>
      <c r="C33" s="555">
        <v>45350</v>
      </c>
      <c r="D33" s="555">
        <v>45350</v>
      </c>
      <c r="E33" s="555">
        <v>45350</v>
      </c>
      <c r="F33" s="555">
        <v>45350</v>
      </c>
      <c r="G33" s="555">
        <v>45350</v>
      </c>
      <c r="H33" s="555">
        <v>45350</v>
      </c>
      <c r="I33" s="555">
        <v>45350</v>
      </c>
      <c r="J33" s="555">
        <v>45350</v>
      </c>
      <c r="K33" s="555">
        <v>45350</v>
      </c>
      <c r="L33" s="555">
        <v>45350</v>
      </c>
      <c r="M33" s="555">
        <v>45350</v>
      </c>
      <c r="N33" s="555">
        <v>45350</v>
      </c>
      <c r="O33" s="555">
        <v>45350</v>
      </c>
      <c r="P33" s="555">
        <v>45350</v>
      </c>
      <c r="Q33" s="555">
        <v>45350</v>
      </c>
      <c r="R33" s="555">
        <v>45350</v>
      </c>
      <c r="S33" s="555">
        <v>45350</v>
      </c>
      <c r="T33" s="555">
        <v>45350</v>
      </c>
      <c r="U33" s="555">
        <v>45350</v>
      </c>
      <c r="V33" s="555">
        <v>45350</v>
      </c>
      <c r="W33" s="555">
        <v>45350</v>
      </c>
      <c r="X33" s="555">
        <v>45350</v>
      </c>
      <c r="Y33" s="555">
        <v>45350</v>
      </c>
      <c r="Z33" s="555">
        <v>45350</v>
      </c>
      <c r="AA33" s="555">
        <v>45350</v>
      </c>
      <c r="AB33" s="555">
        <v>45350</v>
      </c>
      <c r="AC33" s="555">
        <v>45350</v>
      </c>
      <c r="AD33" s="555">
        <v>45350</v>
      </c>
      <c r="AE33" s="555">
        <v>45350</v>
      </c>
      <c r="AF33" s="529">
        <f t="shared" si="0"/>
        <v>0</v>
      </c>
      <c r="AG33" s="555">
        <v>45350</v>
      </c>
    </row>
    <row r="34" spans="1:34" ht="15.75" thickBot="1">
      <c r="A34" s="537" t="s">
        <v>81</v>
      </c>
      <c r="B34" s="558">
        <v>1500</v>
      </c>
      <c r="C34" s="558">
        <v>1500</v>
      </c>
      <c r="D34" s="558">
        <v>1500</v>
      </c>
      <c r="E34" s="558">
        <v>1500</v>
      </c>
      <c r="F34" s="558">
        <v>1500</v>
      </c>
      <c r="G34" s="558">
        <v>1500</v>
      </c>
      <c r="H34" s="558">
        <v>1500</v>
      </c>
      <c r="I34" s="558">
        <v>1500</v>
      </c>
      <c r="J34" s="558">
        <v>1500</v>
      </c>
      <c r="K34" s="558">
        <v>1500</v>
      </c>
      <c r="L34" s="558">
        <v>1500</v>
      </c>
      <c r="M34" s="558">
        <v>1500</v>
      </c>
      <c r="N34" s="558">
        <v>1500</v>
      </c>
      <c r="O34" s="558">
        <v>1500</v>
      </c>
      <c r="P34" s="558">
        <v>1500</v>
      </c>
      <c r="Q34" s="558">
        <v>1500</v>
      </c>
      <c r="R34" s="558">
        <v>1500</v>
      </c>
      <c r="S34" s="558">
        <v>1500</v>
      </c>
      <c r="T34" s="558">
        <v>1500</v>
      </c>
      <c r="U34" s="558">
        <v>1500</v>
      </c>
      <c r="V34" s="558">
        <v>1500</v>
      </c>
      <c r="W34" s="558">
        <v>1500</v>
      </c>
      <c r="X34" s="558">
        <v>1500</v>
      </c>
      <c r="Y34" s="558">
        <v>1500</v>
      </c>
      <c r="Z34" s="558">
        <v>1500</v>
      </c>
      <c r="AA34" s="558">
        <v>1500</v>
      </c>
      <c r="AB34" s="558">
        <v>1500</v>
      </c>
      <c r="AC34" s="558">
        <v>1500</v>
      </c>
      <c r="AD34" s="558">
        <v>1500</v>
      </c>
      <c r="AE34" s="558">
        <v>1500</v>
      </c>
      <c r="AF34" s="529">
        <f t="shared" si="0"/>
        <v>0</v>
      </c>
      <c r="AG34" s="558">
        <v>1500</v>
      </c>
    </row>
    <row r="35" spans="1:34">
      <c r="A35" s="562"/>
      <c r="B35" s="559"/>
      <c r="C35" s="559"/>
      <c r="D35" s="559"/>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559"/>
      <c r="AE35" s="559"/>
      <c r="AF35" s="529">
        <f t="shared" si="0"/>
        <v>0</v>
      </c>
      <c r="AG35" s="559"/>
    </row>
    <row r="36" spans="1:34">
      <c r="A36" s="563" t="s">
        <v>2817</v>
      </c>
      <c r="B36" s="547" t="s">
        <v>64</v>
      </c>
      <c r="C36" s="547" t="s">
        <v>64</v>
      </c>
      <c r="D36" s="547" t="s">
        <v>64</v>
      </c>
      <c r="E36" s="547" t="s">
        <v>64</v>
      </c>
      <c r="F36" s="547" t="s">
        <v>64</v>
      </c>
      <c r="G36" s="547" t="s">
        <v>64</v>
      </c>
      <c r="H36" s="547" t="s">
        <v>64</v>
      </c>
      <c r="I36" s="547" t="s">
        <v>64</v>
      </c>
      <c r="J36" s="547" t="s">
        <v>64</v>
      </c>
      <c r="K36" s="547" t="s">
        <v>64</v>
      </c>
      <c r="L36" s="547" t="s">
        <v>64</v>
      </c>
      <c r="M36" s="547" t="s">
        <v>64</v>
      </c>
      <c r="N36" s="547" t="s">
        <v>64</v>
      </c>
      <c r="O36" s="547" t="s">
        <v>64</v>
      </c>
      <c r="P36" s="547" t="s">
        <v>64</v>
      </c>
      <c r="Q36" s="547" t="s">
        <v>64</v>
      </c>
      <c r="R36" s="547" t="s">
        <v>64</v>
      </c>
      <c r="S36" s="547" t="s">
        <v>64</v>
      </c>
      <c r="T36" s="547" t="s">
        <v>64</v>
      </c>
      <c r="U36" s="547" t="s">
        <v>64</v>
      </c>
      <c r="V36" s="547" t="s">
        <v>64</v>
      </c>
      <c r="W36" s="547" t="s">
        <v>64</v>
      </c>
      <c r="X36" s="547" t="s">
        <v>64</v>
      </c>
      <c r="Y36" s="547" t="s">
        <v>64</v>
      </c>
      <c r="Z36" s="547" t="s">
        <v>64</v>
      </c>
      <c r="AA36" s="547" t="s">
        <v>64</v>
      </c>
      <c r="AB36" s="547" t="s">
        <v>64</v>
      </c>
      <c r="AC36" s="547" t="s">
        <v>64</v>
      </c>
      <c r="AD36" s="547" t="s">
        <v>64</v>
      </c>
      <c r="AE36" s="547" t="s">
        <v>64</v>
      </c>
      <c r="AF36" s="529"/>
      <c r="AG36" s="547" t="s">
        <v>64</v>
      </c>
    </row>
    <row r="37" spans="1:34">
      <c r="A37" s="565" t="s">
        <v>2818</v>
      </c>
      <c r="B37" s="555">
        <v>196147</v>
      </c>
      <c r="C37" s="555">
        <v>197576</v>
      </c>
      <c r="D37" s="555">
        <v>199489</v>
      </c>
      <c r="E37" s="555">
        <v>199489</v>
      </c>
      <c r="F37" s="555">
        <v>201636</v>
      </c>
      <c r="G37" s="555">
        <v>201636</v>
      </c>
      <c r="H37" s="555">
        <v>204930</v>
      </c>
      <c r="I37" s="555">
        <v>206536</v>
      </c>
      <c r="J37" s="555">
        <v>208050</v>
      </c>
      <c r="K37" s="555">
        <v>209598</v>
      </c>
      <c r="L37" s="555">
        <v>209598</v>
      </c>
      <c r="M37" s="555">
        <v>212301</v>
      </c>
      <c r="N37" s="555">
        <v>213788</v>
      </c>
      <c r="O37" s="555">
        <v>215309</v>
      </c>
      <c r="P37" s="555">
        <v>216780</v>
      </c>
      <c r="Q37" s="555">
        <v>218275</v>
      </c>
      <c r="R37" s="555">
        <v>219733</v>
      </c>
      <c r="S37" s="555">
        <v>219733</v>
      </c>
      <c r="T37" s="555">
        <v>222774</v>
      </c>
      <c r="U37" s="555">
        <v>224425</v>
      </c>
      <c r="V37" s="555">
        <v>226063</v>
      </c>
      <c r="W37" s="555">
        <v>227987</v>
      </c>
      <c r="X37" s="555">
        <v>229434</v>
      </c>
      <c r="Y37" s="555">
        <v>230841</v>
      </c>
      <c r="Z37" s="546">
        <v>232211</v>
      </c>
      <c r="AA37" s="555">
        <v>233580</v>
      </c>
      <c r="AB37" s="555">
        <v>235087</v>
      </c>
      <c r="AC37" s="555">
        <v>236597</v>
      </c>
      <c r="AD37" s="555">
        <v>238025</v>
      </c>
      <c r="AE37" s="555">
        <v>239549</v>
      </c>
      <c r="AF37" s="529">
        <f t="shared" si="0"/>
        <v>44883</v>
      </c>
      <c r="AG37" s="555">
        <v>194666</v>
      </c>
      <c r="AH37" s="522">
        <v>44883</v>
      </c>
    </row>
    <row r="38" spans="1:34">
      <c r="A38" s="565" t="s">
        <v>2819</v>
      </c>
      <c r="B38" s="560">
        <v>588129</v>
      </c>
      <c r="C38" s="560">
        <v>592236</v>
      </c>
      <c r="D38" s="560">
        <v>597943</v>
      </c>
      <c r="E38" s="560">
        <v>597943</v>
      </c>
      <c r="F38" s="560">
        <v>604916</v>
      </c>
      <c r="G38" s="560">
        <v>604916</v>
      </c>
      <c r="H38" s="560">
        <v>613351</v>
      </c>
      <c r="I38" s="560">
        <v>617716</v>
      </c>
      <c r="J38" s="560">
        <v>621948</v>
      </c>
      <c r="K38" s="560">
        <v>626277</v>
      </c>
      <c r="L38" s="560">
        <v>626277</v>
      </c>
      <c r="M38" s="560">
        <v>633945</v>
      </c>
      <c r="N38" s="560">
        <v>638239</v>
      </c>
      <c r="O38" s="560">
        <v>642559</v>
      </c>
      <c r="P38" s="560">
        <v>646779</v>
      </c>
      <c r="Q38" s="560">
        <v>651086</v>
      </c>
      <c r="R38" s="560">
        <v>655345</v>
      </c>
      <c r="S38" s="560">
        <v>655345</v>
      </c>
      <c r="T38" s="560">
        <v>663818</v>
      </c>
      <c r="U38" s="560">
        <v>668276</v>
      </c>
      <c r="V38" s="560">
        <v>672576</v>
      </c>
      <c r="W38" s="560">
        <v>676998</v>
      </c>
      <c r="X38" s="551">
        <v>670738</v>
      </c>
      <c r="Y38" s="551">
        <v>664048</v>
      </c>
      <c r="Z38" s="551">
        <v>670738</v>
      </c>
      <c r="AA38" s="551">
        <v>652840</v>
      </c>
      <c r="AB38" s="551">
        <v>644372</v>
      </c>
      <c r="AC38" s="551">
        <v>633520</v>
      </c>
      <c r="AD38" s="551">
        <v>623062</v>
      </c>
      <c r="AE38" s="560">
        <v>616147</v>
      </c>
      <c r="AF38" s="529">
        <f t="shared" si="0"/>
        <v>32377</v>
      </c>
      <c r="AG38" s="560">
        <v>583770</v>
      </c>
      <c r="AH38" s="522">
        <v>32377</v>
      </c>
    </row>
    <row r="39" spans="1:34">
      <c r="A39" s="565" t="s">
        <v>2820</v>
      </c>
      <c r="B39" s="560">
        <v>268240</v>
      </c>
      <c r="C39" s="560">
        <v>270272</v>
      </c>
      <c r="D39" s="560">
        <v>273038</v>
      </c>
      <c r="E39" s="560">
        <v>273038</v>
      </c>
      <c r="F39" s="560">
        <v>276323</v>
      </c>
      <c r="G39" s="560">
        <v>276323</v>
      </c>
      <c r="H39" s="560">
        <v>280630</v>
      </c>
      <c r="I39" s="560">
        <v>282792</v>
      </c>
      <c r="J39" s="560">
        <v>284878</v>
      </c>
      <c r="K39" s="560">
        <v>284878</v>
      </c>
      <c r="L39" s="560">
        <v>284878</v>
      </c>
      <c r="M39" s="560">
        <v>290817</v>
      </c>
      <c r="N39" s="560">
        <v>292896</v>
      </c>
      <c r="O39" s="560">
        <v>295021</v>
      </c>
      <c r="P39" s="560">
        <v>297068</v>
      </c>
      <c r="Q39" s="560">
        <v>299133</v>
      </c>
      <c r="R39" s="560">
        <v>301269</v>
      </c>
      <c r="S39" s="560">
        <v>301269</v>
      </c>
      <c r="T39" s="560">
        <v>305712</v>
      </c>
      <c r="U39" s="560">
        <v>308071</v>
      </c>
      <c r="V39" s="560">
        <v>310324</v>
      </c>
      <c r="W39" s="560">
        <v>312822</v>
      </c>
      <c r="X39" s="560">
        <v>315170</v>
      </c>
      <c r="Y39" s="560">
        <v>317605</v>
      </c>
      <c r="Z39" s="551">
        <v>320029</v>
      </c>
      <c r="AA39" s="560">
        <v>322453</v>
      </c>
      <c r="AB39" s="560">
        <v>324641</v>
      </c>
      <c r="AC39" s="560">
        <v>326913</v>
      </c>
      <c r="AD39" s="560">
        <v>329087</v>
      </c>
      <c r="AE39" s="560">
        <v>331185</v>
      </c>
      <c r="AF39" s="529">
        <f t="shared" si="0"/>
        <v>65088</v>
      </c>
      <c r="AG39" s="560">
        <v>266097</v>
      </c>
      <c r="AH39" s="522">
        <v>65088</v>
      </c>
    </row>
    <row r="40" spans="1:34">
      <c r="A40" s="565" t="s">
        <v>2821</v>
      </c>
      <c r="B40" s="559">
        <v>0</v>
      </c>
      <c r="C40" s="559">
        <v>0</v>
      </c>
      <c r="D40" s="559">
        <v>0</v>
      </c>
      <c r="E40" s="559">
        <v>0</v>
      </c>
      <c r="F40" s="559">
        <v>0</v>
      </c>
      <c r="G40" s="559">
        <v>0</v>
      </c>
      <c r="H40" s="559">
        <v>0</v>
      </c>
      <c r="I40" s="559">
        <v>0</v>
      </c>
      <c r="J40" s="559">
        <v>0</v>
      </c>
      <c r="K40" s="559">
        <v>286959</v>
      </c>
      <c r="L40" s="559">
        <v>286959</v>
      </c>
      <c r="M40" s="559">
        <v>286959</v>
      </c>
      <c r="N40" s="559">
        <v>286959</v>
      </c>
      <c r="O40" s="559">
        <v>286959</v>
      </c>
      <c r="P40" s="559">
        <v>286959</v>
      </c>
      <c r="Q40" s="559">
        <v>286959</v>
      </c>
      <c r="R40" s="559">
        <v>286959</v>
      </c>
      <c r="S40" s="559">
        <v>286959</v>
      </c>
      <c r="T40" s="559">
        <v>286959</v>
      </c>
      <c r="U40" s="559">
        <v>286959</v>
      </c>
      <c r="V40" s="559">
        <v>286959</v>
      </c>
      <c r="W40" s="559">
        <v>286959</v>
      </c>
      <c r="X40" s="559">
        <v>286959</v>
      </c>
      <c r="Y40" s="559">
        <v>286959</v>
      </c>
      <c r="Z40" s="559">
        <v>286959</v>
      </c>
      <c r="AA40" s="559">
        <v>286959</v>
      </c>
      <c r="AB40" s="559">
        <v>286959</v>
      </c>
      <c r="AC40" s="559">
        <v>286959</v>
      </c>
      <c r="AD40" s="559">
        <v>286959</v>
      </c>
      <c r="AE40" s="559">
        <v>286959</v>
      </c>
      <c r="AF40" s="529">
        <f t="shared" si="0"/>
        <v>286959</v>
      </c>
      <c r="AG40" s="559">
        <v>0</v>
      </c>
    </row>
    <row r="41" spans="1:34">
      <c r="A41" s="565" t="s">
        <v>2822</v>
      </c>
      <c r="B41" s="559">
        <v>15401</v>
      </c>
      <c r="C41" s="559">
        <v>15462</v>
      </c>
      <c r="D41" s="559">
        <v>15542</v>
      </c>
      <c r="E41" s="559">
        <v>15542</v>
      </c>
      <c r="F41" s="559">
        <v>15542</v>
      </c>
      <c r="G41" s="559">
        <v>15542</v>
      </c>
      <c r="H41" s="559">
        <v>15542</v>
      </c>
      <c r="I41" s="559">
        <v>15542</v>
      </c>
      <c r="J41" s="559">
        <v>15542</v>
      </c>
      <c r="K41" s="559">
        <v>15903</v>
      </c>
      <c r="L41" s="559">
        <v>15903</v>
      </c>
      <c r="M41" s="559">
        <v>15903</v>
      </c>
      <c r="N41" s="559">
        <v>15903</v>
      </c>
      <c r="O41" s="559">
        <v>15903</v>
      </c>
      <c r="P41" s="559">
        <v>15903</v>
      </c>
      <c r="Q41" s="559">
        <v>15903</v>
      </c>
      <c r="R41" s="559">
        <v>16262</v>
      </c>
      <c r="S41" s="559">
        <v>16268</v>
      </c>
      <c r="T41" s="559">
        <v>16268</v>
      </c>
      <c r="U41" s="559">
        <v>16268</v>
      </c>
      <c r="V41" s="559">
        <v>16268</v>
      </c>
      <c r="W41" s="559">
        <v>16268</v>
      </c>
      <c r="X41" s="559">
        <v>16268</v>
      </c>
      <c r="Y41" s="559">
        <v>16706</v>
      </c>
      <c r="Z41" s="559">
        <v>16719</v>
      </c>
      <c r="AA41" s="559">
        <v>16719</v>
      </c>
      <c r="AB41" s="559">
        <v>16719</v>
      </c>
      <c r="AC41" s="559">
        <v>16719</v>
      </c>
      <c r="AD41" s="559">
        <v>17017</v>
      </c>
      <c r="AE41" s="559">
        <v>17091</v>
      </c>
      <c r="AF41" s="529">
        <f t="shared" si="0"/>
        <v>1739</v>
      </c>
      <c r="AG41" s="559">
        <v>15352</v>
      </c>
      <c r="AH41" s="522">
        <v>1739</v>
      </c>
    </row>
    <row r="42" spans="1:34">
      <c r="A42" s="565" t="s">
        <v>2823</v>
      </c>
      <c r="B42" s="559">
        <v>7215</v>
      </c>
      <c r="C42" s="559">
        <v>7215</v>
      </c>
      <c r="D42" s="559">
        <v>7222</v>
      </c>
      <c r="E42" s="559">
        <v>7222</v>
      </c>
      <c r="F42" s="559">
        <v>7239</v>
      </c>
      <c r="G42" s="559">
        <v>7239</v>
      </c>
      <c r="H42" s="559">
        <v>7318</v>
      </c>
      <c r="I42" s="559">
        <v>7353</v>
      </c>
      <c r="J42" s="559">
        <v>7411</v>
      </c>
      <c r="K42" s="559">
        <v>7451</v>
      </c>
      <c r="L42" s="559">
        <v>7451</v>
      </c>
      <c r="M42" s="559">
        <v>7521</v>
      </c>
      <c r="N42" s="559">
        <v>7543</v>
      </c>
      <c r="O42" s="559">
        <v>7580</v>
      </c>
      <c r="P42" s="559">
        <v>7613</v>
      </c>
      <c r="Q42" s="559">
        <v>7662</v>
      </c>
      <c r="R42" s="559">
        <v>7687</v>
      </c>
      <c r="S42" s="559">
        <v>7687</v>
      </c>
      <c r="T42" s="559">
        <v>7774</v>
      </c>
      <c r="U42" s="559">
        <v>7804</v>
      </c>
      <c r="V42" s="559">
        <v>7833</v>
      </c>
      <c r="W42" s="559">
        <v>7850</v>
      </c>
      <c r="X42" s="559">
        <v>7879</v>
      </c>
      <c r="Y42" s="559">
        <v>7937</v>
      </c>
      <c r="Z42" s="559">
        <v>7879</v>
      </c>
      <c r="AA42" s="559">
        <v>7956</v>
      </c>
      <c r="AB42" s="559">
        <v>7995</v>
      </c>
      <c r="AC42" s="559">
        <v>8046</v>
      </c>
      <c r="AD42" s="559">
        <v>8084</v>
      </c>
      <c r="AE42" s="559">
        <v>8135</v>
      </c>
      <c r="AF42" s="529">
        <f t="shared" si="0"/>
        <v>920</v>
      </c>
      <c r="AG42" s="559">
        <v>7215</v>
      </c>
      <c r="AH42" s="522">
        <v>920</v>
      </c>
    </row>
    <row r="43" spans="1:34" ht="15.75" thickBot="1">
      <c r="A43" s="566" t="s">
        <v>2824</v>
      </c>
      <c r="B43" s="561">
        <v>2312</v>
      </c>
      <c r="C43" s="561">
        <v>2312</v>
      </c>
      <c r="D43" s="561">
        <v>2312</v>
      </c>
      <c r="E43" s="561">
        <v>2312</v>
      </c>
      <c r="F43" s="561">
        <v>2312</v>
      </c>
      <c r="G43" s="561">
        <v>2312</v>
      </c>
      <c r="H43" s="561">
        <v>2312</v>
      </c>
      <c r="I43" s="561">
        <v>2312</v>
      </c>
      <c r="J43" s="561">
        <v>2312</v>
      </c>
      <c r="K43" s="561">
        <v>2325</v>
      </c>
      <c r="L43" s="561">
        <v>2325</v>
      </c>
      <c r="M43" s="561">
        <v>2325</v>
      </c>
      <c r="N43" s="561">
        <v>2325</v>
      </c>
      <c r="O43" s="561">
        <v>2325</v>
      </c>
      <c r="P43" s="561">
        <v>2325</v>
      </c>
      <c r="Q43" s="561">
        <v>2325</v>
      </c>
      <c r="R43" s="561">
        <v>2347</v>
      </c>
      <c r="S43" s="561">
        <v>2373</v>
      </c>
      <c r="T43" s="561">
        <v>2373</v>
      </c>
      <c r="U43" s="561">
        <v>2373</v>
      </c>
      <c r="V43" s="561">
        <v>2373</v>
      </c>
      <c r="W43" s="561">
        <v>2373</v>
      </c>
      <c r="X43" s="561">
        <v>2373</v>
      </c>
      <c r="Y43" s="561">
        <v>2380</v>
      </c>
      <c r="Z43" s="561">
        <v>2380</v>
      </c>
      <c r="AA43" s="561">
        <v>2380</v>
      </c>
      <c r="AB43" s="561">
        <v>2380</v>
      </c>
      <c r="AC43" s="561">
        <v>2380</v>
      </c>
      <c r="AD43" s="561">
        <v>2391</v>
      </c>
      <c r="AE43" s="561">
        <v>2398</v>
      </c>
      <c r="AF43" s="529">
        <f t="shared" si="0"/>
        <v>86</v>
      </c>
      <c r="AG43" s="561">
        <v>2312</v>
      </c>
      <c r="AH43" s="522">
        <v>86</v>
      </c>
    </row>
  </sheetData>
  <mergeCells count="1">
    <mergeCell ref="A1:AG1"/>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86E9-1071-4DC2-AC1E-AB765ABE3983}">
  <dimension ref="A1:AK43"/>
  <sheetViews>
    <sheetView workbookViewId="0">
      <selection sqref="A1:XFD1048576"/>
    </sheetView>
  </sheetViews>
  <sheetFormatPr defaultColWidth="9.140625" defaultRowHeight="15"/>
  <cols>
    <col min="1" max="1" width="39.7109375" style="144" customWidth="1"/>
    <col min="2" max="2" width="13" style="144" customWidth="1"/>
    <col min="3" max="16" width="12.85546875" style="144" customWidth="1"/>
    <col min="17" max="17" width="16" style="144" customWidth="1"/>
    <col min="18" max="21" width="12.85546875" style="144" customWidth="1"/>
    <col min="22" max="22" width="12.85546875" style="312" customWidth="1"/>
    <col min="23" max="32" width="12.85546875" style="144" customWidth="1"/>
    <col min="33" max="33" width="15.7109375" style="144" customWidth="1"/>
    <col min="34" max="34" width="12.85546875" style="144" customWidth="1"/>
    <col min="35" max="35" width="9.140625" style="144"/>
    <col min="36" max="36" width="10" style="144" bestFit="1" customWidth="1"/>
    <col min="37" max="37" width="13.85546875" style="144" customWidth="1"/>
    <col min="38" max="38" width="14.85546875" style="144" customWidth="1"/>
    <col min="39" max="16384" width="9.140625" style="144"/>
  </cols>
  <sheetData>
    <row r="1" spans="1:37" ht="19.5" thickBot="1">
      <c r="A1" s="488" t="s">
        <v>50</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row>
    <row r="2" spans="1:37" ht="15.75">
      <c r="A2" s="280"/>
      <c r="B2" s="281">
        <v>46143</v>
      </c>
      <c r="C2" s="281">
        <v>46144</v>
      </c>
      <c r="D2" s="281">
        <v>46145</v>
      </c>
      <c r="E2" s="281">
        <v>46146</v>
      </c>
      <c r="F2" s="281">
        <v>46147</v>
      </c>
      <c r="G2" s="281">
        <v>46148</v>
      </c>
      <c r="H2" s="281">
        <v>46149</v>
      </c>
      <c r="I2" s="281">
        <v>46150</v>
      </c>
      <c r="J2" s="281">
        <v>46151</v>
      </c>
      <c r="K2" s="281">
        <v>46152</v>
      </c>
      <c r="L2" s="281">
        <v>46153</v>
      </c>
      <c r="M2" s="281">
        <v>46154</v>
      </c>
      <c r="N2" s="281">
        <v>46155</v>
      </c>
      <c r="O2" s="281">
        <v>46156</v>
      </c>
      <c r="P2" s="281">
        <v>46157</v>
      </c>
      <c r="Q2" s="281">
        <v>46158</v>
      </c>
      <c r="R2" s="281">
        <v>46159</v>
      </c>
      <c r="S2" s="281">
        <v>46160</v>
      </c>
      <c r="T2" s="281">
        <v>46161</v>
      </c>
      <c r="U2" s="281">
        <v>46162</v>
      </c>
      <c r="V2" s="281">
        <v>46163</v>
      </c>
      <c r="W2" s="281">
        <v>46164</v>
      </c>
      <c r="X2" s="281">
        <v>46165</v>
      </c>
      <c r="Y2" s="281">
        <v>46166</v>
      </c>
      <c r="Z2" s="281">
        <v>46167</v>
      </c>
      <c r="AA2" s="281">
        <v>46168</v>
      </c>
      <c r="AB2" s="281">
        <v>46169</v>
      </c>
      <c r="AC2" s="281">
        <v>46170</v>
      </c>
      <c r="AD2" s="281">
        <v>46171</v>
      </c>
      <c r="AE2" s="281">
        <v>46172</v>
      </c>
      <c r="AF2" s="281">
        <v>46173</v>
      </c>
      <c r="AG2" s="281"/>
      <c r="AH2" s="281">
        <v>46142</v>
      </c>
    </row>
    <row r="3" spans="1:37" ht="16.5">
      <c r="A3" s="282" t="s">
        <v>51</v>
      </c>
      <c r="B3" s="283" t="s">
        <v>53</v>
      </c>
      <c r="C3" s="283" t="s">
        <v>53</v>
      </c>
      <c r="D3" s="283" t="s">
        <v>53</v>
      </c>
      <c r="E3" s="283" t="s">
        <v>53</v>
      </c>
      <c r="F3" s="283" t="s">
        <v>53</v>
      </c>
      <c r="G3" s="283" t="s">
        <v>53</v>
      </c>
      <c r="H3" s="283" t="s">
        <v>53</v>
      </c>
      <c r="I3" s="283" t="s">
        <v>53</v>
      </c>
      <c r="J3" s="283" t="s">
        <v>53</v>
      </c>
      <c r="K3" s="283" t="s">
        <v>53</v>
      </c>
      <c r="L3" s="283" t="s">
        <v>53</v>
      </c>
      <c r="M3" s="284" t="s">
        <v>53</v>
      </c>
      <c r="N3" s="283" t="s">
        <v>53</v>
      </c>
      <c r="O3" s="283" t="s">
        <v>53</v>
      </c>
      <c r="P3" s="283" t="s">
        <v>53</v>
      </c>
      <c r="Q3" s="283" t="s">
        <v>53</v>
      </c>
      <c r="R3" s="283" t="s">
        <v>53</v>
      </c>
      <c r="S3" s="283" t="s">
        <v>53</v>
      </c>
      <c r="T3" s="283" t="s">
        <v>53</v>
      </c>
      <c r="U3" s="283" t="s">
        <v>53</v>
      </c>
      <c r="V3" s="283" t="s">
        <v>53</v>
      </c>
      <c r="W3" s="283" t="s">
        <v>53</v>
      </c>
      <c r="X3" s="283" t="s">
        <v>53</v>
      </c>
      <c r="Y3" s="283" t="s">
        <v>53</v>
      </c>
      <c r="Z3" s="283" t="s">
        <v>53</v>
      </c>
      <c r="AA3" s="283" t="s">
        <v>52</v>
      </c>
      <c r="AB3" s="283" t="s">
        <v>52</v>
      </c>
      <c r="AC3" s="283" t="s">
        <v>52</v>
      </c>
      <c r="AD3" s="283" t="s">
        <v>52</v>
      </c>
      <c r="AE3" s="283" t="s">
        <v>52</v>
      </c>
      <c r="AF3" s="283" t="s">
        <v>52</v>
      </c>
      <c r="AG3" s="271"/>
      <c r="AH3" s="283" t="s">
        <v>52</v>
      </c>
    </row>
    <row r="4" spans="1:37" ht="20.100000000000001" customHeight="1">
      <c r="A4" s="285" t="s">
        <v>54</v>
      </c>
      <c r="B4" s="420">
        <v>562800</v>
      </c>
      <c r="C4" s="420">
        <v>562933</v>
      </c>
      <c r="D4" s="420">
        <v>563075</v>
      </c>
      <c r="E4" s="420">
        <v>563229</v>
      </c>
      <c r="F4" s="420">
        <v>563369</v>
      </c>
      <c r="G4" s="420">
        <v>563536</v>
      </c>
      <c r="H4" s="420">
        <v>563689</v>
      </c>
      <c r="I4" s="420">
        <v>563836</v>
      </c>
      <c r="J4" s="420">
        <v>563975</v>
      </c>
      <c r="K4" s="420">
        <v>564118</v>
      </c>
      <c r="L4" s="420">
        <v>564270</v>
      </c>
      <c r="M4" s="420">
        <v>564423</v>
      </c>
      <c r="N4" s="420">
        <v>564577</v>
      </c>
      <c r="O4" s="420">
        <v>564731</v>
      </c>
      <c r="P4" s="420">
        <v>564875</v>
      </c>
      <c r="Q4" s="420">
        <v>565022</v>
      </c>
      <c r="R4" s="420">
        <v>565166</v>
      </c>
      <c r="S4" s="490">
        <v>565322</v>
      </c>
      <c r="T4" s="490">
        <v>565472</v>
      </c>
      <c r="U4" s="491">
        <v>565630</v>
      </c>
      <c r="V4" s="491">
        <v>565779</v>
      </c>
      <c r="W4" s="491">
        <v>565820</v>
      </c>
      <c r="X4" s="491">
        <v>566063</v>
      </c>
      <c r="Y4" s="492">
        <v>566209</v>
      </c>
      <c r="Z4" s="492">
        <v>566352</v>
      </c>
      <c r="AA4" s="21">
        <v>566505</v>
      </c>
      <c r="AB4" s="21">
        <v>566669</v>
      </c>
      <c r="AC4" s="21">
        <v>566827</v>
      </c>
      <c r="AD4" s="21">
        <v>566983</v>
      </c>
      <c r="AE4" s="21">
        <v>567127</v>
      </c>
      <c r="AF4" s="21">
        <v>567264</v>
      </c>
      <c r="AG4" s="290">
        <f>AF4-AH4</f>
        <v>4608</v>
      </c>
      <c r="AH4" s="420">
        <v>562656</v>
      </c>
      <c r="AI4" s="288"/>
    </row>
    <row r="5" spans="1:37" ht="20.100000000000001" customHeight="1">
      <c r="A5" s="285" t="s">
        <v>55</v>
      </c>
      <c r="B5" s="420">
        <v>15811346</v>
      </c>
      <c r="C5" s="420">
        <v>15816820</v>
      </c>
      <c r="D5" s="420">
        <v>15822645</v>
      </c>
      <c r="E5" s="420">
        <v>15829727</v>
      </c>
      <c r="F5" s="420">
        <v>15835542</v>
      </c>
      <c r="G5" s="420">
        <v>15843746</v>
      </c>
      <c r="H5" s="420">
        <v>15851098</v>
      </c>
      <c r="I5" s="420">
        <v>15858090</v>
      </c>
      <c r="J5" s="420">
        <v>15864304</v>
      </c>
      <c r="K5" s="420">
        <v>15870558</v>
      </c>
      <c r="L5" s="420">
        <v>15878018</v>
      </c>
      <c r="M5" s="420">
        <v>15885460</v>
      </c>
      <c r="N5" s="420">
        <v>15892948</v>
      </c>
      <c r="O5" s="420">
        <v>15900444</v>
      </c>
      <c r="P5" s="420">
        <v>15907268</v>
      </c>
      <c r="Q5" s="420">
        <v>15913988</v>
      </c>
      <c r="R5" s="420">
        <v>15920628</v>
      </c>
      <c r="S5" s="490">
        <v>15928048</v>
      </c>
      <c r="T5" s="490">
        <v>15935256</v>
      </c>
      <c r="U5" s="491">
        <v>15942714</v>
      </c>
      <c r="V5" s="491">
        <v>15949749</v>
      </c>
      <c r="W5" s="491">
        <v>15956600</v>
      </c>
      <c r="X5" s="491">
        <v>15962585</v>
      </c>
      <c r="Y5" s="492">
        <v>15968930</v>
      </c>
      <c r="Z5" s="492">
        <v>15975547</v>
      </c>
      <c r="AA5" s="21">
        <v>15982416</v>
      </c>
      <c r="AB5" s="21">
        <v>15989281</v>
      </c>
      <c r="AC5" s="21">
        <v>15995574</v>
      </c>
      <c r="AD5" s="21">
        <v>16001797</v>
      </c>
      <c r="AE5" s="21">
        <v>16007307</v>
      </c>
      <c r="AF5" s="21">
        <v>16012541</v>
      </c>
      <c r="AG5" s="290">
        <f t="shared" ref="AG5:AG43" si="0">AF5-AH5</f>
        <v>207588</v>
      </c>
      <c r="AH5" s="420">
        <v>15804953</v>
      </c>
      <c r="AI5" s="288"/>
    </row>
    <row r="6" spans="1:37" ht="20.100000000000001" customHeight="1">
      <c r="A6" s="285" t="s">
        <v>56</v>
      </c>
      <c r="B6" s="420">
        <v>7267198</v>
      </c>
      <c r="C6" s="420">
        <v>7272776</v>
      </c>
      <c r="D6" s="420">
        <v>7278521</v>
      </c>
      <c r="E6" s="420">
        <v>7284878</v>
      </c>
      <c r="F6" s="420">
        <v>7290618</v>
      </c>
      <c r="G6" s="420">
        <v>7297284</v>
      </c>
      <c r="H6" s="420">
        <v>7303580</v>
      </c>
      <c r="I6" s="420">
        <v>7309380</v>
      </c>
      <c r="J6" s="420">
        <v>7314919</v>
      </c>
      <c r="K6" s="420">
        <v>7320547</v>
      </c>
      <c r="L6" s="420">
        <v>7326725</v>
      </c>
      <c r="M6" s="420">
        <v>7333186</v>
      </c>
      <c r="N6" s="420">
        <v>7339444</v>
      </c>
      <c r="O6" s="420">
        <v>7345609</v>
      </c>
      <c r="P6" s="420">
        <v>7351275</v>
      </c>
      <c r="Q6" s="420">
        <v>7357301</v>
      </c>
      <c r="R6" s="420">
        <v>7363247</v>
      </c>
      <c r="S6" s="490">
        <v>7369906</v>
      </c>
      <c r="T6" s="490">
        <v>7376296</v>
      </c>
      <c r="U6" s="491">
        <v>7382879</v>
      </c>
      <c r="V6" s="491">
        <v>7389137</v>
      </c>
      <c r="W6" s="491">
        <v>7395300</v>
      </c>
      <c r="X6" s="491">
        <v>7401015</v>
      </c>
      <c r="Y6" s="492">
        <v>7407125</v>
      </c>
      <c r="Z6" s="492">
        <v>7413128</v>
      </c>
      <c r="AA6" s="21">
        <v>7419403</v>
      </c>
      <c r="AB6" s="21">
        <v>7425681</v>
      </c>
      <c r="AC6" s="21">
        <v>7431638</v>
      </c>
      <c r="AD6" s="21">
        <v>7437613</v>
      </c>
      <c r="AE6" s="21">
        <v>7443497</v>
      </c>
      <c r="AF6" s="21">
        <v>7448989</v>
      </c>
      <c r="AG6" s="290">
        <f t="shared" si="0"/>
        <v>187666</v>
      </c>
      <c r="AH6" s="420">
        <v>7261323</v>
      </c>
      <c r="AI6" s="288"/>
    </row>
    <row r="7" spans="1:37" ht="20.100000000000001" customHeight="1">
      <c r="A7" s="285" t="s">
        <v>57</v>
      </c>
      <c r="B7" s="420">
        <v>2483678</v>
      </c>
      <c r="C7" s="420">
        <v>2483762</v>
      </c>
      <c r="D7" s="420">
        <v>2492159</v>
      </c>
      <c r="E7" s="420">
        <v>2501954</v>
      </c>
      <c r="F7" s="420">
        <v>2510434</v>
      </c>
      <c r="G7" s="420">
        <v>2516119</v>
      </c>
      <c r="H7" s="420">
        <v>2525055</v>
      </c>
      <c r="I7" s="420">
        <v>2534307</v>
      </c>
      <c r="J7" s="420">
        <v>2544387</v>
      </c>
      <c r="K7" s="420">
        <v>2554077</v>
      </c>
      <c r="L7" s="420">
        <v>2565123</v>
      </c>
      <c r="M7" s="420">
        <v>2569810</v>
      </c>
      <c r="N7" s="420">
        <v>2572042</v>
      </c>
      <c r="O7" s="420">
        <v>2574537</v>
      </c>
      <c r="P7" s="420">
        <v>2576955</v>
      </c>
      <c r="Q7" s="420">
        <v>2577044</v>
      </c>
      <c r="R7" s="420">
        <v>2586956</v>
      </c>
      <c r="S7" s="490">
        <v>2598884</v>
      </c>
      <c r="T7" s="490">
        <v>2609628</v>
      </c>
      <c r="U7" s="493">
        <v>2620291</v>
      </c>
      <c r="V7" s="493">
        <v>2630544</v>
      </c>
      <c r="W7" s="493">
        <v>2640637</v>
      </c>
      <c r="X7" s="493">
        <v>2649179</v>
      </c>
      <c r="Y7" s="492">
        <v>2658349</v>
      </c>
      <c r="Z7" s="492">
        <v>2667928</v>
      </c>
      <c r="AA7" s="21">
        <v>2677313</v>
      </c>
      <c r="AB7" s="21">
        <v>2685854</v>
      </c>
      <c r="AC7" s="21">
        <v>2694253</v>
      </c>
      <c r="AD7" s="21">
        <v>2703099</v>
      </c>
      <c r="AE7" s="21">
        <v>2711327</v>
      </c>
      <c r="AF7" s="21">
        <v>2711401</v>
      </c>
      <c r="AG7" s="290">
        <f t="shared" si="0"/>
        <v>230118</v>
      </c>
      <c r="AH7" s="420">
        <v>2481283</v>
      </c>
      <c r="AI7" s="288"/>
    </row>
    <row r="8" spans="1:37" ht="20.100000000000001" customHeight="1">
      <c r="A8" s="285" t="s">
        <v>58</v>
      </c>
      <c r="B8" s="420">
        <v>2313035</v>
      </c>
      <c r="C8" s="420">
        <v>2321095</v>
      </c>
      <c r="D8" s="420">
        <v>2321537</v>
      </c>
      <c r="E8" s="420">
        <v>2323108</v>
      </c>
      <c r="F8" s="420">
        <v>2324678</v>
      </c>
      <c r="G8" s="420">
        <v>2330755</v>
      </c>
      <c r="H8" s="420">
        <v>2334247</v>
      </c>
      <c r="I8" s="420">
        <v>2334323</v>
      </c>
      <c r="J8" s="420">
        <v>2334406</v>
      </c>
      <c r="K8" s="420">
        <v>2334486</v>
      </c>
      <c r="L8" s="420">
        <v>2334565</v>
      </c>
      <c r="M8" s="420">
        <v>2340204</v>
      </c>
      <c r="N8" s="420">
        <v>2349909</v>
      </c>
      <c r="O8" s="420">
        <v>2359209</v>
      </c>
      <c r="P8" s="420">
        <v>2367636</v>
      </c>
      <c r="Q8" s="420">
        <v>2378126</v>
      </c>
      <c r="R8" s="420">
        <v>2378257</v>
      </c>
      <c r="S8" s="490">
        <v>2378340</v>
      </c>
      <c r="T8" s="490">
        <v>2378422</v>
      </c>
      <c r="U8" s="491">
        <v>2378505</v>
      </c>
      <c r="V8" s="491">
        <v>2378586</v>
      </c>
      <c r="W8" s="491">
        <v>2378603</v>
      </c>
      <c r="X8" s="491">
        <v>2378749</v>
      </c>
      <c r="Y8" s="492">
        <v>2378833</v>
      </c>
      <c r="Z8" s="492">
        <v>2378910</v>
      </c>
      <c r="AA8" s="21">
        <v>2378992</v>
      </c>
      <c r="AB8" s="21">
        <v>2379080</v>
      </c>
      <c r="AC8" s="21">
        <v>2379163</v>
      </c>
      <c r="AD8" s="21">
        <v>2379247</v>
      </c>
      <c r="AE8" s="21">
        <v>2379876</v>
      </c>
      <c r="AF8" s="21">
        <v>2387426</v>
      </c>
      <c r="AG8" s="290">
        <f t="shared" si="0"/>
        <v>81700</v>
      </c>
      <c r="AH8" s="420">
        <v>2305726</v>
      </c>
      <c r="AI8" s="288"/>
    </row>
    <row r="9" spans="1:37" ht="20.100000000000001" customHeight="1">
      <c r="A9" s="285" t="s">
        <v>59</v>
      </c>
      <c r="B9" s="420">
        <v>3285987</v>
      </c>
      <c r="C9" s="420">
        <v>3291080</v>
      </c>
      <c r="D9" s="420">
        <v>3296433</v>
      </c>
      <c r="E9" s="420">
        <v>3302776</v>
      </c>
      <c r="F9" s="420">
        <v>3309116</v>
      </c>
      <c r="G9" s="420">
        <v>3315634</v>
      </c>
      <c r="H9" s="420">
        <v>3321888</v>
      </c>
      <c r="I9" s="420">
        <v>3327389</v>
      </c>
      <c r="J9" s="420">
        <v>3332968</v>
      </c>
      <c r="K9" s="420">
        <v>3338396</v>
      </c>
      <c r="L9" s="420">
        <v>3345045</v>
      </c>
      <c r="M9" s="420">
        <v>3351116</v>
      </c>
      <c r="N9" s="420">
        <v>3358082</v>
      </c>
      <c r="O9" s="420">
        <v>3365068</v>
      </c>
      <c r="P9" s="420">
        <v>3371343</v>
      </c>
      <c r="Q9" s="420">
        <v>3377116</v>
      </c>
      <c r="R9" s="420">
        <v>3382653</v>
      </c>
      <c r="S9" s="490">
        <v>3389155</v>
      </c>
      <c r="T9" s="490">
        <v>3394691</v>
      </c>
      <c r="U9" s="491">
        <v>3400585</v>
      </c>
      <c r="V9" s="491">
        <v>3406115</v>
      </c>
      <c r="W9" s="491">
        <v>3411206</v>
      </c>
      <c r="X9" s="491">
        <v>3417783</v>
      </c>
      <c r="Y9" s="492">
        <v>3423723</v>
      </c>
      <c r="Z9" s="492">
        <v>3429341</v>
      </c>
      <c r="AA9" s="21">
        <v>3435408</v>
      </c>
      <c r="AB9" s="21">
        <v>3441622</v>
      </c>
      <c r="AC9" s="21">
        <v>3447267</v>
      </c>
      <c r="AD9" s="21">
        <v>3452958</v>
      </c>
      <c r="AE9" s="21">
        <v>3458685</v>
      </c>
      <c r="AF9" s="21">
        <v>3463808</v>
      </c>
      <c r="AG9" s="290">
        <f t="shared" si="0"/>
        <v>183638</v>
      </c>
      <c r="AH9" s="420">
        <v>3280170</v>
      </c>
      <c r="AI9" s="288"/>
    </row>
    <row r="10" spans="1:37" ht="20.100000000000001" customHeight="1">
      <c r="A10" s="285" t="s">
        <v>60</v>
      </c>
      <c r="B10" s="420">
        <v>9795309</v>
      </c>
      <c r="C10" s="420">
        <v>9797830</v>
      </c>
      <c r="D10" s="420">
        <v>9800753</v>
      </c>
      <c r="E10" s="420">
        <v>9804596</v>
      </c>
      <c r="F10" s="420">
        <v>9808396</v>
      </c>
      <c r="G10" s="423">
        <v>9812469</v>
      </c>
      <c r="H10" s="423">
        <v>9816548</v>
      </c>
      <c r="I10" s="423">
        <v>9820259</v>
      </c>
      <c r="J10" s="423">
        <v>9823006</v>
      </c>
      <c r="K10" s="423">
        <v>9826117</v>
      </c>
      <c r="L10" s="423">
        <v>9830005</v>
      </c>
      <c r="M10" s="423">
        <v>9833919</v>
      </c>
      <c r="N10" s="423">
        <v>9837925</v>
      </c>
      <c r="O10" s="423">
        <v>9841987</v>
      </c>
      <c r="P10" s="423">
        <v>9845729</v>
      </c>
      <c r="Q10" s="423">
        <v>9848692</v>
      </c>
      <c r="R10" s="423">
        <v>9851962</v>
      </c>
      <c r="S10" s="490">
        <v>9856148</v>
      </c>
      <c r="T10" s="490">
        <v>9860131</v>
      </c>
      <c r="U10" s="491">
        <v>9864479</v>
      </c>
      <c r="V10" s="491">
        <v>9868407</v>
      </c>
      <c r="W10" s="491">
        <v>9872203</v>
      </c>
      <c r="X10" s="491">
        <v>9874701</v>
      </c>
      <c r="Y10" s="492">
        <v>9877861</v>
      </c>
      <c r="Z10" s="492">
        <v>9881340</v>
      </c>
      <c r="AA10" s="21">
        <v>9885113</v>
      </c>
      <c r="AB10" s="21">
        <v>9888348</v>
      </c>
      <c r="AC10" s="21">
        <v>9891058</v>
      </c>
      <c r="AD10" s="21">
        <v>9893730</v>
      </c>
      <c r="AE10" s="21">
        <v>9896107</v>
      </c>
      <c r="AF10" s="21">
        <v>9898655</v>
      </c>
      <c r="AG10" s="290">
        <f t="shared" si="0"/>
        <v>106713</v>
      </c>
      <c r="AH10" s="420">
        <v>9791942</v>
      </c>
      <c r="AI10" s="288"/>
    </row>
    <row r="11" spans="1:37" ht="22.5" customHeight="1">
      <c r="A11" s="285" t="s">
        <v>61</v>
      </c>
      <c r="B11" s="420">
        <v>374623</v>
      </c>
      <c r="C11" s="420">
        <v>374707</v>
      </c>
      <c r="D11" s="420">
        <v>374809</v>
      </c>
      <c r="E11" s="420">
        <v>374948</v>
      </c>
      <c r="F11" s="420">
        <v>375073</v>
      </c>
      <c r="G11" s="423">
        <v>375219</v>
      </c>
      <c r="H11" s="423">
        <v>375356</v>
      </c>
      <c r="I11" s="423">
        <v>375485</v>
      </c>
      <c r="J11" s="423">
        <v>375587</v>
      </c>
      <c r="K11" s="423">
        <v>375701</v>
      </c>
      <c r="L11" s="423">
        <v>375837</v>
      </c>
      <c r="M11" s="423">
        <v>375976</v>
      </c>
      <c r="N11" s="423">
        <v>376108</v>
      </c>
      <c r="O11" s="423">
        <v>376243</v>
      </c>
      <c r="P11" s="423">
        <v>376366</v>
      </c>
      <c r="Q11" s="423">
        <v>376470</v>
      </c>
      <c r="R11" s="423">
        <v>376578</v>
      </c>
      <c r="S11" s="490">
        <v>376714</v>
      </c>
      <c r="T11" s="490">
        <v>376842</v>
      </c>
      <c r="U11" s="491">
        <v>376975</v>
      </c>
      <c r="V11" s="491">
        <v>377100</v>
      </c>
      <c r="W11" s="491">
        <v>377127</v>
      </c>
      <c r="X11" s="491">
        <v>377314</v>
      </c>
      <c r="Y11" s="492">
        <v>377418</v>
      </c>
      <c r="Z11" s="492">
        <v>377537</v>
      </c>
      <c r="AA11" s="21">
        <v>377661</v>
      </c>
      <c r="AB11" s="21">
        <v>377776</v>
      </c>
      <c r="AC11" s="21">
        <v>377882</v>
      </c>
      <c r="AD11" s="21">
        <v>377985</v>
      </c>
      <c r="AE11" s="21">
        <v>378073</v>
      </c>
      <c r="AF11" s="21">
        <v>378161</v>
      </c>
      <c r="AG11" s="290">
        <f t="shared" si="0"/>
        <v>3660</v>
      </c>
      <c r="AH11" s="420">
        <v>374501</v>
      </c>
      <c r="AI11" s="288"/>
    </row>
    <row r="12" spans="1:37" s="294" customFormat="1" ht="18" customHeight="1">
      <c r="A12" s="291" t="s">
        <v>62</v>
      </c>
      <c r="B12" s="420"/>
      <c r="C12" s="420"/>
      <c r="D12" s="420"/>
      <c r="E12" s="420"/>
      <c r="F12" s="420"/>
      <c r="G12" s="423"/>
      <c r="H12" s="423"/>
      <c r="I12" s="423"/>
      <c r="J12" s="423"/>
      <c r="K12" s="423"/>
      <c r="L12" s="423"/>
      <c r="M12" s="423"/>
      <c r="N12" s="423"/>
      <c r="O12" s="423"/>
      <c r="P12" s="423"/>
      <c r="Q12" s="423"/>
      <c r="R12" s="423"/>
      <c r="S12" s="490"/>
      <c r="T12" s="490"/>
      <c r="U12" s="490"/>
      <c r="V12" s="490"/>
      <c r="W12" s="490"/>
      <c r="X12" s="494"/>
      <c r="Y12" s="494"/>
      <c r="Z12" s="494"/>
      <c r="AA12" s="495"/>
      <c r="AB12" s="495"/>
      <c r="AC12" s="495"/>
      <c r="AD12" s="495"/>
      <c r="AE12" s="495"/>
      <c r="AF12" s="495"/>
      <c r="AG12" s="290">
        <f t="shared" si="0"/>
        <v>0</v>
      </c>
      <c r="AH12" s="420"/>
    </row>
    <row r="13" spans="1:37">
      <c r="A13" s="282" t="s">
        <v>63</v>
      </c>
      <c r="B13" s="408" t="s">
        <v>64</v>
      </c>
      <c r="C13" s="408" t="s">
        <v>64</v>
      </c>
      <c r="D13" s="408" t="s">
        <v>64</v>
      </c>
      <c r="E13" s="408" t="s">
        <v>64</v>
      </c>
      <c r="F13" s="408" t="s">
        <v>64</v>
      </c>
      <c r="G13" s="408" t="s">
        <v>64</v>
      </c>
      <c r="H13" s="408" t="s">
        <v>64</v>
      </c>
      <c r="I13" s="408" t="s">
        <v>64</v>
      </c>
      <c r="J13" s="408" t="s">
        <v>64</v>
      </c>
      <c r="K13" s="408" t="s">
        <v>64</v>
      </c>
      <c r="L13" s="408" t="s">
        <v>64</v>
      </c>
      <c r="M13" s="408" t="s">
        <v>64</v>
      </c>
      <c r="N13" s="408" t="s">
        <v>64</v>
      </c>
      <c r="O13" s="408" t="s">
        <v>64</v>
      </c>
      <c r="P13" s="408" t="s">
        <v>64</v>
      </c>
      <c r="Q13" s="408" t="s">
        <v>64</v>
      </c>
      <c r="R13" s="408" t="s">
        <v>64</v>
      </c>
      <c r="S13" s="496" t="s">
        <v>64</v>
      </c>
      <c r="T13" s="496" t="s">
        <v>64</v>
      </c>
      <c r="U13" s="496" t="s">
        <v>64</v>
      </c>
      <c r="V13" s="496" t="s">
        <v>64</v>
      </c>
      <c r="W13" s="497" t="s">
        <v>64</v>
      </c>
      <c r="X13" s="497" t="s">
        <v>64</v>
      </c>
      <c r="Y13" s="497" t="s">
        <v>64</v>
      </c>
      <c r="Z13" s="497" t="s">
        <v>64</v>
      </c>
      <c r="AA13" s="498" t="s">
        <v>64</v>
      </c>
      <c r="AB13" s="498" t="s">
        <v>64</v>
      </c>
      <c r="AC13" s="498" t="s">
        <v>64</v>
      </c>
      <c r="AD13" s="498" t="s">
        <v>64</v>
      </c>
      <c r="AE13" s="498" t="s">
        <v>64</v>
      </c>
      <c r="AF13" s="498" t="s">
        <v>64</v>
      </c>
      <c r="AG13" s="290"/>
      <c r="AH13" s="408" t="s">
        <v>64</v>
      </c>
    </row>
    <row r="14" spans="1:37">
      <c r="A14" s="282" t="s">
        <v>995</v>
      </c>
      <c r="B14" s="409">
        <v>60890</v>
      </c>
      <c r="C14" s="409">
        <v>60914</v>
      </c>
      <c r="D14" s="409">
        <v>60989</v>
      </c>
      <c r="E14" s="409">
        <v>61095</v>
      </c>
      <c r="F14" s="409">
        <v>61145</v>
      </c>
      <c r="G14" s="416">
        <v>61191</v>
      </c>
      <c r="H14" s="416">
        <v>61444</v>
      </c>
      <c r="I14" s="416">
        <v>61583</v>
      </c>
      <c r="J14" s="416">
        <v>61587</v>
      </c>
      <c r="K14" s="416">
        <v>61704</v>
      </c>
      <c r="L14" s="416">
        <v>61825</v>
      </c>
      <c r="M14" s="416">
        <v>61937</v>
      </c>
      <c r="N14" s="416">
        <v>62030</v>
      </c>
      <c r="O14" s="416">
        <v>62045</v>
      </c>
      <c r="P14" s="416">
        <v>62273</v>
      </c>
      <c r="Q14" s="416">
        <v>62290</v>
      </c>
      <c r="R14" s="416">
        <v>62290</v>
      </c>
      <c r="S14" s="491">
        <v>62500</v>
      </c>
      <c r="T14" s="491">
        <v>62620</v>
      </c>
      <c r="U14" s="491">
        <v>62716</v>
      </c>
      <c r="V14" s="491">
        <v>62823</v>
      </c>
      <c r="W14" s="491">
        <v>62823</v>
      </c>
      <c r="X14" s="491">
        <v>62823</v>
      </c>
      <c r="Y14" s="499">
        <v>63178</v>
      </c>
      <c r="Z14" s="499">
        <v>63281</v>
      </c>
      <c r="AA14" s="500">
        <v>63385</v>
      </c>
      <c r="AB14" s="500">
        <v>63385</v>
      </c>
      <c r="AC14" s="500">
        <v>63385</v>
      </c>
      <c r="AD14" s="500">
        <v>63385</v>
      </c>
      <c r="AE14" s="500">
        <v>63385</v>
      </c>
      <c r="AF14" s="416">
        <v>63686</v>
      </c>
      <c r="AG14" s="290">
        <f t="shared" si="0"/>
        <v>2906</v>
      </c>
      <c r="AH14" s="409">
        <v>60780</v>
      </c>
      <c r="AI14" s="299">
        <v>2906</v>
      </c>
      <c r="AJ14" s="299"/>
      <c r="AK14" s="436"/>
    </row>
    <row r="15" spans="1:37" ht="25.5">
      <c r="A15" s="282" t="s">
        <v>67</v>
      </c>
      <c r="B15" s="413">
        <v>10100</v>
      </c>
      <c r="C15" s="413">
        <v>10103</v>
      </c>
      <c r="D15" s="413">
        <v>10107</v>
      </c>
      <c r="E15" s="409">
        <v>10111</v>
      </c>
      <c r="F15" s="409">
        <v>10112</v>
      </c>
      <c r="G15" s="416">
        <v>10114</v>
      </c>
      <c r="H15" s="416">
        <v>10121</v>
      </c>
      <c r="I15" s="416">
        <v>10122</v>
      </c>
      <c r="J15" s="416">
        <v>10122</v>
      </c>
      <c r="K15" s="416">
        <v>10122</v>
      </c>
      <c r="L15" s="416">
        <v>10127</v>
      </c>
      <c r="M15" s="416">
        <v>10132</v>
      </c>
      <c r="N15" s="501">
        <v>10134</v>
      </c>
      <c r="O15" s="416">
        <v>10137</v>
      </c>
      <c r="P15" s="416">
        <v>10149</v>
      </c>
      <c r="Q15" s="501">
        <v>10149</v>
      </c>
      <c r="R15" s="501">
        <v>10149</v>
      </c>
      <c r="S15" s="501">
        <v>10149</v>
      </c>
      <c r="T15" s="501">
        <v>10149</v>
      </c>
      <c r="U15" s="501">
        <v>10149</v>
      </c>
      <c r="V15" s="501">
        <v>10149</v>
      </c>
      <c r="W15" s="501">
        <v>10149</v>
      </c>
      <c r="X15" s="501">
        <v>10149</v>
      </c>
      <c r="Y15" s="501">
        <v>10149</v>
      </c>
      <c r="Z15" s="501">
        <v>10149</v>
      </c>
      <c r="AA15" s="501">
        <v>10149</v>
      </c>
      <c r="AB15" s="501">
        <v>10149</v>
      </c>
      <c r="AC15" s="501">
        <v>10149</v>
      </c>
      <c r="AD15" s="501">
        <v>10149</v>
      </c>
      <c r="AE15" s="501">
        <v>10149</v>
      </c>
      <c r="AF15" s="501">
        <v>10149</v>
      </c>
      <c r="AG15" s="290">
        <f t="shared" si="0"/>
        <v>55</v>
      </c>
      <c r="AH15" s="409">
        <v>10094</v>
      </c>
      <c r="AI15" s="144">
        <v>55</v>
      </c>
      <c r="AJ15" s="299"/>
      <c r="AK15" s="411"/>
    </row>
    <row r="16" spans="1:37" ht="25.5">
      <c r="A16" s="282" t="s">
        <v>68</v>
      </c>
      <c r="B16" s="409">
        <v>12879</v>
      </c>
      <c r="C16" s="409">
        <v>12879</v>
      </c>
      <c r="D16" s="409">
        <v>12879</v>
      </c>
      <c r="E16" s="409">
        <v>12879</v>
      </c>
      <c r="F16" s="409">
        <v>12879</v>
      </c>
      <c r="G16" s="416">
        <v>12879</v>
      </c>
      <c r="H16" s="416">
        <v>12879</v>
      </c>
      <c r="I16" s="416">
        <v>12879</v>
      </c>
      <c r="J16" s="416">
        <v>12879</v>
      </c>
      <c r="K16" s="416">
        <v>12879</v>
      </c>
      <c r="L16" s="416">
        <v>12879</v>
      </c>
      <c r="M16" s="416">
        <v>12879</v>
      </c>
      <c r="N16" s="416">
        <v>12879</v>
      </c>
      <c r="O16" s="416">
        <v>12879</v>
      </c>
      <c r="P16" s="416">
        <v>12879</v>
      </c>
      <c r="Q16" s="501">
        <v>12879</v>
      </c>
      <c r="R16" s="416">
        <v>12879</v>
      </c>
      <c r="S16" s="491">
        <v>12879</v>
      </c>
      <c r="T16" s="491">
        <v>12879</v>
      </c>
      <c r="U16" s="491">
        <v>12879</v>
      </c>
      <c r="V16" s="492">
        <v>12879</v>
      </c>
      <c r="W16" s="492">
        <v>12879</v>
      </c>
      <c r="X16" s="492">
        <v>12879</v>
      </c>
      <c r="Y16" s="492">
        <v>27496</v>
      </c>
      <c r="Z16" s="492">
        <v>27496</v>
      </c>
      <c r="AA16" s="21">
        <v>27507</v>
      </c>
      <c r="AB16" s="21">
        <v>27507</v>
      </c>
      <c r="AC16" s="21">
        <v>27507</v>
      </c>
      <c r="AD16" s="21">
        <v>27507</v>
      </c>
      <c r="AE16" s="21">
        <v>27507</v>
      </c>
      <c r="AF16" s="21">
        <v>27507</v>
      </c>
      <c r="AG16" s="502">
        <f t="shared" si="0"/>
        <v>14628</v>
      </c>
      <c r="AH16" s="409">
        <v>12879</v>
      </c>
      <c r="AI16" s="144">
        <v>0</v>
      </c>
      <c r="AJ16" s="299"/>
      <c r="AK16" s="411"/>
    </row>
    <row r="17" spans="1:37" ht="20.100000000000001" customHeight="1">
      <c r="A17" s="303"/>
      <c r="B17" s="437"/>
      <c r="C17" s="437"/>
      <c r="D17" s="437"/>
      <c r="E17" s="437"/>
      <c r="F17" s="437"/>
      <c r="G17" s="406"/>
      <c r="H17" s="406"/>
      <c r="I17" s="406"/>
      <c r="J17" s="406"/>
      <c r="K17" s="406"/>
      <c r="L17" s="406"/>
      <c r="M17" s="406"/>
      <c r="N17" s="406"/>
      <c r="O17" s="406"/>
      <c r="P17" s="406"/>
      <c r="Q17" s="406"/>
      <c r="R17" s="406"/>
      <c r="S17" s="503"/>
      <c r="T17" s="503"/>
      <c r="U17" s="503"/>
      <c r="V17" s="503"/>
      <c r="W17" s="503"/>
      <c r="X17" s="503"/>
      <c r="Y17" s="503"/>
      <c r="Z17" s="503"/>
      <c r="AA17" s="406"/>
      <c r="AB17" s="406"/>
      <c r="AC17" s="406"/>
      <c r="AD17" s="406"/>
      <c r="AE17" s="406"/>
      <c r="AF17" s="406"/>
      <c r="AG17" s="290">
        <f t="shared" si="0"/>
        <v>0</v>
      </c>
      <c r="AH17" s="437"/>
      <c r="AK17" s="411"/>
    </row>
    <row r="18" spans="1:37">
      <c r="A18" s="282" t="s">
        <v>69</v>
      </c>
      <c r="B18" s="439" t="s">
        <v>64</v>
      </c>
      <c r="C18" s="439" t="s">
        <v>64</v>
      </c>
      <c r="D18" s="439" t="s">
        <v>64</v>
      </c>
      <c r="E18" s="439" t="s">
        <v>64</v>
      </c>
      <c r="F18" s="439" t="s">
        <v>64</v>
      </c>
      <c r="G18" s="408" t="s">
        <v>64</v>
      </c>
      <c r="H18" s="408" t="s">
        <v>64</v>
      </c>
      <c r="I18" s="408" t="s">
        <v>64</v>
      </c>
      <c r="J18" s="408" t="s">
        <v>64</v>
      </c>
      <c r="K18" s="408" t="s">
        <v>64</v>
      </c>
      <c r="L18" s="408" t="s">
        <v>64</v>
      </c>
      <c r="M18" s="408" t="s">
        <v>64</v>
      </c>
      <c r="N18" s="408" t="s">
        <v>64</v>
      </c>
      <c r="O18" s="408" t="s">
        <v>64</v>
      </c>
      <c r="P18" s="408" t="s">
        <v>64</v>
      </c>
      <c r="Q18" s="408" t="s">
        <v>64</v>
      </c>
      <c r="R18" s="408" t="s">
        <v>64</v>
      </c>
      <c r="S18" s="496" t="s">
        <v>64</v>
      </c>
      <c r="T18" s="496" t="s">
        <v>64</v>
      </c>
      <c r="U18" s="496" t="s">
        <v>64</v>
      </c>
      <c r="V18" s="496" t="s">
        <v>64</v>
      </c>
      <c r="W18" s="497" t="s">
        <v>64</v>
      </c>
      <c r="X18" s="497" t="s">
        <v>64</v>
      </c>
      <c r="Y18" s="497" t="s">
        <v>64</v>
      </c>
      <c r="Z18" s="497" t="s">
        <v>64</v>
      </c>
      <c r="AA18" s="498" t="s">
        <v>64</v>
      </c>
      <c r="AB18" s="498" t="s">
        <v>64</v>
      </c>
      <c r="AC18" s="498" t="s">
        <v>64</v>
      </c>
      <c r="AD18" s="498" t="s">
        <v>64</v>
      </c>
      <c r="AE18" s="498" t="s">
        <v>64</v>
      </c>
      <c r="AF18" s="498" t="s">
        <v>64</v>
      </c>
      <c r="AG18" s="290"/>
      <c r="AH18" s="439" t="s">
        <v>64</v>
      </c>
      <c r="AK18" s="412"/>
    </row>
    <row r="19" spans="1:37" ht="25.5">
      <c r="A19" s="282" t="s">
        <v>70</v>
      </c>
      <c r="B19" s="413">
        <v>0</v>
      </c>
      <c r="C19" s="413">
        <v>0</v>
      </c>
      <c r="D19" s="413">
        <v>0</v>
      </c>
      <c r="E19" s="413">
        <v>0</v>
      </c>
      <c r="F19" s="413">
        <v>0</v>
      </c>
      <c r="G19" s="501">
        <v>0</v>
      </c>
      <c r="H19" s="501">
        <v>0</v>
      </c>
      <c r="I19" s="501">
        <v>0</v>
      </c>
      <c r="J19" s="501">
        <v>0</v>
      </c>
      <c r="K19" s="501">
        <v>0</v>
      </c>
      <c r="L19" s="501">
        <v>0</v>
      </c>
      <c r="M19" s="501">
        <v>0</v>
      </c>
      <c r="N19" s="501">
        <v>0</v>
      </c>
      <c r="O19" s="501">
        <v>0</v>
      </c>
      <c r="P19" s="501">
        <v>0</v>
      </c>
      <c r="Q19" s="501">
        <v>0</v>
      </c>
      <c r="R19" s="501">
        <v>0</v>
      </c>
      <c r="S19" s="504">
        <v>0</v>
      </c>
      <c r="T19" s="504">
        <v>0</v>
      </c>
      <c r="U19" s="504">
        <v>0</v>
      </c>
      <c r="V19" s="504">
        <v>0</v>
      </c>
      <c r="W19" s="505">
        <v>0</v>
      </c>
      <c r="X19" s="505">
        <v>0</v>
      </c>
      <c r="Y19" s="505">
        <v>24371</v>
      </c>
      <c r="Z19" s="505">
        <v>24517</v>
      </c>
      <c r="AA19" s="506">
        <v>24844</v>
      </c>
      <c r="AB19" s="506">
        <v>24844</v>
      </c>
      <c r="AC19" s="506">
        <v>24844</v>
      </c>
      <c r="AD19" s="506">
        <v>24844</v>
      </c>
      <c r="AE19" s="506">
        <v>24844</v>
      </c>
      <c r="AF19" s="506">
        <v>25563</v>
      </c>
      <c r="AG19" s="290">
        <f t="shared" si="0"/>
        <v>25563</v>
      </c>
      <c r="AH19" s="413">
        <v>0</v>
      </c>
      <c r="AI19" s="307">
        <v>0</v>
      </c>
      <c r="AJ19" s="307"/>
      <c r="AK19" s="436"/>
    </row>
    <row r="20" spans="1:37" ht="25.5">
      <c r="A20" s="282" t="s">
        <v>2715</v>
      </c>
      <c r="B20" s="413">
        <v>3060027</v>
      </c>
      <c r="C20" s="413">
        <v>3060027</v>
      </c>
      <c r="D20" s="413">
        <v>3116210</v>
      </c>
      <c r="E20" s="413">
        <v>3216575</v>
      </c>
      <c r="F20" s="413">
        <v>3287111</v>
      </c>
      <c r="G20" s="501">
        <v>3287111</v>
      </c>
      <c r="H20" s="501">
        <v>3572685</v>
      </c>
      <c r="I20" s="501">
        <v>3572685</v>
      </c>
      <c r="J20" s="501">
        <v>3572685</v>
      </c>
      <c r="K20" s="501">
        <v>3572685</v>
      </c>
      <c r="L20" s="501">
        <v>3572685</v>
      </c>
      <c r="M20" s="501">
        <v>3774829</v>
      </c>
      <c r="N20" s="501">
        <v>3774829</v>
      </c>
      <c r="O20" s="501">
        <v>3860572</v>
      </c>
      <c r="P20" s="501">
        <v>4097321</v>
      </c>
      <c r="Q20" s="501">
        <v>4097321</v>
      </c>
      <c r="R20" s="501">
        <v>4097321</v>
      </c>
      <c r="S20" s="504">
        <v>4309036</v>
      </c>
      <c r="T20" s="504">
        <v>4520736</v>
      </c>
      <c r="U20" s="504">
        <v>4520751</v>
      </c>
      <c r="V20" s="491">
        <v>4596409</v>
      </c>
      <c r="W20" s="491">
        <v>4596409</v>
      </c>
      <c r="X20" s="491">
        <v>4596409</v>
      </c>
      <c r="Y20" s="499">
        <v>4788821</v>
      </c>
      <c r="Z20" s="492">
        <v>4788821</v>
      </c>
      <c r="AA20" s="21">
        <v>4918261</v>
      </c>
      <c r="AB20" s="21">
        <v>4918261</v>
      </c>
      <c r="AC20" s="21">
        <v>4918261</v>
      </c>
      <c r="AD20" s="21">
        <v>4918261</v>
      </c>
      <c r="AE20" s="21">
        <v>4918261</v>
      </c>
      <c r="AF20" s="21">
        <v>5053148</v>
      </c>
      <c r="AG20" s="290">
        <f t="shared" si="0"/>
        <v>2058390</v>
      </c>
      <c r="AH20" s="413">
        <v>2994758</v>
      </c>
      <c r="AI20" s="144">
        <v>2058390</v>
      </c>
      <c r="AJ20" s="307"/>
      <c r="AK20" s="414"/>
    </row>
    <row r="21" spans="1:37">
      <c r="A21" s="282" t="s">
        <v>72</v>
      </c>
      <c r="B21" s="409">
        <v>302437</v>
      </c>
      <c r="C21" s="409">
        <v>302437</v>
      </c>
      <c r="D21" s="409">
        <v>302860</v>
      </c>
      <c r="E21" s="409">
        <v>303120</v>
      </c>
      <c r="F21" s="409">
        <v>303250</v>
      </c>
      <c r="G21" s="416">
        <v>303375</v>
      </c>
      <c r="H21" s="416">
        <v>303739</v>
      </c>
      <c r="I21" s="416">
        <v>303820</v>
      </c>
      <c r="J21" s="416">
        <v>303988</v>
      </c>
      <c r="K21" s="416">
        <v>304235</v>
      </c>
      <c r="L21" s="416">
        <v>304355</v>
      </c>
      <c r="M21" s="416">
        <v>304537</v>
      </c>
      <c r="N21" s="416">
        <v>304537</v>
      </c>
      <c r="O21" s="416">
        <v>304686</v>
      </c>
      <c r="P21" s="416">
        <v>304686</v>
      </c>
      <c r="Q21" s="416">
        <v>304686</v>
      </c>
      <c r="R21" s="416">
        <v>304686</v>
      </c>
      <c r="S21" s="504">
        <v>305334</v>
      </c>
      <c r="T21" s="504">
        <v>305974</v>
      </c>
      <c r="U21" s="491">
        <v>305981</v>
      </c>
      <c r="V21" s="491">
        <v>306164</v>
      </c>
      <c r="W21" s="491">
        <v>306164</v>
      </c>
      <c r="X21" s="491">
        <v>306164</v>
      </c>
      <c r="Y21" s="499">
        <v>306603</v>
      </c>
      <c r="Z21" s="492">
        <v>306762</v>
      </c>
      <c r="AA21" s="21">
        <v>306991</v>
      </c>
      <c r="AB21" s="21">
        <v>306991</v>
      </c>
      <c r="AC21" s="21">
        <v>306991</v>
      </c>
      <c r="AD21" s="21">
        <v>306991</v>
      </c>
      <c r="AE21" s="21">
        <v>306991</v>
      </c>
      <c r="AF21" s="21">
        <v>307657</v>
      </c>
      <c r="AG21" s="290">
        <f t="shared" si="0"/>
        <v>5220</v>
      </c>
      <c r="AH21" s="409">
        <v>302437</v>
      </c>
      <c r="AI21" s="144">
        <v>5220</v>
      </c>
      <c r="AJ21" s="307"/>
      <c r="AK21" s="415"/>
    </row>
    <row r="22" spans="1:37">
      <c r="A22" s="282" t="s">
        <v>73</v>
      </c>
      <c r="B22" s="409">
        <v>272890</v>
      </c>
      <c r="C22" s="409">
        <v>272933</v>
      </c>
      <c r="D22" s="409">
        <v>273006</v>
      </c>
      <c r="E22" s="409">
        <v>273105</v>
      </c>
      <c r="F22" s="409">
        <v>273203</v>
      </c>
      <c r="G22" s="416">
        <v>273203</v>
      </c>
      <c r="H22" s="416">
        <v>273306</v>
      </c>
      <c r="I22" s="416">
        <v>273306</v>
      </c>
      <c r="J22" s="416">
        <v>273586</v>
      </c>
      <c r="K22" s="416">
        <v>273666</v>
      </c>
      <c r="L22" s="416">
        <v>273757</v>
      </c>
      <c r="M22" s="416">
        <v>273845</v>
      </c>
      <c r="N22" s="416">
        <v>273912</v>
      </c>
      <c r="O22" s="416">
        <v>273949</v>
      </c>
      <c r="P22" s="416">
        <v>274178</v>
      </c>
      <c r="Q22" s="416">
        <v>274178</v>
      </c>
      <c r="R22" s="416">
        <v>274178</v>
      </c>
      <c r="S22" s="504">
        <v>274398</v>
      </c>
      <c r="T22" s="504">
        <v>274613</v>
      </c>
      <c r="U22" s="491">
        <v>274618</v>
      </c>
      <c r="V22" s="491">
        <v>274716</v>
      </c>
      <c r="W22" s="491">
        <v>274716</v>
      </c>
      <c r="X22" s="491">
        <v>274716</v>
      </c>
      <c r="Y22" s="499">
        <v>274969</v>
      </c>
      <c r="Z22" s="492">
        <v>275072</v>
      </c>
      <c r="AA22" s="21">
        <v>275159</v>
      </c>
      <c r="AB22" s="21">
        <v>275159</v>
      </c>
      <c r="AC22" s="21">
        <v>275159</v>
      </c>
      <c r="AD22" s="21">
        <v>275159</v>
      </c>
      <c r="AE22" s="21">
        <v>275159</v>
      </c>
      <c r="AF22" s="21">
        <v>275159</v>
      </c>
      <c r="AG22" s="290">
        <f t="shared" si="0"/>
        <v>2377</v>
      </c>
      <c r="AH22" s="409">
        <v>272782</v>
      </c>
      <c r="AI22" s="144">
        <v>2377</v>
      </c>
      <c r="AJ22" s="307"/>
      <c r="AK22" s="415"/>
    </row>
    <row r="23" spans="1:37">
      <c r="A23" s="442" t="s">
        <v>136</v>
      </c>
      <c r="B23" s="409">
        <v>18360</v>
      </c>
      <c r="C23" s="409">
        <v>18361</v>
      </c>
      <c r="D23" s="409">
        <v>18363</v>
      </c>
      <c r="E23" s="409">
        <v>18376</v>
      </c>
      <c r="F23" s="409">
        <v>18382</v>
      </c>
      <c r="G23" s="416">
        <v>18389</v>
      </c>
      <c r="H23" s="416">
        <v>18416</v>
      </c>
      <c r="I23" s="416">
        <v>18429</v>
      </c>
      <c r="J23" s="416">
        <v>18429</v>
      </c>
      <c r="K23" s="416">
        <v>18432</v>
      </c>
      <c r="L23" s="416">
        <v>18446</v>
      </c>
      <c r="M23" s="416">
        <v>18459</v>
      </c>
      <c r="N23" s="416">
        <v>18463</v>
      </c>
      <c r="O23" s="416">
        <v>18472</v>
      </c>
      <c r="P23" s="416">
        <v>18497</v>
      </c>
      <c r="Q23" s="416">
        <v>18497</v>
      </c>
      <c r="R23" s="416">
        <v>18497</v>
      </c>
      <c r="S23" s="504">
        <v>18518</v>
      </c>
      <c r="T23" s="504">
        <v>18534</v>
      </c>
      <c r="U23" s="507">
        <v>18538</v>
      </c>
      <c r="V23" s="507">
        <v>18555</v>
      </c>
      <c r="W23" s="507">
        <v>18555</v>
      </c>
      <c r="X23" s="507">
        <v>18555</v>
      </c>
      <c r="Y23" s="508">
        <v>18573</v>
      </c>
      <c r="Z23" s="492">
        <v>18588</v>
      </c>
      <c r="AA23" s="21">
        <v>18599</v>
      </c>
      <c r="AB23" s="21">
        <v>18599</v>
      </c>
      <c r="AC23" s="21">
        <v>18599</v>
      </c>
      <c r="AD23" s="21">
        <v>18599</v>
      </c>
      <c r="AE23" s="21">
        <v>18599</v>
      </c>
      <c r="AF23" s="21">
        <v>18601</v>
      </c>
      <c r="AG23" s="290">
        <f t="shared" si="0"/>
        <v>252</v>
      </c>
      <c r="AH23" s="409">
        <v>18349</v>
      </c>
      <c r="AI23" s="144">
        <v>252</v>
      </c>
      <c r="AJ23" s="307"/>
      <c r="AK23" s="414"/>
    </row>
    <row r="24" spans="1:37">
      <c r="A24" s="442" t="s">
        <v>139</v>
      </c>
      <c r="B24" s="409">
        <v>12640</v>
      </c>
      <c r="C24" s="409">
        <v>12640</v>
      </c>
      <c r="D24" s="409">
        <v>12644</v>
      </c>
      <c r="E24" s="409">
        <v>12655</v>
      </c>
      <c r="F24" s="409">
        <v>12659</v>
      </c>
      <c r="G24" s="416">
        <v>12663</v>
      </c>
      <c r="H24" s="416">
        <v>12684</v>
      </c>
      <c r="I24" s="416">
        <v>12692</v>
      </c>
      <c r="J24" s="416">
        <v>12692</v>
      </c>
      <c r="K24" s="416">
        <v>12699</v>
      </c>
      <c r="L24" s="416">
        <v>12708</v>
      </c>
      <c r="M24" s="416">
        <v>12718</v>
      </c>
      <c r="N24" s="416">
        <v>12719</v>
      </c>
      <c r="O24" s="416">
        <v>12720</v>
      </c>
      <c r="P24" s="416">
        <v>12748</v>
      </c>
      <c r="Q24" s="416">
        <v>12748</v>
      </c>
      <c r="R24" s="416">
        <v>12748</v>
      </c>
      <c r="S24" s="504">
        <v>12763</v>
      </c>
      <c r="T24" s="504">
        <v>12783</v>
      </c>
      <c r="U24" s="491">
        <v>12785</v>
      </c>
      <c r="V24" s="491">
        <v>12786</v>
      </c>
      <c r="W24" s="491">
        <v>12786</v>
      </c>
      <c r="X24" s="491">
        <v>12786</v>
      </c>
      <c r="Y24" s="499">
        <v>12805</v>
      </c>
      <c r="Z24" s="492">
        <v>12813</v>
      </c>
      <c r="AA24" s="21">
        <v>12821</v>
      </c>
      <c r="AB24" s="21">
        <v>12821</v>
      </c>
      <c r="AC24" s="21">
        <v>12821</v>
      </c>
      <c r="AD24" s="21">
        <v>12821</v>
      </c>
      <c r="AE24" s="21">
        <v>12821</v>
      </c>
      <c r="AF24" s="21">
        <v>12822</v>
      </c>
      <c r="AG24" s="290">
        <f t="shared" si="0"/>
        <v>190</v>
      </c>
      <c r="AH24" s="409">
        <v>12632</v>
      </c>
      <c r="AI24" s="144">
        <v>190</v>
      </c>
      <c r="AJ24" s="307"/>
      <c r="AK24" s="414"/>
    </row>
    <row r="25" spans="1:37">
      <c r="A25" s="442" t="s">
        <v>142</v>
      </c>
      <c r="B25" s="409">
        <v>5232</v>
      </c>
      <c r="C25" s="409">
        <v>5232</v>
      </c>
      <c r="D25" s="409">
        <v>5233</v>
      </c>
      <c r="E25" s="409">
        <v>5240</v>
      </c>
      <c r="F25" s="409">
        <v>5243</v>
      </c>
      <c r="G25" s="416">
        <v>5245</v>
      </c>
      <c r="H25" s="416">
        <v>5257</v>
      </c>
      <c r="I25" s="416">
        <v>5261</v>
      </c>
      <c r="J25" s="416">
        <v>5262</v>
      </c>
      <c r="K25" s="416">
        <v>5263</v>
      </c>
      <c r="L25" s="416">
        <v>5269</v>
      </c>
      <c r="M25" s="416">
        <v>5274</v>
      </c>
      <c r="N25" s="501">
        <v>5276</v>
      </c>
      <c r="O25" s="416">
        <v>5279</v>
      </c>
      <c r="P25" s="416">
        <v>5288</v>
      </c>
      <c r="Q25" s="416">
        <v>5288</v>
      </c>
      <c r="R25" s="416">
        <v>5288</v>
      </c>
      <c r="S25" s="504">
        <v>5298</v>
      </c>
      <c r="T25" s="504">
        <v>5308</v>
      </c>
      <c r="U25" s="491">
        <v>5310</v>
      </c>
      <c r="V25" s="491">
        <v>5312</v>
      </c>
      <c r="W25" s="491">
        <v>5312</v>
      </c>
      <c r="X25" s="491">
        <v>5312</v>
      </c>
      <c r="Y25" s="499">
        <v>5316</v>
      </c>
      <c r="Z25" s="492">
        <v>5319</v>
      </c>
      <c r="AA25" s="21">
        <v>5322</v>
      </c>
      <c r="AB25" s="21">
        <v>5322</v>
      </c>
      <c r="AC25" s="21">
        <v>5322</v>
      </c>
      <c r="AD25" s="21">
        <v>5322</v>
      </c>
      <c r="AE25" s="21">
        <v>5322</v>
      </c>
      <c r="AF25" s="21">
        <v>5327</v>
      </c>
      <c r="AG25" s="290">
        <f t="shared" si="0"/>
        <v>99</v>
      </c>
      <c r="AH25" s="409">
        <v>5228</v>
      </c>
      <c r="AI25" s="144">
        <v>99</v>
      </c>
      <c r="AJ25" s="307"/>
      <c r="AK25" s="414"/>
    </row>
    <row r="26" spans="1:37">
      <c r="A26" s="442" t="s">
        <v>145</v>
      </c>
      <c r="B26" s="409">
        <v>3303</v>
      </c>
      <c r="C26" s="409">
        <v>3303</v>
      </c>
      <c r="D26" s="409">
        <v>3304</v>
      </c>
      <c r="E26" s="409">
        <v>3307</v>
      </c>
      <c r="F26" s="409">
        <v>3309</v>
      </c>
      <c r="G26" s="416">
        <v>3310</v>
      </c>
      <c r="H26" s="416">
        <v>3315</v>
      </c>
      <c r="I26" s="501">
        <v>3317</v>
      </c>
      <c r="J26" s="416">
        <v>3318</v>
      </c>
      <c r="K26" s="416">
        <v>3320</v>
      </c>
      <c r="L26" s="416">
        <v>3323</v>
      </c>
      <c r="M26" s="416">
        <v>3327</v>
      </c>
      <c r="N26" s="501">
        <v>3328</v>
      </c>
      <c r="O26" s="416">
        <v>3329</v>
      </c>
      <c r="P26" s="416">
        <v>3334</v>
      </c>
      <c r="Q26" s="416">
        <v>3334</v>
      </c>
      <c r="R26" s="416">
        <v>3334</v>
      </c>
      <c r="S26" s="504">
        <v>3340</v>
      </c>
      <c r="T26" s="504">
        <v>3348</v>
      </c>
      <c r="U26" s="491">
        <v>3348</v>
      </c>
      <c r="V26" s="491">
        <v>3348</v>
      </c>
      <c r="W26" s="491">
        <v>3348</v>
      </c>
      <c r="X26" s="491">
        <v>3348</v>
      </c>
      <c r="Y26" s="508">
        <v>3356</v>
      </c>
      <c r="Z26" s="492">
        <v>3359</v>
      </c>
      <c r="AA26" s="21">
        <v>3361</v>
      </c>
      <c r="AB26" s="21">
        <v>3361</v>
      </c>
      <c r="AC26" s="21">
        <v>3361</v>
      </c>
      <c r="AD26" s="21">
        <v>3361</v>
      </c>
      <c r="AE26" s="21">
        <v>3361</v>
      </c>
      <c r="AF26" s="21">
        <v>3362</v>
      </c>
      <c r="AG26" s="290">
        <f t="shared" si="0"/>
        <v>61</v>
      </c>
      <c r="AH26" s="409">
        <v>3301</v>
      </c>
      <c r="AI26" s="144">
        <v>61</v>
      </c>
      <c r="AJ26" s="307"/>
      <c r="AK26" s="414"/>
    </row>
    <row r="27" spans="1:37">
      <c r="A27" s="442" t="s">
        <v>148</v>
      </c>
      <c r="B27" s="409">
        <v>19178</v>
      </c>
      <c r="C27" s="409">
        <v>19179</v>
      </c>
      <c r="D27" s="409">
        <v>19179</v>
      </c>
      <c r="E27" s="409">
        <v>19190</v>
      </c>
      <c r="F27" s="409">
        <v>19193</v>
      </c>
      <c r="G27" s="416">
        <v>19201</v>
      </c>
      <c r="H27" s="416">
        <v>19224</v>
      </c>
      <c r="I27" s="416">
        <v>19237</v>
      </c>
      <c r="J27" s="416">
        <v>19237</v>
      </c>
      <c r="K27" s="416">
        <v>19240</v>
      </c>
      <c r="L27" s="416">
        <v>19251</v>
      </c>
      <c r="M27" s="416">
        <v>19261</v>
      </c>
      <c r="N27" s="501">
        <v>19268</v>
      </c>
      <c r="O27" s="416">
        <v>19273</v>
      </c>
      <c r="P27" s="416">
        <v>19296</v>
      </c>
      <c r="Q27" s="416">
        <v>19296</v>
      </c>
      <c r="R27" s="416">
        <v>19296</v>
      </c>
      <c r="S27" s="504">
        <v>19314</v>
      </c>
      <c r="T27" s="504">
        <v>19336</v>
      </c>
      <c r="U27" s="507">
        <v>19339</v>
      </c>
      <c r="V27" s="507">
        <v>19342</v>
      </c>
      <c r="W27" s="507">
        <v>19342</v>
      </c>
      <c r="X27" s="507">
        <v>19342</v>
      </c>
      <c r="Y27" s="509">
        <v>19462</v>
      </c>
      <c r="Z27" s="492">
        <v>19472</v>
      </c>
      <c r="AA27" s="21">
        <v>19483</v>
      </c>
      <c r="AB27" s="21">
        <v>19483</v>
      </c>
      <c r="AC27" s="21">
        <v>19483</v>
      </c>
      <c r="AD27" s="21">
        <v>19483</v>
      </c>
      <c r="AE27" s="21">
        <v>19483</v>
      </c>
      <c r="AF27" s="21">
        <v>19485</v>
      </c>
      <c r="AG27" s="290">
        <f t="shared" si="0"/>
        <v>317</v>
      </c>
      <c r="AH27" s="409">
        <v>19168</v>
      </c>
      <c r="AI27" s="144">
        <v>317</v>
      </c>
      <c r="AJ27" s="307"/>
      <c r="AK27" s="414"/>
    </row>
    <row r="28" spans="1:37">
      <c r="A28" s="442" t="s">
        <v>151</v>
      </c>
      <c r="B28" s="443">
        <v>1330</v>
      </c>
      <c r="C28" s="443">
        <v>1330</v>
      </c>
      <c r="D28" s="443">
        <v>1330</v>
      </c>
      <c r="E28" s="443">
        <v>1330</v>
      </c>
      <c r="F28" s="443">
        <v>1330</v>
      </c>
      <c r="G28" s="424">
        <v>1330</v>
      </c>
      <c r="H28" s="424">
        <v>1330</v>
      </c>
      <c r="I28" s="424">
        <v>1330</v>
      </c>
      <c r="J28" s="501">
        <v>1330</v>
      </c>
      <c r="K28" s="424">
        <v>1330</v>
      </c>
      <c r="L28" s="424">
        <v>1330</v>
      </c>
      <c r="M28" s="424">
        <v>1330</v>
      </c>
      <c r="N28" s="501">
        <v>1330</v>
      </c>
      <c r="O28" s="424">
        <v>1330</v>
      </c>
      <c r="P28" s="424">
        <v>1330</v>
      </c>
      <c r="Q28" s="501">
        <v>1330</v>
      </c>
      <c r="R28" s="424">
        <v>1330</v>
      </c>
      <c r="S28" s="504">
        <v>1330</v>
      </c>
      <c r="T28" s="504">
        <f>S28+0</f>
        <v>1330</v>
      </c>
      <c r="U28" s="507">
        <v>1330</v>
      </c>
      <c r="V28" s="491">
        <v>1330</v>
      </c>
      <c r="W28" s="491">
        <v>1330</v>
      </c>
      <c r="X28" s="491">
        <v>1330</v>
      </c>
      <c r="Y28" s="499">
        <v>1330</v>
      </c>
      <c r="Z28" s="492">
        <v>1330</v>
      </c>
      <c r="AA28" s="21">
        <v>1330</v>
      </c>
      <c r="AB28" s="21">
        <v>1330</v>
      </c>
      <c r="AC28" s="21">
        <v>1330</v>
      </c>
      <c r="AD28" s="21">
        <v>1330</v>
      </c>
      <c r="AE28" s="21">
        <v>1330</v>
      </c>
      <c r="AF28" s="21">
        <v>1330</v>
      </c>
      <c r="AG28" s="290">
        <f t="shared" si="0"/>
        <v>0</v>
      </c>
      <c r="AH28" s="443">
        <v>1330</v>
      </c>
      <c r="AI28" s="144">
        <v>0</v>
      </c>
      <c r="AJ28" s="307"/>
      <c r="AK28" s="414"/>
    </row>
    <row r="29" spans="1:37">
      <c r="A29" s="442" t="s">
        <v>154</v>
      </c>
      <c r="B29" s="443">
        <v>1548</v>
      </c>
      <c r="C29" s="443">
        <v>1548</v>
      </c>
      <c r="D29" s="443">
        <v>1549</v>
      </c>
      <c r="E29" s="443">
        <v>1550</v>
      </c>
      <c r="F29" s="443">
        <v>1550</v>
      </c>
      <c r="G29" s="424">
        <v>1551</v>
      </c>
      <c r="H29" s="424">
        <v>1552</v>
      </c>
      <c r="I29" s="424">
        <v>1553</v>
      </c>
      <c r="J29" s="424">
        <v>1554</v>
      </c>
      <c r="K29" s="424">
        <v>1554</v>
      </c>
      <c r="L29" s="424">
        <v>1555</v>
      </c>
      <c r="M29" s="424">
        <v>1556</v>
      </c>
      <c r="N29" s="501">
        <v>1556</v>
      </c>
      <c r="O29" s="424">
        <v>1556</v>
      </c>
      <c r="P29" s="424">
        <v>1558</v>
      </c>
      <c r="Q29" s="501">
        <v>1558</v>
      </c>
      <c r="R29" s="424">
        <v>1558</v>
      </c>
      <c r="S29" s="504">
        <v>1560</v>
      </c>
      <c r="T29" s="504">
        <v>1560</v>
      </c>
      <c r="U29" s="491">
        <v>1561</v>
      </c>
      <c r="V29" s="491">
        <v>1564</v>
      </c>
      <c r="W29" s="491">
        <v>1564</v>
      </c>
      <c r="X29" s="491">
        <v>1564</v>
      </c>
      <c r="Y29" s="499">
        <v>1565</v>
      </c>
      <c r="Z29" s="492">
        <v>1566</v>
      </c>
      <c r="AA29" s="21">
        <v>1566</v>
      </c>
      <c r="AB29" s="21">
        <v>1566</v>
      </c>
      <c r="AC29" s="21">
        <v>1566</v>
      </c>
      <c r="AD29" s="21">
        <v>1566</v>
      </c>
      <c r="AE29" s="21">
        <v>1566</v>
      </c>
      <c r="AF29" s="21">
        <v>1568</v>
      </c>
      <c r="AG29" s="290">
        <f t="shared" si="0"/>
        <v>21</v>
      </c>
      <c r="AH29" s="443">
        <v>1547</v>
      </c>
      <c r="AI29" s="144">
        <v>21</v>
      </c>
      <c r="AJ29" s="307"/>
      <c r="AK29" s="414"/>
    </row>
    <row r="30" spans="1:37">
      <c r="A30" s="303"/>
      <c r="B30" s="406"/>
      <c r="C30" s="406"/>
      <c r="D30" s="406"/>
      <c r="E30" s="406"/>
      <c r="F30" s="406"/>
      <c r="G30" s="406"/>
      <c r="H30" s="406"/>
      <c r="I30" s="406"/>
      <c r="J30" s="406"/>
      <c r="K30" s="406"/>
      <c r="L30" s="406"/>
      <c r="M30" s="406"/>
      <c r="N30" s="406"/>
      <c r="O30" s="406"/>
      <c r="P30" s="406"/>
      <c r="Q30" s="406"/>
      <c r="R30" s="406"/>
      <c r="S30" s="503"/>
      <c r="T30" s="503"/>
      <c r="U30" s="503"/>
      <c r="V30" s="503"/>
      <c r="W30" s="503"/>
      <c r="X30" s="503"/>
      <c r="Y30" s="503"/>
      <c r="Z30" s="503"/>
      <c r="AA30" s="406"/>
      <c r="AB30" s="406"/>
      <c r="AC30" s="406"/>
      <c r="AD30" s="406"/>
      <c r="AE30" s="406"/>
      <c r="AF30" s="406"/>
      <c r="AG30" s="290">
        <f>AF30-AH30</f>
        <v>0</v>
      </c>
      <c r="AH30" s="406"/>
      <c r="AK30" s="414"/>
    </row>
    <row r="31" spans="1:37">
      <c r="A31" s="282" t="s">
        <v>74</v>
      </c>
      <c r="B31" s="408" t="s">
        <v>75</v>
      </c>
      <c r="C31" s="408" t="s">
        <v>75</v>
      </c>
      <c r="D31" s="408" t="s">
        <v>75</v>
      </c>
      <c r="E31" s="408" t="s">
        <v>75</v>
      </c>
      <c r="F31" s="408" t="s">
        <v>75</v>
      </c>
      <c r="G31" s="408" t="s">
        <v>75</v>
      </c>
      <c r="H31" s="408" t="s">
        <v>75</v>
      </c>
      <c r="I31" s="408" t="s">
        <v>75</v>
      </c>
      <c r="J31" s="408" t="s">
        <v>75</v>
      </c>
      <c r="K31" s="408" t="s">
        <v>75</v>
      </c>
      <c r="L31" s="408" t="s">
        <v>75</v>
      </c>
      <c r="M31" s="408" t="s">
        <v>75</v>
      </c>
      <c r="N31" s="408" t="s">
        <v>75</v>
      </c>
      <c r="O31" s="408" t="s">
        <v>75</v>
      </c>
      <c r="P31" s="408" t="s">
        <v>75</v>
      </c>
      <c r="Q31" s="408" t="s">
        <v>75</v>
      </c>
      <c r="R31" s="408" t="s">
        <v>75</v>
      </c>
      <c r="S31" s="496" t="s">
        <v>75</v>
      </c>
      <c r="T31" s="496" t="s">
        <v>75</v>
      </c>
      <c r="U31" s="496" t="s">
        <v>75</v>
      </c>
      <c r="V31" s="496" t="s">
        <v>75</v>
      </c>
      <c r="W31" s="496" t="s">
        <v>75</v>
      </c>
      <c r="X31" s="496" t="s">
        <v>75</v>
      </c>
      <c r="Y31" s="496" t="s">
        <v>75</v>
      </c>
      <c r="Z31" s="496" t="s">
        <v>75</v>
      </c>
      <c r="AA31" s="408" t="s">
        <v>75</v>
      </c>
      <c r="AB31" s="408" t="s">
        <v>75</v>
      </c>
      <c r="AC31" s="408" t="s">
        <v>75</v>
      </c>
      <c r="AD31" s="408" t="s">
        <v>75</v>
      </c>
      <c r="AE31" s="408" t="s">
        <v>75</v>
      </c>
      <c r="AF31" s="408" t="s">
        <v>75</v>
      </c>
      <c r="AG31" s="290"/>
      <c r="AH31" s="408" t="s">
        <v>75</v>
      </c>
    </row>
    <row r="32" spans="1:37">
      <c r="A32" s="282" t="s">
        <v>77</v>
      </c>
      <c r="B32" s="507">
        <v>44749</v>
      </c>
      <c r="C32" s="507">
        <v>44749</v>
      </c>
      <c r="D32" s="507">
        <v>44749</v>
      </c>
      <c r="E32" s="507">
        <v>44749</v>
      </c>
      <c r="F32" s="507">
        <v>44749</v>
      </c>
      <c r="G32" s="507">
        <v>44749</v>
      </c>
      <c r="H32" s="507">
        <v>44749</v>
      </c>
      <c r="I32" s="507">
        <v>44749</v>
      </c>
      <c r="J32" s="507">
        <v>44749</v>
      </c>
      <c r="K32" s="507">
        <v>44749</v>
      </c>
      <c r="L32" s="507">
        <v>44749</v>
      </c>
      <c r="M32" s="507">
        <v>44749</v>
      </c>
      <c r="N32" s="507">
        <v>44749</v>
      </c>
      <c r="O32" s="507">
        <v>44749</v>
      </c>
      <c r="P32" s="507">
        <v>44749</v>
      </c>
      <c r="Q32" s="507">
        <v>44749</v>
      </c>
      <c r="R32" s="507">
        <v>44749</v>
      </c>
      <c r="S32" s="507">
        <v>44749</v>
      </c>
      <c r="T32" s="507">
        <v>44749</v>
      </c>
      <c r="U32" s="507">
        <v>44749</v>
      </c>
      <c r="V32" s="507">
        <v>44749</v>
      </c>
      <c r="W32" s="507">
        <v>44749</v>
      </c>
      <c r="X32" s="507">
        <v>44749</v>
      </c>
      <c r="Y32" s="507">
        <v>44749</v>
      </c>
      <c r="Z32" s="507">
        <v>44749</v>
      </c>
      <c r="AA32" s="424">
        <v>44749</v>
      </c>
      <c r="AB32" s="424">
        <v>44749</v>
      </c>
      <c r="AC32" s="424">
        <v>44749</v>
      </c>
      <c r="AD32" s="424">
        <v>44749</v>
      </c>
      <c r="AE32" s="424">
        <v>44749</v>
      </c>
      <c r="AF32" s="424">
        <v>44749</v>
      </c>
      <c r="AG32" s="290">
        <f t="shared" si="0"/>
        <v>0</v>
      </c>
      <c r="AH32" s="507">
        <v>44749</v>
      </c>
    </row>
    <row r="33" spans="1:35" ht="25.5">
      <c r="A33" s="282" t="s">
        <v>80</v>
      </c>
      <c r="B33" s="507">
        <v>44749</v>
      </c>
      <c r="C33" s="507">
        <v>44749</v>
      </c>
      <c r="D33" s="507">
        <v>44749</v>
      </c>
      <c r="E33" s="507">
        <v>44749</v>
      </c>
      <c r="F33" s="507">
        <v>44749</v>
      </c>
      <c r="G33" s="507">
        <v>44749</v>
      </c>
      <c r="H33" s="507">
        <v>44749</v>
      </c>
      <c r="I33" s="507">
        <v>44749</v>
      </c>
      <c r="J33" s="507">
        <v>44749</v>
      </c>
      <c r="K33" s="507">
        <v>44749</v>
      </c>
      <c r="L33" s="507">
        <v>44749</v>
      </c>
      <c r="M33" s="507">
        <v>44749</v>
      </c>
      <c r="N33" s="507">
        <v>44749</v>
      </c>
      <c r="O33" s="507">
        <v>44749</v>
      </c>
      <c r="P33" s="507">
        <v>44749</v>
      </c>
      <c r="Q33" s="507">
        <v>44749</v>
      </c>
      <c r="R33" s="507">
        <v>44749</v>
      </c>
      <c r="S33" s="507">
        <v>44749</v>
      </c>
      <c r="T33" s="507">
        <v>44749</v>
      </c>
      <c r="U33" s="507">
        <v>44749</v>
      </c>
      <c r="V33" s="507">
        <v>44749</v>
      </c>
      <c r="W33" s="507">
        <v>44749</v>
      </c>
      <c r="X33" s="507">
        <v>44749</v>
      </c>
      <c r="Y33" s="507">
        <v>44749</v>
      </c>
      <c r="Z33" s="507">
        <v>44749</v>
      </c>
      <c r="AA33" s="424">
        <v>44749</v>
      </c>
      <c r="AB33" s="424">
        <v>44749</v>
      </c>
      <c r="AC33" s="424">
        <v>44749</v>
      </c>
      <c r="AD33" s="424">
        <v>44749</v>
      </c>
      <c r="AE33" s="424">
        <v>44749</v>
      </c>
      <c r="AF33" s="424">
        <v>44749</v>
      </c>
      <c r="AG33" s="290">
        <f t="shared" si="0"/>
        <v>0</v>
      </c>
      <c r="AH33" s="507">
        <v>44749</v>
      </c>
    </row>
    <row r="34" spans="1:35" ht="15.75" thickBot="1">
      <c r="A34" s="310" t="s">
        <v>81</v>
      </c>
      <c r="B34" s="417">
        <v>2890</v>
      </c>
      <c r="C34" s="417">
        <v>2890</v>
      </c>
      <c r="D34" s="417">
        <v>2890</v>
      </c>
      <c r="E34" s="417">
        <v>2890</v>
      </c>
      <c r="F34" s="417">
        <v>2890</v>
      </c>
      <c r="G34" s="417">
        <v>2890</v>
      </c>
      <c r="H34" s="417">
        <v>2890</v>
      </c>
      <c r="I34" s="417">
        <v>2890</v>
      </c>
      <c r="J34" s="417">
        <v>2890</v>
      </c>
      <c r="K34" s="417">
        <v>2890</v>
      </c>
      <c r="L34" s="417">
        <v>2890</v>
      </c>
      <c r="M34" s="417">
        <v>2890</v>
      </c>
      <c r="N34" s="417">
        <v>2890</v>
      </c>
      <c r="O34" s="417">
        <v>2890</v>
      </c>
      <c r="P34" s="417">
        <v>2890</v>
      </c>
      <c r="Q34" s="417">
        <v>2890</v>
      </c>
      <c r="R34" s="417">
        <v>2890</v>
      </c>
      <c r="S34" s="417">
        <v>2890</v>
      </c>
      <c r="T34" s="417">
        <v>2890</v>
      </c>
      <c r="U34" s="417">
        <v>2890</v>
      </c>
      <c r="V34" s="417">
        <v>2890</v>
      </c>
      <c r="W34" s="417">
        <v>2890</v>
      </c>
      <c r="X34" s="417">
        <v>2890</v>
      </c>
      <c r="Y34" s="510">
        <v>2890</v>
      </c>
      <c r="Z34" s="510">
        <v>2890</v>
      </c>
      <c r="AA34" s="417">
        <v>2890</v>
      </c>
      <c r="AB34" s="417">
        <v>2890</v>
      </c>
      <c r="AC34" s="417">
        <v>2890</v>
      </c>
      <c r="AD34" s="417">
        <v>2890</v>
      </c>
      <c r="AE34" s="417">
        <v>2890</v>
      </c>
      <c r="AF34" s="417">
        <v>2890</v>
      </c>
      <c r="AG34" s="290">
        <f t="shared" si="0"/>
        <v>0</v>
      </c>
      <c r="AH34" s="417">
        <v>2890</v>
      </c>
    </row>
    <row r="35" spans="1:35">
      <c r="A35" s="449"/>
      <c r="B35" s="450"/>
      <c r="C35" s="450"/>
      <c r="D35" s="450"/>
      <c r="E35" s="450"/>
      <c r="F35" s="450"/>
      <c r="G35" s="511"/>
      <c r="H35" s="511"/>
      <c r="I35" s="511"/>
      <c r="J35" s="511"/>
      <c r="K35" s="511"/>
      <c r="L35" s="511"/>
      <c r="M35" s="511"/>
      <c r="N35" s="511"/>
      <c r="O35" s="511"/>
      <c r="P35" s="511"/>
      <c r="Q35" s="511"/>
      <c r="R35" s="511"/>
      <c r="S35" s="512"/>
      <c r="T35" s="512"/>
      <c r="U35" s="512"/>
      <c r="V35" s="512"/>
      <c r="W35" s="512"/>
      <c r="X35" s="512"/>
      <c r="Y35" s="512"/>
      <c r="Z35" s="512"/>
      <c r="AA35" s="511"/>
      <c r="AB35" s="511"/>
      <c r="AC35" s="511"/>
      <c r="AD35" s="511"/>
      <c r="AE35" s="511"/>
      <c r="AF35" s="511"/>
      <c r="AG35" s="290">
        <f t="shared" si="0"/>
        <v>0</v>
      </c>
      <c r="AH35" s="450"/>
    </row>
    <row r="36" spans="1:35">
      <c r="A36" s="452" t="s">
        <v>2817</v>
      </c>
      <c r="B36" s="408" t="s">
        <v>64</v>
      </c>
      <c r="C36" s="408" t="s">
        <v>64</v>
      </c>
      <c r="D36" s="408" t="s">
        <v>64</v>
      </c>
      <c r="E36" s="408" t="s">
        <v>64</v>
      </c>
      <c r="F36" s="408" t="s">
        <v>64</v>
      </c>
      <c r="G36" s="408" t="s">
        <v>64</v>
      </c>
      <c r="H36" s="408" t="s">
        <v>64</v>
      </c>
      <c r="I36" s="408" t="s">
        <v>64</v>
      </c>
      <c r="J36" s="408" t="s">
        <v>64</v>
      </c>
      <c r="K36" s="408" t="s">
        <v>64</v>
      </c>
      <c r="L36" s="408" t="s">
        <v>64</v>
      </c>
      <c r="M36" s="408" t="s">
        <v>64</v>
      </c>
      <c r="N36" s="408" t="s">
        <v>64</v>
      </c>
      <c r="O36" s="408" t="s">
        <v>64</v>
      </c>
      <c r="P36" s="408" t="s">
        <v>64</v>
      </c>
      <c r="Q36" s="408" t="s">
        <v>64</v>
      </c>
      <c r="R36" s="408" t="s">
        <v>64</v>
      </c>
      <c r="S36" s="496" t="s">
        <v>64</v>
      </c>
      <c r="T36" s="496" t="s">
        <v>64</v>
      </c>
      <c r="U36" s="496" t="s">
        <v>64</v>
      </c>
      <c r="V36" s="496" t="s">
        <v>64</v>
      </c>
      <c r="W36" s="496" t="s">
        <v>64</v>
      </c>
      <c r="X36" s="496" t="s">
        <v>64</v>
      </c>
      <c r="Y36" s="496" t="s">
        <v>64</v>
      </c>
      <c r="Z36" s="496" t="s">
        <v>64</v>
      </c>
      <c r="AA36" s="408" t="s">
        <v>64</v>
      </c>
      <c r="AB36" s="408" t="s">
        <v>64</v>
      </c>
      <c r="AC36" s="408" t="s">
        <v>64</v>
      </c>
      <c r="AD36" s="408" t="s">
        <v>64</v>
      </c>
      <c r="AE36" s="408" t="s">
        <v>64</v>
      </c>
      <c r="AF36" s="408" t="s">
        <v>64</v>
      </c>
      <c r="AG36" s="290"/>
      <c r="AH36" s="408" t="s">
        <v>64</v>
      </c>
    </row>
    <row r="37" spans="1:35">
      <c r="A37" s="453" t="s">
        <v>2818</v>
      </c>
      <c r="B37" s="443">
        <v>241160</v>
      </c>
      <c r="C37" s="443">
        <v>243006</v>
      </c>
      <c r="D37" s="443">
        <v>244389</v>
      </c>
      <c r="E37" s="443">
        <v>246020</v>
      </c>
      <c r="F37" s="443">
        <v>247561</v>
      </c>
      <c r="G37" s="424">
        <v>247561</v>
      </c>
      <c r="H37" s="424">
        <v>250876</v>
      </c>
      <c r="I37" s="424">
        <v>252429</v>
      </c>
      <c r="J37" s="424">
        <v>246020</v>
      </c>
      <c r="K37" s="424">
        <v>255339</v>
      </c>
      <c r="L37" s="424">
        <v>256982</v>
      </c>
      <c r="M37" s="424">
        <v>258676</v>
      </c>
      <c r="N37" s="424">
        <v>260360</v>
      </c>
      <c r="O37" s="424">
        <v>262074</v>
      </c>
      <c r="P37" s="424">
        <v>263873</v>
      </c>
      <c r="Q37" s="424">
        <v>267183</v>
      </c>
      <c r="R37" s="424">
        <v>267183</v>
      </c>
      <c r="S37" s="507">
        <v>268921</v>
      </c>
      <c r="T37" s="507">
        <v>270629</v>
      </c>
      <c r="U37" s="507">
        <v>272302</v>
      </c>
      <c r="V37" s="513">
        <v>274015</v>
      </c>
      <c r="W37" s="513">
        <v>275610</v>
      </c>
      <c r="X37" s="513">
        <v>277059</v>
      </c>
      <c r="Y37" s="492">
        <v>278467</v>
      </c>
      <c r="Z37" s="492">
        <v>281216</v>
      </c>
      <c r="AA37" s="21">
        <v>281216</v>
      </c>
      <c r="AB37" s="21">
        <v>281216</v>
      </c>
      <c r="AC37" s="21">
        <v>281216</v>
      </c>
      <c r="AD37" s="21">
        <v>281216</v>
      </c>
      <c r="AE37" s="21">
        <v>281216</v>
      </c>
      <c r="AF37" s="21">
        <v>286205</v>
      </c>
      <c r="AG37" s="290">
        <f t="shared" si="0"/>
        <v>46656</v>
      </c>
      <c r="AH37" s="443">
        <v>239549</v>
      </c>
      <c r="AI37" s="144">
        <v>44883</v>
      </c>
    </row>
    <row r="38" spans="1:35">
      <c r="A38" s="453" t="s">
        <v>2819</v>
      </c>
      <c r="B38" s="424">
        <v>612473</v>
      </c>
      <c r="C38" s="424">
        <v>609608</v>
      </c>
      <c r="D38" s="424">
        <v>613068</v>
      </c>
      <c r="E38" s="424">
        <v>614355</v>
      </c>
      <c r="F38" s="424">
        <v>614355</v>
      </c>
      <c r="G38" s="424">
        <v>614355</v>
      </c>
      <c r="H38" s="424">
        <v>614355</v>
      </c>
      <c r="I38" s="424">
        <v>614355</v>
      </c>
      <c r="J38" s="424">
        <v>614355</v>
      </c>
      <c r="K38" s="424">
        <v>614355</v>
      </c>
      <c r="L38" s="424">
        <v>614355</v>
      </c>
      <c r="M38" s="424">
        <v>614355</v>
      </c>
      <c r="N38" s="424">
        <v>614355</v>
      </c>
      <c r="O38" s="424">
        <v>614355</v>
      </c>
      <c r="P38" s="424">
        <v>614355</v>
      </c>
      <c r="Q38" s="424">
        <v>614355</v>
      </c>
      <c r="R38" s="424">
        <v>614355</v>
      </c>
      <c r="S38" s="507">
        <v>614355</v>
      </c>
      <c r="T38" s="507">
        <v>614355</v>
      </c>
      <c r="U38" s="507">
        <v>614355</v>
      </c>
      <c r="V38" s="513">
        <v>614355</v>
      </c>
      <c r="W38" s="513">
        <v>614355</v>
      </c>
      <c r="X38" s="513">
        <v>614355</v>
      </c>
      <c r="Y38" s="492">
        <v>614355</v>
      </c>
      <c r="Z38" s="492">
        <v>614355</v>
      </c>
      <c r="AA38" s="21">
        <v>614355</v>
      </c>
      <c r="AB38" s="21">
        <v>614355</v>
      </c>
      <c r="AC38" s="21">
        <v>614355</v>
      </c>
      <c r="AD38" s="21">
        <v>614355</v>
      </c>
      <c r="AE38" s="21">
        <v>614355</v>
      </c>
      <c r="AF38" s="21">
        <v>614355</v>
      </c>
      <c r="AG38" s="290">
        <f t="shared" si="0"/>
        <v>-1792</v>
      </c>
      <c r="AH38" s="424">
        <v>616147</v>
      </c>
      <c r="AI38" s="144">
        <v>32377</v>
      </c>
    </row>
    <row r="39" spans="1:35">
      <c r="A39" s="453" t="s">
        <v>2820</v>
      </c>
      <c r="B39" s="424">
        <v>333298</v>
      </c>
      <c r="C39" s="424">
        <v>335415</v>
      </c>
      <c r="D39" s="424">
        <v>337261</v>
      </c>
      <c r="E39" s="424">
        <v>339520</v>
      </c>
      <c r="F39" s="424">
        <v>341777</v>
      </c>
      <c r="G39" s="424">
        <v>341777</v>
      </c>
      <c r="H39" s="424">
        <v>346687</v>
      </c>
      <c r="I39" s="424">
        <v>348858</v>
      </c>
      <c r="J39" s="424">
        <v>353056</v>
      </c>
      <c r="K39" s="424">
        <v>353056</v>
      </c>
      <c r="L39" s="424">
        <v>355372</v>
      </c>
      <c r="M39" s="424">
        <v>357794</v>
      </c>
      <c r="N39" s="424">
        <v>360165</v>
      </c>
      <c r="O39" s="424">
        <v>362573</v>
      </c>
      <c r="P39" s="424">
        <v>364991</v>
      </c>
      <c r="Q39" s="424">
        <v>369409</v>
      </c>
      <c r="R39" s="424">
        <v>369409</v>
      </c>
      <c r="S39" s="507">
        <v>371698</v>
      </c>
      <c r="T39" s="507">
        <v>374543</v>
      </c>
      <c r="U39" s="507">
        <v>376791</v>
      </c>
      <c r="V39" s="513">
        <v>379139</v>
      </c>
      <c r="W39" s="513">
        <v>381472</v>
      </c>
      <c r="X39" s="513">
        <v>383632</v>
      </c>
      <c r="Y39" s="492">
        <v>385823</v>
      </c>
      <c r="Z39" s="492">
        <v>390453</v>
      </c>
      <c r="AA39" s="21">
        <v>390453</v>
      </c>
      <c r="AB39" s="21">
        <v>390453</v>
      </c>
      <c r="AC39" s="21">
        <v>390453</v>
      </c>
      <c r="AD39" s="21">
        <v>390453</v>
      </c>
      <c r="AE39" s="21">
        <v>390453</v>
      </c>
      <c r="AF39" s="21">
        <v>400170</v>
      </c>
      <c r="AG39" s="290">
        <f t="shared" si="0"/>
        <v>68985</v>
      </c>
      <c r="AH39" s="424">
        <v>331185</v>
      </c>
      <c r="AI39" s="144">
        <v>65088</v>
      </c>
    </row>
    <row r="40" spans="1:35">
      <c r="A40" s="453" t="s">
        <v>2821</v>
      </c>
      <c r="B40" s="450">
        <v>286959</v>
      </c>
      <c r="C40" s="450">
        <v>286959</v>
      </c>
      <c r="D40" s="450">
        <v>286959</v>
      </c>
      <c r="E40" s="450">
        <v>286959</v>
      </c>
      <c r="F40" s="450">
        <v>286959</v>
      </c>
      <c r="G40" s="511">
        <v>286959</v>
      </c>
      <c r="H40" s="511">
        <v>286959</v>
      </c>
      <c r="I40" s="511">
        <v>286959</v>
      </c>
      <c r="J40" s="514">
        <v>286959</v>
      </c>
      <c r="K40" s="511">
        <v>286959</v>
      </c>
      <c r="L40" s="511">
        <v>286959</v>
      </c>
      <c r="M40" s="511">
        <v>286959</v>
      </c>
      <c r="N40" s="511">
        <v>286959</v>
      </c>
      <c r="O40" s="511">
        <v>286959</v>
      </c>
      <c r="P40" s="511">
        <v>286959</v>
      </c>
      <c r="Q40" s="511">
        <v>286959</v>
      </c>
      <c r="R40" s="511">
        <v>286959</v>
      </c>
      <c r="S40" s="512">
        <v>286959</v>
      </c>
      <c r="T40" s="512">
        <v>286959</v>
      </c>
      <c r="U40" s="512">
        <v>286959</v>
      </c>
      <c r="V40" s="512">
        <v>23783</v>
      </c>
      <c r="W40" s="512">
        <v>23783</v>
      </c>
      <c r="X40" s="512">
        <v>23783</v>
      </c>
      <c r="Y40" s="512">
        <v>12879</v>
      </c>
      <c r="Z40" s="512">
        <v>12879</v>
      </c>
      <c r="AA40" s="511">
        <v>12879</v>
      </c>
      <c r="AB40" s="511">
        <v>12879</v>
      </c>
      <c r="AC40" s="511">
        <v>12879</v>
      </c>
      <c r="AD40" s="511">
        <v>12879</v>
      </c>
      <c r="AE40" s="511">
        <v>12879</v>
      </c>
      <c r="AF40" s="511">
        <v>12879</v>
      </c>
      <c r="AG40" s="290">
        <f t="shared" si="0"/>
        <v>-274080</v>
      </c>
      <c r="AH40" s="450">
        <v>286959</v>
      </c>
    </row>
    <row r="41" spans="1:35">
      <c r="A41" s="453" t="s">
        <v>2822</v>
      </c>
      <c r="B41" s="450">
        <v>17171</v>
      </c>
      <c r="C41" s="450">
        <v>17171</v>
      </c>
      <c r="D41" s="450">
        <v>17235</v>
      </c>
      <c r="E41" s="450">
        <v>17357</v>
      </c>
      <c r="F41" s="450">
        <v>17448</v>
      </c>
      <c r="G41" s="511">
        <v>17448</v>
      </c>
      <c r="H41" s="511">
        <v>17615</v>
      </c>
      <c r="I41" s="511">
        <v>17757</v>
      </c>
      <c r="J41" s="511">
        <v>17801</v>
      </c>
      <c r="K41" s="511">
        <v>17880</v>
      </c>
      <c r="L41" s="511">
        <v>17948</v>
      </c>
      <c r="M41" s="511">
        <v>18083</v>
      </c>
      <c r="N41" s="511">
        <v>18118</v>
      </c>
      <c r="O41" s="511">
        <v>18207</v>
      </c>
      <c r="P41" s="511">
        <v>18327</v>
      </c>
      <c r="Q41" s="511">
        <v>18327</v>
      </c>
      <c r="R41" s="511">
        <v>18327</v>
      </c>
      <c r="S41" s="512">
        <v>15903</v>
      </c>
      <c r="T41" s="512">
        <v>15903</v>
      </c>
      <c r="U41" s="512">
        <v>15903</v>
      </c>
      <c r="V41" s="512">
        <v>15903</v>
      </c>
      <c r="W41" s="512">
        <v>18902</v>
      </c>
      <c r="X41" s="513">
        <v>18961</v>
      </c>
      <c r="Y41" s="513">
        <v>18961</v>
      </c>
      <c r="Z41" s="513">
        <v>18961</v>
      </c>
      <c r="AA41" s="513">
        <v>18961</v>
      </c>
      <c r="AB41" s="513">
        <v>18961</v>
      </c>
      <c r="AC41" s="513">
        <v>18961</v>
      </c>
      <c r="AD41" s="513">
        <v>18961</v>
      </c>
      <c r="AE41" s="513">
        <v>18961</v>
      </c>
      <c r="AF41" s="515">
        <v>19557</v>
      </c>
      <c r="AG41" s="290">
        <f t="shared" si="0"/>
        <v>2466</v>
      </c>
      <c r="AH41" s="450">
        <v>17091</v>
      </c>
      <c r="AI41" s="144">
        <v>1739</v>
      </c>
    </row>
    <row r="42" spans="1:35">
      <c r="A42" s="453" t="s">
        <v>2823</v>
      </c>
      <c r="B42" s="450">
        <v>8150</v>
      </c>
      <c r="C42" s="450">
        <v>8164</v>
      </c>
      <c r="D42" s="450">
        <v>8210</v>
      </c>
      <c r="E42" s="450">
        <v>8370</v>
      </c>
      <c r="F42" s="450">
        <v>8372</v>
      </c>
      <c r="G42" s="511">
        <v>8372</v>
      </c>
      <c r="H42" s="511">
        <v>8664</v>
      </c>
      <c r="I42" s="511">
        <v>8778</v>
      </c>
      <c r="J42" s="511">
        <v>8778</v>
      </c>
      <c r="K42" s="511">
        <v>8778</v>
      </c>
      <c r="L42" s="511">
        <v>9091</v>
      </c>
      <c r="M42" s="511">
        <v>9136</v>
      </c>
      <c r="N42" s="511">
        <v>9278</v>
      </c>
      <c r="O42" s="511">
        <v>9366</v>
      </c>
      <c r="P42" s="511">
        <v>9452</v>
      </c>
      <c r="Q42" s="511">
        <v>9528</v>
      </c>
      <c r="R42" s="511">
        <v>9528</v>
      </c>
      <c r="S42" s="512">
        <v>9604</v>
      </c>
      <c r="T42" s="512">
        <v>9742</v>
      </c>
      <c r="U42" s="512">
        <v>9742</v>
      </c>
      <c r="V42" s="512">
        <v>9915</v>
      </c>
      <c r="W42" s="512">
        <v>9978</v>
      </c>
      <c r="X42" s="513">
        <v>10007</v>
      </c>
      <c r="Y42" s="513">
        <v>10096</v>
      </c>
      <c r="Z42" s="513">
        <v>10096</v>
      </c>
      <c r="AA42" s="515">
        <v>10293</v>
      </c>
      <c r="AB42" s="515">
        <v>10293</v>
      </c>
      <c r="AC42" s="515">
        <v>10293</v>
      </c>
      <c r="AD42" s="515">
        <v>10293</v>
      </c>
      <c r="AE42" s="515">
        <v>10293</v>
      </c>
      <c r="AF42" s="515">
        <v>10647</v>
      </c>
      <c r="AG42" s="290">
        <f t="shared" si="0"/>
        <v>2512</v>
      </c>
      <c r="AH42" s="450">
        <v>8135</v>
      </c>
      <c r="AI42" s="144">
        <v>920</v>
      </c>
    </row>
    <row r="43" spans="1:35" ht="15.75" thickBot="1">
      <c r="A43" s="454" t="s">
        <v>2824</v>
      </c>
      <c r="B43" s="455">
        <v>3404</v>
      </c>
      <c r="C43" s="455">
        <v>2404</v>
      </c>
      <c r="D43" s="455">
        <v>2410</v>
      </c>
      <c r="E43" s="455">
        <v>2420</v>
      </c>
      <c r="F43" s="455">
        <v>2430</v>
      </c>
      <c r="G43" s="516">
        <v>2430</v>
      </c>
      <c r="H43" s="516">
        <v>2437</v>
      </c>
      <c r="I43" s="516">
        <v>2445</v>
      </c>
      <c r="J43" s="516">
        <v>2461</v>
      </c>
      <c r="K43" s="516">
        <v>2466</v>
      </c>
      <c r="L43" s="516">
        <v>2474</v>
      </c>
      <c r="M43" s="516">
        <v>2474</v>
      </c>
      <c r="N43" s="516">
        <v>2481</v>
      </c>
      <c r="O43" s="516">
        <v>2492</v>
      </c>
      <c r="P43" s="516">
        <v>2496</v>
      </c>
      <c r="Q43" s="516">
        <v>2496</v>
      </c>
      <c r="R43" s="516">
        <v>2496</v>
      </c>
      <c r="S43" s="517">
        <v>2325</v>
      </c>
      <c r="T43" s="517">
        <v>2325</v>
      </c>
      <c r="U43" s="517">
        <v>2325</v>
      </c>
      <c r="V43" s="517">
        <v>2325</v>
      </c>
      <c r="W43" s="517">
        <v>2556</v>
      </c>
      <c r="X43" s="517">
        <v>2556</v>
      </c>
      <c r="Y43" s="517">
        <v>2556</v>
      </c>
      <c r="Z43" s="517">
        <v>2556</v>
      </c>
      <c r="AA43" s="516">
        <v>2556</v>
      </c>
      <c r="AB43" s="516">
        <v>2556</v>
      </c>
      <c r="AC43" s="516">
        <v>2556</v>
      </c>
      <c r="AD43" s="516">
        <v>2556</v>
      </c>
      <c r="AE43" s="516">
        <v>2556</v>
      </c>
      <c r="AF43" s="417">
        <v>2609</v>
      </c>
      <c r="AG43" s="290">
        <f t="shared" si="0"/>
        <v>211</v>
      </c>
      <c r="AH43" s="455">
        <v>2398</v>
      </c>
      <c r="AI43" s="144">
        <v>86</v>
      </c>
    </row>
  </sheetData>
  <mergeCells count="1">
    <mergeCell ref="A1:AH1"/>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9864-CE60-4F5D-AA3B-6B9D3BFCFE74}">
  <dimension ref="A1"/>
  <sheetViews>
    <sheetView workbookViewId="0"/>
  </sheetViews>
  <sheetFormatPr defaultRowHeight="1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0CAB6-5FB0-4038-BEFD-F417AFD08CBB}">
  <dimension ref="A1"/>
  <sheetViews>
    <sheetView workbookViewId="0"/>
  </sheetViews>
  <sheetFormatPr defaultRowHeight="15"/>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59137-3220-45FF-8584-57BA7FE988A9}">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79</vt:i4>
      </vt:variant>
    </vt:vector>
  </HeadingPairs>
  <TitlesOfParts>
    <vt:vector size="79" baseType="lpstr">
      <vt:lpstr>Feb 20</vt:lpstr>
      <vt:lpstr>Mar 20</vt:lpstr>
      <vt:lpstr>Apr 20</vt:lpstr>
      <vt:lpstr>May 20</vt:lpstr>
      <vt:lpstr>Jun 20</vt:lpstr>
      <vt:lpstr>Jul 20</vt:lpstr>
      <vt:lpstr>Aug 20</vt:lpstr>
      <vt:lpstr>Sep 20</vt:lpstr>
      <vt:lpstr>Oct 20</vt:lpstr>
      <vt:lpstr>Nov 20</vt:lpstr>
      <vt:lpstr>Dec 20</vt:lpstr>
      <vt:lpstr>Jan 21</vt:lpstr>
      <vt:lpstr>Feb 21</vt:lpstr>
      <vt:lpstr>Mar 21</vt:lpstr>
      <vt:lpstr>Apr 21</vt:lpstr>
      <vt:lpstr>May 21</vt:lpstr>
      <vt:lpstr>Jun 21</vt:lpstr>
      <vt:lpstr>Jul 21</vt:lpstr>
      <vt:lpstr>Aug 21</vt:lpstr>
      <vt:lpstr>Sep 21</vt:lpstr>
      <vt:lpstr>Oct 21</vt:lpstr>
      <vt:lpstr>Nov 21</vt:lpstr>
      <vt:lpstr>Dec 21</vt:lpstr>
      <vt:lpstr>Jan 22</vt:lpstr>
      <vt:lpstr>Feb 22</vt:lpstr>
      <vt:lpstr>Mar 22</vt:lpstr>
      <vt:lpstr>Apr 22</vt:lpstr>
      <vt:lpstr>May 22</vt:lpstr>
      <vt:lpstr>Jun 22</vt:lpstr>
      <vt:lpstr>Jul 22</vt:lpstr>
      <vt:lpstr>Aug 22</vt:lpstr>
      <vt:lpstr>Sep 22</vt:lpstr>
      <vt:lpstr>Oct 22</vt:lpstr>
      <vt:lpstr>Nov 22</vt:lpstr>
      <vt:lpstr>Dec 22</vt:lpstr>
      <vt:lpstr>Jan 23</vt:lpstr>
      <vt:lpstr>Feb 23</vt:lpstr>
      <vt:lpstr>Mar 23</vt:lpstr>
      <vt:lpstr>Apr 23</vt:lpstr>
      <vt:lpstr>May 23</vt:lpstr>
      <vt:lpstr>Jun 23</vt:lpstr>
      <vt:lpstr>Jul 23</vt:lpstr>
      <vt:lpstr>Aug 23</vt:lpstr>
      <vt:lpstr>Sep 23</vt:lpstr>
      <vt:lpstr>Oct 23</vt:lpstr>
      <vt:lpstr>Nov 23</vt:lpstr>
      <vt:lpstr>Dec 23</vt:lpstr>
      <vt:lpstr>Jan 24</vt:lpstr>
      <vt:lpstr>Feb 24</vt:lpstr>
      <vt:lpstr>Mar 24</vt:lpstr>
      <vt:lpstr>Apr 24</vt:lpstr>
      <vt:lpstr>May 24</vt:lpstr>
      <vt:lpstr>Jun 24</vt:lpstr>
      <vt:lpstr>Jul 24</vt:lpstr>
      <vt:lpstr>Aug 24</vt:lpstr>
      <vt:lpstr>Sep 24</vt:lpstr>
      <vt:lpstr>Oct 24</vt:lpstr>
      <vt:lpstr>Nov 24</vt:lpstr>
      <vt:lpstr>Dec 24</vt:lpstr>
      <vt:lpstr>Jan 25</vt:lpstr>
      <vt:lpstr>Feb 25</vt:lpstr>
      <vt:lpstr>Mar 25</vt:lpstr>
      <vt:lpstr>Apr 25</vt:lpstr>
      <vt:lpstr>May 25</vt:lpstr>
      <vt:lpstr>Jun 25</vt:lpstr>
      <vt:lpstr>Jul 25</vt:lpstr>
      <vt:lpstr>Aug 25</vt:lpstr>
      <vt:lpstr>Sep 25</vt:lpstr>
      <vt:lpstr>Oct 25</vt:lpstr>
      <vt:lpstr>Nov 25</vt:lpstr>
      <vt:lpstr>Dec 25</vt:lpstr>
      <vt:lpstr>Jan 26</vt:lpstr>
      <vt:lpstr>Feb 26</vt:lpstr>
      <vt:lpstr>Mar 26</vt:lpstr>
      <vt:lpstr>Apr 26</vt:lpstr>
      <vt:lpstr>May 26</vt:lpstr>
      <vt:lpstr>Sheet14</vt:lpstr>
      <vt:lpstr>Sheet15</vt:lpstr>
      <vt:lpstr>Sheet16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2026-06-02T06:02:56Z</dcterms:modified>
</cp:coreProperties>
</file>